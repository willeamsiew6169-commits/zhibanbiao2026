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yt_system\zhiban_cloud_system\finance_templates\"/>
    </mc:Choice>
  </mc:AlternateContent>
  <xr:revisionPtr revIDLastSave="0" documentId="13_ncr:1_{318D09C7-7E20-47E8-B8F5-C3BC1D09A0E4}" xr6:coauthVersionLast="47" xr6:coauthVersionMax="47" xr10:uidLastSave="{00000000-0000-0000-0000-000000000000}"/>
  <bookViews>
    <workbookView xWindow="-108" yWindow="-108" windowWidth="23256" windowHeight="12456" tabRatio="692" firstSheet="13" activeTab="23" xr2:uid="{00000000-000D-0000-FFFF-FFFF00000000}"/>
  </bookViews>
  <sheets>
    <sheet name="Jan-25" sheetId="39" r:id="rId1"/>
    <sheet name="Feb-25" sheetId="40" r:id="rId2"/>
    <sheet name="Mar-25" sheetId="41" r:id="rId3"/>
    <sheet name="Apr-25" sheetId="52" r:id="rId4"/>
    <sheet name="May-25" sheetId="62" state="hidden" r:id="rId5"/>
    <sheet name="May-25 (New)" sheetId="74" r:id="rId6"/>
    <sheet name="Jun-25" sheetId="63" state="hidden" r:id="rId7"/>
    <sheet name="Jun-25 (New)" sheetId="75" r:id="rId8"/>
    <sheet name="Jul-25" sheetId="64" state="hidden" r:id="rId9"/>
    <sheet name="Jul-25(New)" sheetId="76" r:id="rId10"/>
    <sheet name="Aug-25 (New)" sheetId="77" r:id="rId11"/>
    <sheet name="Sep-25" sheetId="79" r:id="rId12"/>
    <sheet name="Oct-25" sheetId="80" r:id="rId13"/>
    <sheet name="Nov-25" sheetId="81" r:id="rId14"/>
    <sheet name="Dec-25" sheetId="83" r:id="rId15"/>
    <sheet name="Jan-26" sheetId="82" r:id="rId16"/>
    <sheet name="Feb-26" sheetId="84" r:id="rId17"/>
    <sheet name="Mar-26" sheetId="85" r:id="rId18"/>
    <sheet name="Apr-26" sheetId="86" r:id="rId19"/>
    <sheet name="May-26" sheetId="87" r:id="rId20"/>
    <sheet name="Jun-26" sheetId="88" r:id="rId21"/>
    <sheet name="Jul-26" sheetId="89" r:id="rId22"/>
    <sheet name="Aug-26" sheetId="90" r:id="rId23"/>
    <sheet name="Blank_Master" sheetId="78" r:id="rId24"/>
    <sheet name="MASTER Name List" sheetId="53" r:id="rId25"/>
    <sheet name="Summary" sheetId="72" r:id="rId26"/>
  </sheets>
  <externalReferences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24" hidden="1">'MASTER Name List'!$A$3:$N$205</definedName>
    <definedName name="_xlnm._FilterDatabase" localSheetId="25" hidden="1">Summary!$A$3:$AE$194</definedName>
    <definedName name="_xlcn.WorksheetConnection_01月費收纳表_2025gytHuiHeupdated06.07.2025.xlsxTable11" hidden="1">Table1[]</definedName>
    <definedName name="ARA_Threshold" localSheetId="1">#REF!</definedName>
    <definedName name="ARA_Threshold" localSheetId="0">#REF!</definedName>
    <definedName name="ARA_Threshold" localSheetId="2">#REF!</definedName>
    <definedName name="ARP_Threshold" localSheetId="1">#REF!</definedName>
    <definedName name="ARP_Threshold" localSheetId="0">#REF!</definedName>
    <definedName name="ARP_Threshold" localSheetId="2">#REF!</definedName>
    <definedName name="AS2StaticLS" localSheetId="1" hidden="1">#REF!</definedName>
    <definedName name="AS2StaticLS" localSheetId="0" hidden="1">#REF!</definedName>
    <definedName name="AS2StaticLS" localSheetId="2" hidden="1">#REF!</definedName>
    <definedName name="AS2TickmarkLS" localSheetId="1" hidden="1">#REF!</definedName>
    <definedName name="AS2TickmarkLS" localSheetId="0" hidden="1">#REF!</definedName>
    <definedName name="AS2TickmarkLS" localSheetId="2" hidden="1">#REF!</definedName>
    <definedName name="att1st_12th" localSheetId="1">#REF!</definedName>
    <definedName name="att1st_12th" localSheetId="0">#REF!</definedName>
    <definedName name="att1st_12th" localSheetId="2">#REF!</definedName>
    <definedName name="BG_Mod" hidden="1">6</definedName>
    <definedName name="cf" localSheetId="1">#REF!</definedName>
    <definedName name="cf" localSheetId="0">#REF!</definedName>
    <definedName name="cf" localSheetId="2">#REF!</definedName>
    <definedName name="cominf" localSheetId="1">#REF!</definedName>
    <definedName name="cominf" localSheetId="0">#REF!</definedName>
    <definedName name="cominf" localSheetId="2">#REF!</definedName>
    <definedName name="dcf_cof" localSheetId="1">#REF!</definedName>
    <definedName name="dcf_cof" localSheetId="0">#REF!</definedName>
    <definedName name="dcf_cof" localSheetId="2">#REF!</definedName>
    <definedName name="dpl" localSheetId="1">#REF!</definedName>
    <definedName name="dpl" localSheetId="0">#REF!</definedName>
    <definedName name="dpl" localSheetId="2">#REF!</definedName>
    <definedName name="L_CY_Beg">[1]Links!$F$1:$F$65536</definedName>
    <definedName name="L_CY_End">[1]Links!$J$1:$J$65536</definedName>
    <definedName name="L_PY_End">[1]Links!$K$1:$K$65536</definedName>
    <definedName name="L_RJE_Tot">[1]Links!$I$1:$I$65536</definedName>
    <definedName name="landarea" localSheetId="1">#REF!</definedName>
    <definedName name="landarea" localSheetId="0">#REF!</definedName>
    <definedName name="landarea" localSheetId="2">#REF!</definedName>
    <definedName name="Low_Cost_Flats___9_units_shops" localSheetId="1">'[2]SP, RW &amp; SG.BU'!#REF!</definedName>
    <definedName name="Low_Cost_Flats___9_units_shops" localSheetId="0">'[2]SP, RW &amp; SG.BU'!#REF!</definedName>
    <definedName name="Low_Cost_Flats___9_units_shops" localSheetId="2">'[2]SP, RW &amp; SG.BU'!#REF!</definedName>
    <definedName name="ohworking" localSheetId="1">#REF!</definedName>
    <definedName name="ohworking" localSheetId="0">#REF!</definedName>
    <definedName name="ohworking" localSheetId="2">#REF!</definedName>
    <definedName name="pc1p" localSheetId="1">#REF!</definedName>
    <definedName name="pc1p" localSheetId="0">#REF!</definedName>
    <definedName name="pc1p" localSheetId="2">#REF!</definedName>
    <definedName name="pc2p" localSheetId="1">#REF!</definedName>
    <definedName name="pc2p" localSheetId="0">#REF!</definedName>
    <definedName name="pc2p" localSheetId="2">#REF!</definedName>
    <definedName name="pl8and4" localSheetId="1">#REF!</definedName>
    <definedName name="pl8and4" localSheetId="0">#REF!</definedName>
    <definedName name="pl8and4" localSheetId="2">#REF!</definedName>
    <definedName name="PLqtrly" localSheetId="1">#REF!</definedName>
    <definedName name="PLqtrly" localSheetId="0">#REF!</definedName>
    <definedName name="PLqtrly" localSheetId="2">#REF!</definedName>
    <definedName name="_xlnm.Print_Area" localSheetId="3">'Apr-25'!$A$25:$AK$38</definedName>
    <definedName name="_xlnm.Print_Area" localSheetId="1">'Feb-25'!$A$5:$P$53</definedName>
    <definedName name="_xlnm.Print_Area" localSheetId="0">'Jan-25'!$A$49:$R$83</definedName>
    <definedName name="_xlnm.Print_Area" localSheetId="2">'Mar-25'!$A$35:$P$53</definedName>
    <definedName name="_xlnm.Print_Titles" localSheetId="3">'Apr-25'!$1:$9</definedName>
    <definedName name="_xlnm.Print_Titles" localSheetId="0">'Jan-25'!$5:$8</definedName>
    <definedName name="_xlnm.Print_Titles" localSheetId="2">'Mar-25'!$1:$9</definedName>
    <definedName name="row" localSheetId="1">#REF!</definedName>
    <definedName name="row" localSheetId="0">#REF!</definedName>
    <definedName name="row" localSheetId="2">#REF!</definedName>
    <definedName name="rowrm" localSheetId="1">#REF!</definedName>
    <definedName name="rowrm" localSheetId="0">#REF!</definedName>
    <definedName name="rowrm" localSheetId="2">#REF!</definedName>
    <definedName name="S_AcctDes" localSheetId="1">#REF!</definedName>
    <definedName name="S_AcctDes" localSheetId="0">#REF!</definedName>
    <definedName name="S_AcctDes" localSheetId="2">#REF!</definedName>
    <definedName name="S_Adjust" localSheetId="1">#REF!</definedName>
    <definedName name="S_Adjust" localSheetId="0">#REF!</definedName>
    <definedName name="S_Adjust" localSheetId="2">#REF!</definedName>
    <definedName name="S_Adjust_GT" localSheetId="1">#REF!</definedName>
    <definedName name="S_Adjust_GT" localSheetId="0">#REF!</definedName>
    <definedName name="S_Adjust_GT" localSheetId="2">#REF!</definedName>
    <definedName name="S_AJE_Tot" localSheetId="1">#REF!</definedName>
    <definedName name="S_AJE_Tot" localSheetId="0">#REF!</definedName>
    <definedName name="S_AJE_Tot" localSheetId="2">#REF!</definedName>
    <definedName name="S_AJE_Tot_GT" localSheetId="1">#REF!</definedName>
    <definedName name="S_AJE_Tot_GT" localSheetId="0">#REF!</definedName>
    <definedName name="S_AJE_Tot_GT" localSheetId="2">#REF!</definedName>
    <definedName name="S_CompNum" localSheetId="1">#REF!</definedName>
    <definedName name="S_CompNum" localSheetId="0">#REF!</definedName>
    <definedName name="S_CompNum" localSheetId="2">#REF!</definedName>
    <definedName name="S_CY_Beg" localSheetId="1">#REF!</definedName>
    <definedName name="S_CY_Beg" localSheetId="0">#REF!</definedName>
    <definedName name="S_CY_Beg" localSheetId="2">#REF!</definedName>
    <definedName name="S_CY_Beg_GT" localSheetId="1">#REF!</definedName>
    <definedName name="S_CY_Beg_GT" localSheetId="0">#REF!</definedName>
    <definedName name="S_CY_Beg_GT" localSheetId="2">#REF!</definedName>
    <definedName name="S_CY_End" localSheetId="1">#REF!</definedName>
    <definedName name="S_CY_End" localSheetId="0">#REF!</definedName>
    <definedName name="S_CY_End" localSheetId="2">#REF!</definedName>
    <definedName name="S_CY_End_GT" localSheetId="1">#REF!</definedName>
    <definedName name="S_CY_End_GT" localSheetId="0">#REF!</definedName>
    <definedName name="S_CY_End_GT" localSheetId="2">#REF!</definedName>
    <definedName name="S_Diff_Amt" localSheetId="1">#REF!</definedName>
    <definedName name="S_Diff_Amt" localSheetId="0">#REF!</definedName>
    <definedName name="S_Diff_Amt" localSheetId="2">#REF!</definedName>
    <definedName name="S_Diff_Pct" localSheetId="1">#REF!</definedName>
    <definedName name="S_Diff_Pct" localSheetId="0">#REF!</definedName>
    <definedName name="S_Diff_Pct" localSheetId="2">#REF!</definedName>
    <definedName name="S_GrpNum" localSheetId="1">#REF!</definedName>
    <definedName name="S_GrpNum" localSheetId="0">#REF!</definedName>
    <definedName name="S_GrpNum" localSheetId="2">#REF!</definedName>
    <definedName name="S_Headings" localSheetId="1">#REF!</definedName>
    <definedName name="S_Headings" localSheetId="0">#REF!</definedName>
    <definedName name="S_Headings" localSheetId="2">#REF!</definedName>
    <definedName name="S_KeyValue" localSheetId="1">#REF!</definedName>
    <definedName name="S_KeyValue" localSheetId="0">#REF!</definedName>
    <definedName name="S_KeyValue" localSheetId="2">#REF!</definedName>
    <definedName name="S_PY_End" localSheetId="1">#REF!</definedName>
    <definedName name="S_PY_End" localSheetId="0">#REF!</definedName>
    <definedName name="S_PY_End" localSheetId="2">#REF!</definedName>
    <definedName name="S_PY_End_GT" localSheetId="1">#REF!</definedName>
    <definedName name="S_PY_End_GT" localSheetId="0">#REF!</definedName>
    <definedName name="S_PY_End_GT" localSheetId="2">#REF!</definedName>
    <definedName name="S_RJE_Tot" localSheetId="1">#REF!</definedName>
    <definedName name="S_RJE_Tot" localSheetId="0">#REF!</definedName>
    <definedName name="S_RJE_Tot" localSheetId="2">#REF!</definedName>
    <definedName name="S_RJE_Tot_GT" localSheetId="1">#REF!</definedName>
    <definedName name="S_RJE_Tot_GT" localSheetId="0">#REF!</definedName>
    <definedName name="S_RJE_Tot_GT" localSheetId="2">#REF!</definedName>
    <definedName name="S_RowNum" localSheetId="1">#REF!</definedName>
    <definedName name="S_RowNum" localSheetId="0">#REF!</definedName>
    <definedName name="S_RowNum" localSheetId="2">#REF!</definedName>
    <definedName name="su" localSheetId="1">#REF!</definedName>
    <definedName name="su" localSheetId="0">#REF!</definedName>
    <definedName name="su" localSheetId="2">#REF!</definedName>
    <definedName name="sumpl" localSheetId="1">#REF!</definedName>
    <definedName name="sumpl" localSheetId="0">#REF!</definedName>
    <definedName name="sumpl" localSheetId="2">#REF!</definedName>
    <definedName name="TextRefCopy1" localSheetId="1">#REF!</definedName>
    <definedName name="TextRefCopy1" localSheetId="0">#REF!</definedName>
    <definedName name="TextRefCopy1" localSheetId="2">#REF!</definedName>
    <definedName name="TextRefCopy10" localSheetId="1">#REF!</definedName>
    <definedName name="TextRefCopy10" localSheetId="0">#REF!</definedName>
    <definedName name="TextRefCopy10" localSheetId="2">#REF!</definedName>
    <definedName name="TextRefCopy106" localSheetId="1">#REF!</definedName>
    <definedName name="TextRefCopy106" localSheetId="0">#REF!</definedName>
    <definedName name="TextRefCopy106" localSheetId="2">#REF!</definedName>
    <definedName name="TextRefCopy11" localSheetId="1">#REF!</definedName>
    <definedName name="TextRefCopy11" localSheetId="0">#REF!</definedName>
    <definedName name="TextRefCopy11" localSheetId="2">#REF!</definedName>
    <definedName name="TextRefCopy12" localSheetId="1">#REF!</definedName>
    <definedName name="TextRefCopy12" localSheetId="0">#REF!</definedName>
    <definedName name="TextRefCopy12" localSheetId="2">#REF!</definedName>
    <definedName name="TextRefCopy13" localSheetId="1">#REF!</definedName>
    <definedName name="TextRefCopy13" localSheetId="0">#REF!</definedName>
    <definedName name="TextRefCopy13" localSheetId="2">#REF!</definedName>
    <definedName name="TextRefCopy14" localSheetId="1">#REF!</definedName>
    <definedName name="TextRefCopy14" localSheetId="0">#REF!</definedName>
    <definedName name="TextRefCopy14" localSheetId="2">#REF!</definedName>
    <definedName name="TextRefCopy15" localSheetId="1">#REF!</definedName>
    <definedName name="TextRefCopy15" localSheetId="0">#REF!</definedName>
    <definedName name="TextRefCopy15" localSheetId="2">#REF!</definedName>
    <definedName name="TextRefCopy16" localSheetId="1">#REF!</definedName>
    <definedName name="TextRefCopy16" localSheetId="0">#REF!</definedName>
    <definedName name="TextRefCopy16" localSheetId="2">#REF!</definedName>
    <definedName name="TextRefCopy17" localSheetId="1">#REF!</definedName>
    <definedName name="TextRefCopy17" localSheetId="0">#REF!</definedName>
    <definedName name="TextRefCopy17" localSheetId="2">#REF!</definedName>
    <definedName name="TextRefCopy18" localSheetId="1">#REF!</definedName>
    <definedName name="TextRefCopy18" localSheetId="0">#REF!</definedName>
    <definedName name="TextRefCopy18" localSheetId="2">#REF!</definedName>
    <definedName name="TextRefCopy2" localSheetId="1">#REF!</definedName>
    <definedName name="TextRefCopy2" localSheetId="0">#REF!</definedName>
    <definedName name="TextRefCopy2" localSheetId="2">#REF!</definedName>
    <definedName name="TextRefCopy20" localSheetId="1">#REF!</definedName>
    <definedName name="TextRefCopy20" localSheetId="0">#REF!</definedName>
    <definedName name="TextRefCopy20" localSheetId="2">#REF!</definedName>
    <definedName name="TextRefCopy25" localSheetId="1">#REF!</definedName>
    <definedName name="TextRefCopy25" localSheetId="0">#REF!</definedName>
    <definedName name="TextRefCopy25" localSheetId="2">#REF!</definedName>
    <definedName name="TextRefCopy26" localSheetId="1">#REF!</definedName>
    <definedName name="TextRefCopy26" localSheetId="0">#REF!</definedName>
    <definedName name="TextRefCopy26" localSheetId="2">#REF!</definedName>
    <definedName name="TextRefCopy28" localSheetId="1">#REF!</definedName>
    <definedName name="TextRefCopy28" localSheetId="0">#REF!</definedName>
    <definedName name="TextRefCopy28" localSheetId="2">#REF!</definedName>
    <definedName name="TextRefCopy29" localSheetId="1">#REF!</definedName>
    <definedName name="TextRefCopy29" localSheetId="0">#REF!</definedName>
    <definedName name="TextRefCopy29" localSheetId="2">#REF!</definedName>
    <definedName name="TextRefCopy3" localSheetId="1">#REF!</definedName>
    <definedName name="TextRefCopy3" localSheetId="0">#REF!</definedName>
    <definedName name="TextRefCopy3" localSheetId="2">#REF!</definedName>
    <definedName name="TextRefCopy30" localSheetId="1">#REF!</definedName>
    <definedName name="TextRefCopy30" localSheetId="0">#REF!</definedName>
    <definedName name="TextRefCopy30" localSheetId="2">#REF!</definedName>
    <definedName name="TextRefCopy32" localSheetId="1">#REF!</definedName>
    <definedName name="TextRefCopy32" localSheetId="0">#REF!</definedName>
    <definedName name="TextRefCopy32" localSheetId="2">#REF!</definedName>
    <definedName name="TextRefCopy35" localSheetId="1">#REF!</definedName>
    <definedName name="TextRefCopy35" localSheetId="0">#REF!</definedName>
    <definedName name="TextRefCopy35" localSheetId="2">#REF!</definedName>
    <definedName name="TextRefCopy36" localSheetId="1">#REF!</definedName>
    <definedName name="TextRefCopy36" localSheetId="0">#REF!</definedName>
    <definedName name="TextRefCopy36" localSheetId="2">#REF!</definedName>
    <definedName name="TextRefCopy39" localSheetId="1">#REF!</definedName>
    <definedName name="TextRefCopy39" localSheetId="0">#REF!</definedName>
    <definedName name="TextRefCopy39" localSheetId="2">#REF!</definedName>
    <definedName name="TextRefCopy4" localSheetId="1">#REF!</definedName>
    <definedName name="TextRefCopy4" localSheetId="0">#REF!</definedName>
    <definedName name="TextRefCopy4" localSheetId="2">#REF!</definedName>
    <definedName name="TextRefCopy40" localSheetId="1">#REF!</definedName>
    <definedName name="TextRefCopy40" localSheetId="0">#REF!</definedName>
    <definedName name="TextRefCopy40" localSheetId="2">#REF!</definedName>
    <definedName name="TextRefCopy41" localSheetId="1">#REF!</definedName>
    <definedName name="TextRefCopy41" localSheetId="0">#REF!</definedName>
    <definedName name="TextRefCopy41" localSheetId="2">#REF!</definedName>
    <definedName name="TextRefCopy42" localSheetId="1">#REF!</definedName>
    <definedName name="TextRefCopy42" localSheetId="0">#REF!</definedName>
    <definedName name="TextRefCopy42" localSheetId="2">#REF!</definedName>
    <definedName name="TextRefCopy43" localSheetId="1">#REF!</definedName>
    <definedName name="TextRefCopy43" localSheetId="0">#REF!</definedName>
    <definedName name="TextRefCopy43" localSheetId="2">#REF!</definedName>
    <definedName name="TextRefCopy44" localSheetId="1">#REF!</definedName>
    <definedName name="TextRefCopy44" localSheetId="0">#REF!</definedName>
    <definedName name="TextRefCopy44" localSheetId="2">#REF!</definedName>
    <definedName name="TextRefCopy45" localSheetId="1">#REF!</definedName>
    <definedName name="TextRefCopy45" localSheetId="0">#REF!</definedName>
    <definedName name="TextRefCopy45" localSheetId="2">#REF!</definedName>
    <definedName name="TextRefCopy46" localSheetId="1">#REF!</definedName>
    <definedName name="TextRefCopy46" localSheetId="0">#REF!</definedName>
    <definedName name="TextRefCopy46" localSheetId="2">#REF!</definedName>
    <definedName name="TextRefCopy49" localSheetId="1">#REF!</definedName>
    <definedName name="TextRefCopy49" localSheetId="0">#REF!</definedName>
    <definedName name="TextRefCopy49" localSheetId="2">#REF!</definedName>
    <definedName name="TextRefCopy5" localSheetId="1">#REF!</definedName>
    <definedName name="TextRefCopy5" localSheetId="0">#REF!</definedName>
    <definedName name="TextRefCopy5" localSheetId="2">#REF!</definedName>
    <definedName name="TextRefCopy53">'[3]Capital Allowance'!$H$134</definedName>
    <definedName name="TextRefCopy54">'[3]Capital Allowance'!$I$134</definedName>
    <definedName name="TextRefCopy55">'[3]Capital Allowance'!$F$125</definedName>
    <definedName name="TextRefCopy56">'[3]Capital Allowance'!$F$125</definedName>
    <definedName name="TextRefCopy57">'[3]Capital Allowance'!$J$125</definedName>
    <definedName name="TextRefCopy58">'[3]Capital Allowance'!$J$125</definedName>
    <definedName name="TextRefCopy59">'[3]Capital Allowance'!$P$125</definedName>
    <definedName name="TextRefCopy6" localSheetId="1">#REF!</definedName>
    <definedName name="TextRefCopy6" localSheetId="0">#REF!</definedName>
    <definedName name="TextRefCopy6" localSheetId="2">#REF!</definedName>
    <definedName name="TextRefCopy66" localSheetId="1">#REF!</definedName>
    <definedName name="TextRefCopy66" localSheetId="0">#REF!</definedName>
    <definedName name="TextRefCopy66" localSheetId="2">#REF!</definedName>
    <definedName name="TextRefCopy68" localSheetId="1">#REF!</definedName>
    <definedName name="TextRefCopy68" localSheetId="0">#REF!</definedName>
    <definedName name="TextRefCopy68" localSheetId="2">#REF!</definedName>
    <definedName name="TextRefCopy7" localSheetId="1">#REF!</definedName>
    <definedName name="TextRefCopy7" localSheetId="0">#REF!</definedName>
    <definedName name="TextRefCopy7" localSheetId="2">#REF!</definedName>
    <definedName name="TextRefCopy71" localSheetId="1">#REF!</definedName>
    <definedName name="TextRefCopy71" localSheetId="0">#REF!</definedName>
    <definedName name="TextRefCopy71" localSheetId="2">#REF!</definedName>
    <definedName name="TextRefCopy75" localSheetId="1">#REF!</definedName>
    <definedName name="TextRefCopy75" localSheetId="0">#REF!</definedName>
    <definedName name="TextRefCopy75" localSheetId="2">#REF!</definedName>
    <definedName name="TextRefCopy78" localSheetId="1">#REF!</definedName>
    <definedName name="TextRefCopy78" localSheetId="0">#REF!</definedName>
    <definedName name="TextRefCopy78" localSheetId="2">#REF!</definedName>
    <definedName name="TextRefCopy8" localSheetId="1">#REF!</definedName>
    <definedName name="TextRefCopy8" localSheetId="0">#REF!</definedName>
    <definedName name="TextRefCopy8" localSheetId="2">#REF!</definedName>
    <definedName name="TextRefCopy85">'[4]Tax computation'!$I$51</definedName>
    <definedName name="TextRefCopy86" localSheetId="1">#REF!</definedName>
    <definedName name="TextRefCopy86" localSheetId="0">#REF!</definedName>
    <definedName name="TextRefCopy86" localSheetId="2">#REF!</definedName>
    <definedName name="TextRefCopy89" localSheetId="1">#REF!</definedName>
    <definedName name="TextRefCopy89" localSheetId="0">#REF!</definedName>
    <definedName name="TextRefCopy89" localSheetId="2">#REF!</definedName>
    <definedName name="TextRefCopy9" localSheetId="1">#REF!</definedName>
    <definedName name="TextRefCopy9" localSheetId="0">#REF!</definedName>
    <definedName name="TextRefCopy9" localSheetId="2">#REF!</definedName>
    <definedName name="TextRefCopy90" localSheetId="1">'[4]Tax computation'!#REF!</definedName>
    <definedName name="TextRefCopy90" localSheetId="0">'[4]Tax computation'!#REF!</definedName>
    <definedName name="TextRefCopy90" localSheetId="2">'[4]Tax computation'!#REF!</definedName>
    <definedName name="TextRefCopy91" localSheetId="1">#REF!</definedName>
    <definedName name="TextRefCopy91" localSheetId="0">#REF!</definedName>
    <definedName name="TextRefCopy91" localSheetId="2">#REF!</definedName>
    <definedName name="TextRefCopy93" localSheetId="1">[5]Summary!#REF!</definedName>
    <definedName name="TextRefCopy93" localSheetId="0">[5]Summary!#REF!</definedName>
    <definedName name="TextRefCopy93" localSheetId="2">[5]Summary!#REF!</definedName>
    <definedName name="TextRefCopy98" localSheetId="1">#REF!</definedName>
    <definedName name="TextRefCopy98" localSheetId="0">#REF!</definedName>
    <definedName name="TextRefCopy98" localSheetId="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01-月費收纳表_2025 - gyt (HuiHe updated 06.07.2025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89" l="1"/>
  <c r="L34" i="89" s="1"/>
  <c r="D34" i="89"/>
  <c r="H33" i="89"/>
  <c r="L33" i="89" s="1"/>
  <c r="D33" i="89"/>
  <c r="H32" i="89"/>
  <c r="L32" i="89" s="1"/>
  <c r="D32" i="89"/>
  <c r="H31" i="89"/>
  <c r="L31" i="89" s="1"/>
  <c r="D31" i="89"/>
  <c r="H30" i="89"/>
  <c r="L30" i="89" s="1"/>
  <c r="D30" i="89"/>
  <c r="D27" i="89"/>
  <c r="H27" i="89"/>
  <c r="L27" i="89" s="1"/>
  <c r="D28" i="89"/>
  <c r="H28" i="89"/>
  <c r="L28" i="89" s="1"/>
  <c r="D29" i="89"/>
  <c r="H29" i="89"/>
  <c r="L29" i="89" s="1"/>
  <c r="D39" i="88"/>
  <c r="D38" i="88"/>
  <c r="H35" i="88"/>
  <c r="L35" i="88" s="1"/>
  <c r="D35" i="88"/>
  <c r="H33" i="88"/>
  <c r="L33" i="88" s="1"/>
  <c r="D33" i="88"/>
  <c r="H30" i="88"/>
  <c r="L30" i="88" s="1"/>
  <c r="N35" i="39"/>
  <c r="N34" i="85"/>
  <c r="J30" i="87" l="1"/>
  <c r="J31" i="87"/>
  <c r="J32" i="87"/>
  <c r="J33" i="87"/>
  <c r="J34" i="87"/>
  <c r="H29" i="87"/>
  <c r="H30" i="87"/>
  <c r="H31" i="87"/>
  <c r="H32" i="87"/>
  <c r="H33" i="87"/>
  <c r="H34" i="87"/>
  <c r="D29" i="87"/>
  <c r="D30" i="87"/>
  <c r="D31" i="87"/>
  <c r="D32" i="87"/>
  <c r="D33" i="87"/>
  <c r="D34" i="87"/>
  <c r="H21" i="87"/>
  <c r="J21" i="87" s="1"/>
  <c r="H22" i="87"/>
  <c r="J22" i="87" s="1"/>
  <c r="H23" i="87"/>
  <c r="H24" i="87"/>
  <c r="H25" i="87"/>
  <c r="H26" i="87"/>
  <c r="D21" i="87"/>
  <c r="D22" i="87"/>
  <c r="D23" i="87"/>
  <c r="D24" i="87"/>
  <c r="D25" i="87"/>
  <c r="D26" i="87"/>
  <c r="D27" i="87"/>
  <c r="D28" i="87"/>
  <c r="K47" i="90"/>
  <c r="L44" i="90"/>
  <c r="L43" i="90"/>
  <c r="H43" i="90"/>
  <c r="D43" i="90"/>
  <c r="L42" i="90"/>
  <c r="H42" i="90"/>
  <c r="D42" i="90"/>
  <c r="L41" i="90"/>
  <c r="H41" i="90"/>
  <c r="D41" i="90"/>
  <c r="L40" i="90"/>
  <c r="H40" i="90"/>
  <c r="D40" i="90"/>
  <c r="L39" i="90"/>
  <c r="H39" i="90"/>
  <c r="D39" i="90"/>
  <c r="L38" i="90"/>
  <c r="H38" i="90"/>
  <c r="D38" i="90"/>
  <c r="L37" i="90"/>
  <c r="H37" i="90"/>
  <c r="D37" i="90"/>
  <c r="L36" i="90"/>
  <c r="H36" i="90"/>
  <c r="D36" i="90"/>
  <c r="L35" i="90"/>
  <c r="H35" i="90"/>
  <c r="D35" i="90"/>
  <c r="L34" i="90"/>
  <c r="H34" i="90"/>
  <c r="D34" i="90"/>
  <c r="L33" i="90"/>
  <c r="H33" i="90"/>
  <c r="D33" i="90"/>
  <c r="L32" i="90"/>
  <c r="H32" i="90"/>
  <c r="D32" i="90"/>
  <c r="L31" i="90"/>
  <c r="H31" i="90"/>
  <c r="D31" i="90"/>
  <c r="L30" i="90"/>
  <c r="H30" i="90"/>
  <c r="D30" i="90"/>
  <c r="L29" i="90"/>
  <c r="H29" i="90"/>
  <c r="D29" i="90"/>
  <c r="L28" i="90"/>
  <c r="H28" i="90"/>
  <c r="D28" i="90"/>
  <c r="L27" i="90"/>
  <c r="H27" i="90"/>
  <c r="D27" i="90"/>
  <c r="L26" i="90"/>
  <c r="H26" i="90"/>
  <c r="D26" i="90"/>
  <c r="J23" i="90"/>
  <c r="H23" i="90"/>
  <c r="D23" i="90"/>
  <c r="J22" i="90"/>
  <c r="H22" i="90"/>
  <c r="D22" i="90"/>
  <c r="J21" i="90"/>
  <c r="H21" i="90"/>
  <c r="D21" i="90"/>
  <c r="J20" i="90"/>
  <c r="H20" i="90"/>
  <c r="D20" i="90"/>
  <c r="J19" i="90"/>
  <c r="H19" i="90"/>
  <c r="D19" i="90"/>
  <c r="J18" i="90"/>
  <c r="H18" i="90"/>
  <c r="D18" i="90"/>
  <c r="J17" i="90"/>
  <c r="H17" i="90"/>
  <c r="D17" i="90"/>
  <c r="J16" i="90"/>
  <c r="H16" i="90"/>
  <c r="D16" i="90"/>
  <c r="J15" i="90"/>
  <c r="H15" i="90"/>
  <c r="D15" i="90"/>
  <c r="J14" i="90"/>
  <c r="H14" i="90"/>
  <c r="D14" i="90"/>
  <c r="J13" i="90"/>
  <c r="H13" i="90"/>
  <c r="D13" i="90"/>
  <c r="N12" i="90"/>
  <c r="N47" i="90" s="1"/>
  <c r="J12" i="90"/>
  <c r="H12" i="90"/>
  <c r="D12" i="90"/>
  <c r="J11" i="90"/>
  <c r="H11" i="90"/>
  <c r="D11" i="90"/>
  <c r="J10" i="90"/>
  <c r="H10" i="90"/>
  <c r="D10" i="90"/>
  <c r="J9" i="90"/>
  <c r="H9" i="90"/>
  <c r="D9" i="90"/>
  <c r="K47" i="89"/>
  <c r="L44" i="89"/>
  <c r="L43" i="89"/>
  <c r="H43" i="89"/>
  <c r="D43" i="89"/>
  <c r="L42" i="89"/>
  <c r="H42" i="89"/>
  <c r="D42" i="89"/>
  <c r="L41" i="89"/>
  <c r="H41" i="89"/>
  <c r="D41" i="89"/>
  <c r="L40" i="89"/>
  <c r="H40" i="89"/>
  <c r="D40" i="89"/>
  <c r="L39" i="89"/>
  <c r="H39" i="89"/>
  <c r="D39" i="89"/>
  <c r="L38" i="89"/>
  <c r="H38" i="89"/>
  <c r="D38" i="89"/>
  <c r="L37" i="89"/>
  <c r="H37" i="89"/>
  <c r="D37" i="89"/>
  <c r="L36" i="89"/>
  <c r="H36" i="89"/>
  <c r="D36" i="89"/>
  <c r="H35" i="89"/>
  <c r="L35" i="89" s="1"/>
  <c r="D35" i="89"/>
  <c r="H26" i="89"/>
  <c r="L26" i="89" s="1"/>
  <c r="D26" i="89"/>
  <c r="J23" i="89"/>
  <c r="H23" i="89"/>
  <c r="D23" i="89"/>
  <c r="J22" i="89"/>
  <c r="H22" i="89"/>
  <c r="D22" i="89"/>
  <c r="J21" i="89"/>
  <c r="H21" i="89"/>
  <c r="D21" i="89"/>
  <c r="J20" i="89"/>
  <c r="H20" i="89"/>
  <c r="D20" i="89"/>
  <c r="J19" i="89"/>
  <c r="H19" i="89"/>
  <c r="D19" i="89"/>
  <c r="J18" i="89"/>
  <c r="H18" i="89"/>
  <c r="D18" i="89"/>
  <c r="J17" i="89"/>
  <c r="H17" i="89"/>
  <c r="D17" i="89"/>
  <c r="J16" i="89"/>
  <c r="H16" i="89"/>
  <c r="D16" i="89"/>
  <c r="J15" i="89"/>
  <c r="H15" i="89"/>
  <c r="D15" i="89"/>
  <c r="J14" i="89"/>
  <c r="H14" i="89"/>
  <c r="D14" i="89"/>
  <c r="J13" i="89"/>
  <c r="H13" i="89"/>
  <c r="D13" i="89"/>
  <c r="N12" i="89"/>
  <c r="N47" i="89" s="1"/>
  <c r="J12" i="89"/>
  <c r="H12" i="89"/>
  <c r="D12" i="89"/>
  <c r="J11" i="89"/>
  <c r="H11" i="89"/>
  <c r="D11" i="89"/>
  <c r="J10" i="89"/>
  <c r="H10" i="89"/>
  <c r="D10" i="89"/>
  <c r="J9" i="89"/>
  <c r="H9" i="89"/>
  <c r="D9" i="89"/>
  <c r="K50" i="88"/>
  <c r="L47" i="88"/>
  <c r="L46" i="88"/>
  <c r="H46" i="88"/>
  <c r="D46" i="88"/>
  <c r="L45" i="88"/>
  <c r="H45" i="88"/>
  <c r="D45" i="88"/>
  <c r="L44" i="88"/>
  <c r="H44" i="88"/>
  <c r="D44" i="88"/>
  <c r="L43" i="88"/>
  <c r="H43" i="88"/>
  <c r="D43" i="88"/>
  <c r="L42" i="88"/>
  <c r="H42" i="88"/>
  <c r="D42" i="88"/>
  <c r="L41" i="88"/>
  <c r="H41" i="88"/>
  <c r="D41" i="88"/>
  <c r="L40" i="88"/>
  <c r="H40" i="88"/>
  <c r="D40" i="88"/>
  <c r="H39" i="88"/>
  <c r="L39" i="88" s="1"/>
  <c r="H38" i="88"/>
  <c r="L38" i="88" s="1"/>
  <c r="H37" i="88"/>
  <c r="L37" i="88" s="1"/>
  <c r="D37" i="88"/>
  <c r="H36" i="88"/>
  <c r="L36" i="88" s="1"/>
  <c r="D36" i="88"/>
  <c r="H32" i="88"/>
  <c r="L32" i="88" s="1"/>
  <c r="D32" i="88"/>
  <c r="H29" i="88"/>
  <c r="L29" i="88" s="1"/>
  <c r="D29" i="88"/>
  <c r="H34" i="88"/>
  <c r="L34" i="88" s="1"/>
  <c r="D34" i="88"/>
  <c r="H31" i="88"/>
  <c r="L31" i="88" s="1"/>
  <c r="D31" i="88"/>
  <c r="H27" i="88"/>
  <c r="L27" i="88" s="1"/>
  <c r="D27" i="88"/>
  <c r="H26" i="88"/>
  <c r="L26" i="88" s="1"/>
  <c r="D26" i="88"/>
  <c r="H28" i="88"/>
  <c r="L28" i="88" s="1"/>
  <c r="D28" i="88"/>
  <c r="J23" i="88"/>
  <c r="H23" i="88"/>
  <c r="D23" i="88"/>
  <c r="J22" i="88"/>
  <c r="H22" i="88"/>
  <c r="D22" i="88"/>
  <c r="J21" i="88"/>
  <c r="H21" i="88"/>
  <c r="D21" i="88"/>
  <c r="H20" i="88"/>
  <c r="J20" i="88" s="1"/>
  <c r="D20" i="88"/>
  <c r="H19" i="88"/>
  <c r="J19" i="88" s="1"/>
  <c r="N20" i="88" s="1"/>
  <c r="D19" i="88"/>
  <c r="H18" i="88"/>
  <c r="D18" i="88"/>
  <c r="H17" i="88"/>
  <c r="D17" i="88"/>
  <c r="H16" i="88"/>
  <c r="D16" i="88"/>
  <c r="H15" i="88"/>
  <c r="D15" i="88"/>
  <c r="H14" i="88"/>
  <c r="D14" i="88"/>
  <c r="H13" i="88"/>
  <c r="D13" i="88"/>
  <c r="H12" i="88"/>
  <c r="D12" i="88"/>
  <c r="H11" i="88"/>
  <c r="D11" i="88"/>
  <c r="H10" i="88"/>
  <c r="J10" i="88" s="1"/>
  <c r="D10" i="88"/>
  <c r="H9" i="88"/>
  <c r="D9" i="88"/>
  <c r="N34" i="84"/>
  <c r="D29" i="74"/>
  <c r="D30" i="74"/>
  <c r="D31" i="74"/>
  <c r="D32" i="74"/>
  <c r="D33" i="74"/>
  <c r="D34" i="74"/>
  <c r="D35" i="74"/>
  <c r="D36" i="74"/>
  <c r="D37" i="74"/>
  <c r="D38" i="74"/>
  <c r="D39" i="74"/>
  <c r="H35" i="52"/>
  <c r="N22" i="87" l="1"/>
  <c r="L47" i="90"/>
  <c r="J47" i="90"/>
  <c r="J47" i="89"/>
  <c r="J18" i="88"/>
  <c r="J14" i="88"/>
  <c r="J17" i="88"/>
  <c r="J16" i="88"/>
  <c r="J15" i="88"/>
  <c r="J13" i="88"/>
  <c r="J12" i="88"/>
  <c r="J11" i="88"/>
  <c r="N18" i="88" s="1"/>
  <c r="L50" i="88"/>
  <c r="J9" i="88"/>
  <c r="N9" i="88" s="1"/>
  <c r="L47" i="89"/>
  <c r="J29" i="87"/>
  <c r="J26" i="87"/>
  <c r="J25" i="87"/>
  <c r="J24" i="87"/>
  <c r="J23" i="87"/>
  <c r="N50" i="88" l="1"/>
  <c r="J50" i="88"/>
  <c r="D47" i="85"/>
  <c r="D48" i="85"/>
  <c r="D49" i="85"/>
  <c r="D50" i="85"/>
  <c r="D51" i="85"/>
  <c r="D52" i="85"/>
  <c r="D53" i="85"/>
  <c r="D54" i="85"/>
  <c r="D55" i="85"/>
  <c r="D56" i="85"/>
  <c r="D57" i="85"/>
  <c r="D58" i="85"/>
  <c r="D59" i="85"/>
  <c r="D60" i="85"/>
  <c r="D61" i="85"/>
  <c r="D62" i="85"/>
  <c r="D63" i="85"/>
  <c r="D46" i="85"/>
  <c r="D10" i="85"/>
  <c r="D11" i="85"/>
  <c r="D12" i="85"/>
  <c r="D13" i="85"/>
  <c r="D14" i="85"/>
  <c r="D15" i="85"/>
  <c r="D16" i="85"/>
  <c r="D17" i="85"/>
  <c r="D18" i="85"/>
  <c r="D19" i="85"/>
  <c r="D20" i="85"/>
  <c r="D21" i="85"/>
  <c r="D22" i="85"/>
  <c r="D23" i="85"/>
  <c r="D24" i="85"/>
  <c r="D25" i="85"/>
  <c r="D26" i="85"/>
  <c r="D27" i="85"/>
  <c r="D28" i="85"/>
  <c r="D29" i="85"/>
  <c r="D30" i="85"/>
  <c r="D31" i="85"/>
  <c r="D32" i="85"/>
  <c r="D33" i="85"/>
  <c r="D34" i="85"/>
  <c r="D35" i="85"/>
  <c r="D36" i="85"/>
  <c r="D37" i="85"/>
  <c r="D38" i="85"/>
  <c r="D39" i="85"/>
  <c r="D40" i="85"/>
  <c r="D41" i="85"/>
  <c r="D42" i="85"/>
  <c r="D9" i="85"/>
  <c r="D38" i="87" l="1"/>
  <c r="D39" i="87"/>
  <c r="D41" i="87"/>
  <c r="D44" i="87"/>
  <c r="D45" i="87"/>
  <c r="D42" i="87"/>
  <c r="D43" i="87"/>
  <c r="D40" i="87"/>
  <c r="D46" i="87"/>
  <c r="D47" i="87"/>
  <c r="D48" i="87"/>
  <c r="D49" i="87"/>
  <c r="D50" i="87"/>
  <c r="D51" i="87"/>
  <c r="D52" i="87"/>
  <c r="D53" i="87"/>
  <c r="D54" i="87"/>
  <c r="D37" i="87"/>
  <c r="D10" i="87"/>
  <c r="D11" i="87"/>
  <c r="D12" i="87"/>
  <c r="D13" i="87"/>
  <c r="D14" i="87"/>
  <c r="D15" i="87"/>
  <c r="D16" i="87"/>
  <c r="D17" i="87"/>
  <c r="D18" i="87"/>
  <c r="D19" i="87"/>
  <c r="D20" i="87"/>
  <c r="D9" i="87"/>
  <c r="D27" i="78"/>
  <c r="D28" i="78"/>
  <c r="D29" i="78"/>
  <c r="D30" i="78"/>
  <c r="D31" i="78"/>
  <c r="D32" i="78"/>
  <c r="D33" i="78"/>
  <c r="D34" i="78"/>
  <c r="D35" i="78"/>
  <c r="D36" i="78"/>
  <c r="D37" i="78"/>
  <c r="D38" i="78"/>
  <c r="D39" i="78"/>
  <c r="D40" i="78"/>
  <c r="D41" i="78"/>
  <c r="D42" i="78"/>
  <c r="D43" i="78"/>
  <c r="D26" i="78"/>
  <c r="D10" i="78"/>
  <c r="D11" i="78"/>
  <c r="D12" i="78"/>
  <c r="D13" i="78"/>
  <c r="D14" i="78"/>
  <c r="D15" i="78"/>
  <c r="D16" i="78"/>
  <c r="D17" i="78"/>
  <c r="D18" i="78"/>
  <c r="D19" i="78"/>
  <c r="D20" i="78"/>
  <c r="D21" i="78"/>
  <c r="D22" i="78"/>
  <c r="D23" i="78"/>
  <c r="D9" i="78"/>
  <c r="D47" i="86"/>
  <c r="D48" i="86"/>
  <c r="D49" i="86"/>
  <c r="D50" i="86"/>
  <c r="D51" i="86"/>
  <c r="D52" i="86"/>
  <c r="D53" i="86"/>
  <c r="D54" i="86"/>
  <c r="D58" i="86"/>
  <c r="D55" i="86"/>
  <c r="D56" i="86"/>
  <c r="D57" i="86"/>
  <c r="D59" i="86"/>
  <c r="D60" i="86"/>
  <c r="D61" i="86"/>
  <c r="D62" i="86"/>
  <c r="D63" i="86"/>
  <c r="D46" i="86"/>
  <c r="D13" i="86"/>
  <c r="D14" i="86"/>
  <c r="D15" i="86"/>
  <c r="D16" i="86"/>
  <c r="D17" i="86"/>
  <c r="D18" i="86"/>
  <c r="D19" i="86"/>
  <c r="D20" i="86"/>
  <c r="D21" i="86"/>
  <c r="D22" i="86"/>
  <c r="D23" i="86"/>
  <c r="D24" i="86"/>
  <c r="D25" i="86"/>
  <c r="D26" i="86"/>
  <c r="D27" i="86"/>
  <c r="D28" i="86"/>
  <c r="D29" i="86"/>
  <c r="D30" i="86"/>
  <c r="D31" i="86"/>
  <c r="D32" i="86"/>
  <c r="D33" i="86"/>
  <c r="D34" i="86"/>
  <c r="D35" i="86"/>
  <c r="D36" i="86"/>
  <c r="D37" i="86"/>
  <c r="D38" i="86"/>
  <c r="D39" i="86"/>
  <c r="D40" i="86"/>
  <c r="D41" i="86"/>
  <c r="D42" i="86"/>
  <c r="D12" i="86"/>
  <c r="K58" i="87"/>
  <c r="L55" i="87"/>
  <c r="L54" i="87"/>
  <c r="H54" i="87"/>
  <c r="L53" i="87"/>
  <c r="H53" i="87"/>
  <c r="H52" i="87"/>
  <c r="L52" i="87" s="1"/>
  <c r="H51" i="87"/>
  <c r="L51" i="87" s="1"/>
  <c r="H50" i="87"/>
  <c r="L50" i="87" s="1"/>
  <c r="H49" i="87"/>
  <c r="L49" i="87" s="1"/>
  <c r="H48" i="87"/>
  <c r="L48" i="87" s="1"/>
  <c r="H47" i="87"/>
  <c r="L47" i="87" s="1"/>
  <c r="H46" i="87"/>
  <c r="L46" i="87" s="1"/>
  <c r="H40" i="87"/>
  <c r="L40" i="87" s="1"/>
  <c r="H43" i="87"/>
  <c r="L43" i="87" s="1"/>
  <c r="H42" i="87"/>
  <c r="L42" i="87" s="1"/>
  <c r="H45" i="87"/>
  <c r="L45" i="87" s="1"/>
  <c r="H44" i="87"/>
  <c r="L44" i="87" s="1"/>
  <c r="H41" i="87"/>
  <c r="L41" i="87" s="1"/>
  <c r="H39" i="87"/>
  <c r="L39" i="87" s="1"/>
  <c r="H38" i="87"/>
  <c r="L38" i="87" s="1"/>
  <c r="H37" i="87"/>
  <c r="L37" i="87" s="1"/>
  <c r="H28" i="87"/>
  <c r="H27" i="87"/>
  <c r="H20" i="87"/>
  <c r="J20" i="87" s="1"/>
  <c r="H19" i="87"/>
  <c r="J19" i="87" s="1"/>
  <c r="H18" i="87"/>
  <c r="J18" i="87" s="1"/>
  <c r="H17" i="87"/>
  <c r="J17" i="87" s="1"/>
  <c r="H16" i="87"/>
  <c r="J16" i="87" s="1"/>
  <c r="N20" i="87" s="1"/>
  <c r="H15" i="87"/>
  <c r="J15" i="87" s="1"/>
  <c r="H14" i="87"/>
  <c r="J14" i="87" s="1"/>
  <c r="H13" i="87"/>
  <c r="J13" i="87" s="1"/>
  <c r="H12" i="87"/>
  <c r="J12" i="87" s="1"/>
  <c r="H11" i="87"/>
  <c r="J11" i="87" s="1"/>
  <c r="H10" i="87"/>
  <c r="J10" i="87" s="1"/>
  <c r="H9" i="87"/>
  <c r="J9" i="87" s="1"/>
  <c r="K67" i="86"/>
  <c r="L64" i="86"/>
  <c r="L63" i="86"/>
  <c r="H63" i="86"/>
  <c r="L62" i="86"/>
  <c r="H62" i="86"/>
  <c r="L61" i="86"/>
  <c r="H61" i="86"/>
  <c r="H60" i="86"/>
  <c r="L60" i="86" s="1"/>
  <c r="H59" i="86"/>
  <c r="L59" i="86" s="1"/>
  <c r="H57" i="86"/>
  <c r="L57" i="86" s="1"/>
  <c r="H56" i="86"/>
  <c r="L56" i="86" s="1"/>
  <c r="H55" i="86"/>
  <c r="L55" i="86" s="1"/>
  <c r="H58" i="86"/>
  <c r="L58" i="86" s="1"/>
  <c r="H54" i="86"/>
  <c r="L54" i="86" s="1"/>
  <c r="H53" i="86"/>
  <c r="L53" i="86" s="1"/>
  <c r="H52" i="86"/>
  <c r="L52" i="86" s="1"/>
  <c r="H51" i="86"/>
  <c r="L51" i="86" s="1"/>
  <c r="H50" i="86"/>
  <c r="L50" i="86" s="1"/>
  <c r="H49" i="86"/>
  <c r="L49" i="86" s="1"/>
  <c r="H48" i="86"/>
  <c r="L48" i="86" s="1"/>
  <c r="H47" i="86"/>
  <c r="L47" i="86" s="1"/>
  <c r="H46" i="86"/>
  <c r="L46" i="86" s="1"/>
  <c r="N42" i="86"/>
  <c r="J42" i="86"/>
  <c r="H42" i="86"/>
  <c r="J41" i="86"/>
  <c r="H41" i="86"/>
  <c r="J40" i="86"/>
  <c r="H40" i="86"/>
  <c r="J39" i="86"/>
  <c r="H39" i="86"/>
  <c r="J38" i="86"/>
  <c r="H38" i="86"/>
  <c r="J37" i="86"/>
  <c r="H37" i="86"/>
  <c r="J36" i="86"/>
  <c r="H36" i="86"/>
  <c r="J35" i="86"/>
  <c r="H35" i="86"/>
  <c r="J34" i="86"/>
  <c r="H34" i="86"/>
  <c r="J33" i="86"/>
  <c r="H33" i="86"/>
  <c r="J32" i="86"/>
  <c r="H32" i="86"/>
  <c r="J31" i="86"/>
  <c r="H31" i="86"/>
  <c r="H30" i="86"/>
  <c r="J30" i="86" s="1"/>
  <c r="H29" i="86"/>
  <c r="J29" i="86" s="1"/>
  <c r="H28" i="86"/>
  <c r="J28" i="86" s="1"/>
  <c r="H27" i="86"/>
  <c r="J27" i="86" s="1"/>
  <c r="H26" i="86"/>
  <c r="J26" i="86" s="1"/>
  <c r="H25" i="86"/>
  <c r="J25" i="86" s="1"/>
  <c r="J24" i="86"/>
  <c r="H24" i="86"/>
  <c r="H23" i="86"/>
  <c r="J23" i="86" s="1"/>
  <c r="H22" i="86"/>
  <c r="J22" i="86" s="1"/>
  <c r="H21" i="86"/>
  <c r="J21" i="86" s="1"/>
  <c r="H20" i="86"/>
  <c r="J20" i="86" s="1"/>
  <c r="H19" i="86"/>
  <c r="J19" i="86" s="1"/>
  <c r="H18" i="86"/>
  <c r="J18" i="86" s="1"/>
  <c r="H17" i="86"/>
  <c r="J17" i="86" s="1"/>
  <c r="H16" i="86"/>
  <c r="J16" i="86" s="1"/>
  <c r="H15" i="86"/>
  <c r="J15" i="86" s="1"/>
  <c r="H14" i="86"/>
  <c r="J14" i="86" s="1"/>
  <c r="H13" i="86"/>
  <c r="J13" i="86" s="1"/>
  <c r="H12" i="86"/>
  <c r="J12" i="86" s="1"/>
  <c r="H11" i="86"/>
  <c r="J11" i="86" s="1"/>
  <c r="D11" i="86"/>
  <c r="H10" i="86"/>
  <c r="J10" i="86" s="1"/>
  <c r="D10" i="86"/>
  <c r="H9" i="86"/>
  <c r="J9" i="86" s="1"/>
  <c r="D9" i="86"/>
  <c r="N30" i="86" l="1"/>
  <c r="N23" i="86"/>
  <c r="N14" i="86"/>
  <c r="J28" i="87"/>
  <c r="J27" i="87"/>
  <c r="N15" i="87"/>
  <c r="L58" i="87"/>
  <c r="L67" i="86"/>
  <c r="J67" i="86"/>
  <c r="N29" i="87" l="1"/>
  <c r="N58" i="87" s="1"/>
  <c r="J58" i="87"/>
  <c r="N67" i="86"/>
  <c r="N29" i="84"/>
  <c r="D49" i="84"/>
  <c r="D50" i="84"/>
  <c r="D51" i="84"/>
  <c r="D52" i="84"/>
  <c r="D53" i="84"/>
  <c r="D54" i="84"/>
  <c r="D55" i="84"/>
  <c r="D56" i="84"/>
  <c r="D57" i="84"/>
  <c r="D58" i="84"/>
  <c r="D59" i="84"/>
  <c r="D60" i="84"/>
  <c r="D61" i="84"/>
  <c r="K67" i="85" l="1"/>
  <c r="L64" i="85"/>
  <c r="L63" i="85"/>
  <c r="H63" i="85"/>
  <c r="L62" i="85"/>
  <c r="H62" i="85"/>
  <c r="L61" i="85"/>
  <c r="H61" i="85"/>
  <c r="L60" i="85"/>
  <c r="H60" i="85"/>
  <c r="H59" i="85"/>
  <c r="L59" i="85" s="1"/>
  <c r="H58" i="85"/>
  <c r="L58" i="85" s="1"/>
  <c r="H57" i="85"/>
  <c r="L57" i="85" s="1"/>
  <c r="H56" i="85"/>
  <c r="L56" i="85" s="1"/>
  <c r="H55" i="85"/>
  <c r="L55" i="85" s="1"/>
  <c r="H54" i="85"/>
  <c r="L54" i="85" s="1"/>
  <c r="H53" i="85"/>
  <c r="L53" i="85" s="1"/>
  <c r="H52" i="85"/>
  <c r="L52" i="85" s="1"/>
  <c r="H51" i="85"/>
  <c r="L51" i="85" s="1"/>
  <c r="H50" i="85"/>
  <c r="L50" i="85" s="1"/>
  <c r="H49" i="85"/>
  <c r="L49" i="85" s="1"/>
  <c r="H48" i="85"/>
  <c r="L48" i="85" s="1"/>
  <c r="H47" i="85"/>
  <c r="L47" i="85" s="1"/>
  <c r="H46" i="85"/>
  <c r="L46" i="85" s="1"/>
  <c r="J42" i="85"/>
  <c r="H42" i="85"/>
  <c r="J41" i="85"/>
  <c r="H41" i="85"/>
  <c r="J40" i="85"/>
  <c r="H40" i="85"/>
  <c r="J39" i="85"/>
  <c r="H39" i="85"/>
  <c r="J38" i="85"/>
  <c r="H38" i="85"/>
  <c r="J37" i="85"/>
  <c r="H37" i="85"/>
  <c r="J36" i="85"/>
  <c r="H36" i="85"/>
  <c r="J35" i="85"/>
  <c r="H35" i="85"/>
  <c r="J34" i="85"/>
  <c r="H34" i="85"/>
  <c r="J33" i="85"/>
  <c r="H33" i="85"/>
  <c r="J32" i="85"/>
  <c r="H32" i="85"/>
  <c r="J31" i="85"/>
  <c r="H31" i="85"/>
  <c r="J30" i="85"/>
  <c r="H30" i="85"/>
  <c r="J29" i="85"/>
  <c r="H29" i="85"/>
  <c r="J28" i="85"/>
  <c r="H28" i="85"/>
  <c r="J27" i="85"/>
  <c r="H27" i="85"/>
  <c r="J26" i="85"/>
  <c r="H26" i="85"/>
  <c r="J25" i="85"/>
  <c r="H25" i="85"/>
  <c r="H24" i="85"/>
  <c r="J24" i="85" s="1"/>
  <c r="N24" i="85" s="1"/>
  <c r="H23" i="85"/>
  <c r="J23" i="85" s="1"/>
  <c r="H22" i="85"/>
  <c r="J22" i="85" s="1"/>
  <c r="H21" i="85"/>
  <c r="J21" i="85" s="1"/>
  <c r="H20" i="85"/>
  <c r="J20" i="85" s="1"/>
  <c r="H19" i="85"/>
  <c r="J19" i="85" s="1"/>
  <c r="N19" i="85" s="1"/>
  <c r="H18" i="85"/>
  <c r="J18" i="85" s="1"/>
  <c r="H17" i="85"/>
  <c r="J17" i="85" s="1"/>
  <c r="N18" i="85" s="1"/>
  <c r="H16" i="85"/>
  <c r="J16" i="85" s="1"/>
  <c r="H15" i="85"/>
  <c r="J15" i="85" s="1"/>
  <c r="H14" i="85"/>
  <c r="J14" i="85" s="1"/>
  <c r="H13" i="85"/>
  <c r="J13" i="85" s="1"/>
  <c r="H12" i="85"/>
  <c r="J12" i="85" s="1"/>
  <c r="H11" i="85"/>
  <c r="J11" i="85" s="1"/>
  <c r="H10" i="85"/>
  <c r="J10" i="85" s="1"/>
  <c r="H9" i="85"/>
  <c r="J9" i="85" s="1"/>
  <c r="N23" i="85" l="1"/>
  <c r="N16" i="85"/>
  <c r="N42" i="85"/>
  <c r="J67" i="85"/>
  <c r="L67" i="85"/>
  <c r="D9" i="84"/>
  <c r="H9" i="84"/>
  <c r="J9" i="84" s="1"/>
  <c r="D10" i="84"/>
  <c r="H10" i="84"/>
  <c r="J10" i="84" s="1"/>
  <c r="D11" i="84"/>
  <c r="H11" i="84"/>
  <c r="J11" i="84" s="1"/>
  <c r="D12" i="84"/>
  <c r="H12" i="84"/>
  <c r="J12" i="84" s="1"/>
  <c r="D13" i="84"/>
  <c r="H13" i="84"/>
  <c r="J13" i="84" s="1"/>
  <c r="D14" i="84"/>
  <c r="H14" i="84"/>
  <c r="J14" i="84" s="1"/>
  <c r="D15" i="84"/>
  <c r="H15" i="84"/>
  <c r="J15" i="84" s="1"/>
  <c r="D16" i="84"/>
  <c r="H16" i="84"/>
  <c r="J16" i="84" s="1"/>
  <c r="D17" i="84"/>
  <c r="H17" i="84"/>
  <c r="J17" i="84" s="1"/>
  <c r="D18" i="84"/>
  <c r="H18" i="84"/>
  <c r="J18" i="84" s="1"/>
  <c r="D19" i="84"/>
  <c r="H19" i="84"/>
  <c r="J19" i="84" s="1"/>
  <c r="D20" i="84"/>
  <c r="H20" i="84"/>
  <c r="J20" i="84" s="1"/>
  <c r="D21" i="84"/>
  <c r="H21" i="84"/>
  <c r="J21" i="84" s="1"/>
  <c r="D22" i="84"/>
  <c r="H22" i="84"/>
  <c r="J22" i="84" s="1"/>
  <c r="D23" i="84"/>
  <c r="H23" i="84"/>
  <c r="J23" i="84" s="1"/>
  <c r="D24" i="84"/>
  <c r="H24" i="84"/>
  <c r="J24" i="84" s="1"/>
  <c r="D25" i="84"/>
  <c r="H25" i="84"/>
  <c r="J25" i="84" s="1"/>
  <c r="D26" i="84"/>
  <c r="H26" i="84"/>
  <c r="J26" i="84" s="1"/>
  <c r="D27" i="84"/>
  <c r="H27" i="84"/>
  <c r="D28" i="84"/>
  <c r="H28" i="84"/>
  <c r="D29" i="84"/>
  <c r="H29" i="84"/>
  <c r="D30" i="84"/>
  <c r="H30" i="84"/>
  <c r="D31" i="84"/>
  <c r="H31" i="84"/>
  <c r="D32" i="84"/>
  <c r="H32" i="84"/>
  <c r="D33" i="84"/>
  <c r="H33" i="84"/>
  <c r="D34" i="84"/>
  <c r="H34" i="84"/>
  <c r="D35" i="84"/>
  <c r="H35" i="84"/>
  <c r="D36" i="84"/>
  <c r="H36" i="84"/>
  <c r="D37" i="84"/>
  <c r="H37" i="84"/>
  <c r="D38" i="84"/>
  <c r="H38" i="84"/>
  <c r="D39" i="84"/>
  <c r="H39" i="84"/>
  <c r="D40" i="84"/>
  <c r="H40" i="84"/>
  <c r="D41" i="84"/>
  <c r="H41" i="84"/>
  <c r="K67" i="84"/>
  <c r="L64" i="84"/>
  <c r="L63" i="84"/>
  <c r="H63" i="84"/>
  <c r="D63" i="84"/>
  <c r="H62" i="84"/>
  <c r="L62" i="84" s="1"/>
  <c r="D62" i="84"/>
  <c r="H61" i="84"/>
  <c r="L61" i="84" s="1"/>
  <c r="H60" i="84"/>
  <c r="L60" i="84" s="1"/>
  <c r="H59" i="84"/>
  <c r="L59" i="84" s="1"/>
  <c r="H58" i="84"/>
  <c r="L58" i="84" s="1"/>
  <c r="H57" i="84"/>
  <c r="L57" i="84" s="1"/>
  <c r="H56" i="84"/>
  <c r="L56" i="84" s="1"/>
  <c r="H55" i="84"/>
  <c r="L55" i="84" s="1"/>
  <c r="H54" i="84"/>
  <c r="L54" i="84" s="1"/>
  <c r="H53" i="84"/>
  <c r="L53" i="84" s="1"/>
  <c r="H52" i="84"/>
  <c r="L52" i="84" s="1"/>
  <c r="H51" i="84"/>
  <c r="L51" i="84" s="1"/>
  <c r="H50" i="84"/>
  <c r="L50" i="84" s="1"/>
  <c r="H49" i="84"/>
  <c r="L49" i="84" s="1"/>
  <c r="H48" i="84"/>
  <c r="L48" i="84" s="1"/>
  <c r="D48" i="84"/>
  <c r="H47" i="84"/>
  <c r="L47" i="84" s="1"/>
  <c r="D47" i="84"/>
  <c r="H46" i="84"/>
  <c r="L46" i="84" s="1"/>
  <c r="D46" i="84"/>
  <c r="J42" i="84"/>
  <c r="H42" i="84"/>
  <c r="D42" i="84"/>
  <c r="J41" i="84"/>
  <c r="J40" i="84"/>
  <c r="J39" i="84"/>
  <c r="J38" i="84"/>
  <c r="J37" i="84"/>
  <c r="J36" i="84"/>
  <c r="J35" i="84"/>
  <c r="J34" i="84"/>
  <c r="J33" i="84"/>
  <c r="J32" i="84"/>
  <c r="J31" i="84"/>
  <c r="J30" i="84"/>
  <c r="J29" i="84"/>
  <c r="J28" i="84"/>
  <c r="J27" i="84"/>
  <c r="N26" i="84" l="1"/>
  <c r="N22" i="84"/>
  <c r="N15" i="84"/>
  <c r="N67" i="85"/>
  <c r="N42" i="84"/>
  <c r="L67" i="84"/>
  <c r="J67" i="84"/>
  <c r="N67" i="84" l="1"/>
  <c r="H33" i="82" l="1"/>
  <c r="J33" i="82" s="1"/>
  <c r="H34" i="82"/>
  <c r="J34" i="82" s="1"/>
  <c r="H35" i="82"/>
  <c r="J35" i="82" s="1"/>
  <c r="H36" i="82"/>
  <c r="J36" i="82" s="1"/>
  <c r="H37" i="82"/>
  <c r="J37" i="82" s="1"/>
  <c r="H38" i="82"/>
  <c r="J38" i="82" s="1"/>
  <c r="H39" i="82"/>
  <c r="J39" i="82" s="1"/>
  <c r="H40" i="82"/>
  <c r="J40" i="82" s="1"/>
  <c r="H41" i="82"/>
  <c r="J41" i="82" s="1"/>
  <c r="H42" i="82"/>
  <c r="J42" i="82" s="1"/>
  <c r="H32" i="82"/>
  <c r="D38" i="82"/>
  <c r="D39" i="82"/>
  <c r="D40" i="82"/>
  <c r="D41" i="82"/>
  <c r="D42" i="82"/>
  <c r="D32" i="82"/>
  <c r="D33" i="82"/>
  <c r="D34" i="82"/>
  <c r="D35" i="82"/>
  <c r="D36" i="82"/>
  <c r="D37" i="82"/>
  <c r="H24" i="82"/>
  <c r="J24" i="82" s="1"/>
  <c r="H25" i="82"/>
  <c r="J25" i="82" s="1"/>
  <c r="H26" i="82"/>
  <c r="J26" i="82" s="1"/>
  <c r="H27" i="82"/>
  <c r="J27" i="82" s="1"/>
  <c r="H28" i="82"/>
  <c r="J28" i="82" s="1"/>
  <c r="H29" i="82"/>
  <c r="J29" i="82" s="1"/>
  <c r="H30" i="82"/>
  <c r="J30" i="82" s="1"/>
  <c r="H31" i="82"/>
  <c r="J31" i="82" s="1"/>
  <c r="D30" i="82"/>
  <c r="D31" i="82"/>
  <c r="D28" i="82"/>
  <c r="D29" i="82"/>
  <c r="D25" i="82"/>
  <c r="D26" i="82"/>
  <c r="D27" i="82"/>
  <c r="D24" i="82"/>
  <c r="K47" i="83"/>
  <c r="L44" i="83"/>
  <c r="L43" i="83"/>
  <c r="H43" i="83"/>
  <c r="D43" i="83"/>
  <c r="L42" i="83"/>
  <c r="H42" i="83"/>
  <c r="D42" i="83"/>
  <c r="L41" i="83"/>
  <c r="H41" i="83"/>
  <c r="D41" i="83"/>
  <c r="L40" i="83"/>
  <c r="H40" i="83"/>
  <c r="D40" i="83"/>
  <c r="L39" i="83"/>
  <c r="H39" i="83"/>
  <c r="D39" i="83"/>
  <c r="L38" i="83"/>
  <c r="H38" i="83"/>
  <c r="D38" i="83"/>
  <c r="L37" i="83"/>
  <c r="H37" i="83"/>
  <c r="D37" i="83"/>
  <c r="H36" i="83"/>
  <c r="L36" i="83" s="1"/>
  <c r="D36" i="83"/>
  <c r="H35" i="83"/>
  <c r="L35" i="83" s="1"/>
  <c r="D35" i="83"/>
  <c r="H34" i="83"/>
  <c r="L34" i="83" s="1"/>
  <c r="D34" i="83"/>
  <c r="H33" i="83"/>
  <c r="L33" i="83" s="1"/>
  <c r="D33" i="83"/>
  <c r="H32" i="83"/>
  <c r="L32" i="83" s="1"/>
  <c r="D32" i="83"/>
  <c r="H31" i="83"/>
  <c r="L31" i="83" s="1"/>
  <c r="D31" i="83"/>
  <c r="H30" i="83"/>
  <c r="L30" i="83" s="1"/>
  <c r="D30" i="83"/>
  <c r="H29" i="83"/>
  <c r="D29" i="83"/>
  <c r="H28" i="83"/>
  <c r="D28" i="83"/>
  <c r="H27" i="83"/>
  <c r="L27" i="83" s="1"/>
  <c r="D27" i="83"/>
  <c r="H26" i="83"/>
  <c r="D26" i="83"/>
  <c r="J23" i="83"/>
  <c r="H23" i="83"/>
  <c r="D23" i="83"/>
  <c r="J22" i="83"/>
  <c r="H22" i="83"/>
  <c r="D22" i="83"/>
  <c r="H21" i="83"/>
  <c r="J21" i="83" s="1"/>
  <c r="D21" i="83"/>
  <c r="H20" i="83"/>
  <c r="J20" i="83" s="1"/>
  <c r="D20" i="83"/>
  <c r="H19" i="83"/>
  <c r="D19" i="83"/>
  <c r="H18" i="83"/>
  <c r="D18" i="83"/>
  <c r="H17" i="83"/>
  <c r="J17" i="83" s="1"/>
  <c r="D17" i="83"/>
  <c r="H16" i="83"/>
  <c r="J16" i="83" s="1"/>
  <c r="D16" i="83"/>
  <c r="H15" i="83"/>
  <c r="J15" i="83" s="1"/>
  <c r="D15" i="83"/>
  <c r="H14" i="83"/>
  <c r="D14" i="83"/>
  <c r="H13" i="83"/>
  <c r="D13" i="83"/>
  <c r="H12" i="83"/>
  <c r="J12" i="83" s="1"/>
  <c r="D12" i="83"/>
  <c r="H11" i="83"/>
  <c r="J11" i="83" s="1"/>
  <c r="D11" i="83"/>
  <c r="H10" i="83"/>
  <c r="J10" i="83" s="1"/>
  <c r="D10" i="83"/>
  <c r="H9" i="83"/>
  <c r="D9" i="83"/>
  <c r="D30" i="80"/>
  <c r="H30" i="80"/>
  <c r="H31" i="80"/>
  <c r="H32" i="80"/>
  <c r="H33" i="80"/>
  <c r="H34" i="80"/>
  <c r="N42" i="82" l="1"/>
  <c r="J32" i="82"/>
  <c r="N34" i="82" s="1"/>
  <c r="L29" i="83"/>
  <c r="L28" i="83"/>
  <c r="L26" i="83"/>
  <c r="J19" i="83"/>
  <c r="N21" i="83" s="1"/>
  <c r="J18" i="83"/>
  <c r="J14" i="83"/>
  <c r="J13" i="83"/>
  <c r="J9" i="83"/>
  <c r="N12" i="83" s="1"/>
  <c r="D30" i="81"/>
  <c r="D31" i="81"/>
  <c r="D32" i="81"/>
  <c r="D33" i="81"/>
  <c r="L47" i="83" l="1"/>
  <c r="J47" i="83"/>
  <c r="N18" i="83"/>
  <c r="N47" i="83" s="1"/>
  <c r="D33" i="62" l="1"/>
  <c r="D34" i="62"/>
  <c r="D35" i="62"/>
  <c r="D36" i="62"/>
  <c r="D37" i="62"/>
  <c r="J25" i="79"/>
  <c r="J26" i="79"/>
  <c r="H24" i="79"/>
  <c r="J24" i="79" s="1"/>
  <c r="N24" i="79" s="1"/>
  <c r="H25" i="79"/>
  <c r="H26" i="79"/>
  <c r="D26" i="79"/>
  <c r="D24" i="79"/>
  <c r="D25" i="79"/>
  <c r="D31" i="77"/>
  <c r="D32" i="77"/>
  <c r="D33" i="77"/>
  <c r="D34" i="77"/>
  <c r="D35" i="77"/>
  <c r="D36" i="77"/>
  <c r="D37" i="77"/>
  <c r="D37" i="76"/>
  <c r="D38" i="76"/>
  <c r="D39" i="76"/>
  <c r="D40" i="76"/>
  <c r="D41" i="76"/>
  <c r="D42" i="76"/>
  <c r="K67" i="82" l="1"/>
  <c r="L64" i="82"/>
  <c r="L63" i="82"/>
  <c r="H63" i="82"/>
  <c r="D63" i="82"/>
  <c r="L62" i="82"/>
  <c r="H62" i="82"/>
  <c r="D62" i="82"/>
  <c r="H61" i="82"/>
  <c r="L61" i="82" s="1"/>
  <c r="D61" i="82"/>
  <c r="H60" i="82"/>
  <c r="L60" i="82" s="1"/>
  <c r="D60" i="82"/>
  <c r="H59" i="82"/>
  <c r="L59" i="82" s="1"/>
  <c r="D59" i="82"/>
  <c r="H58" i="82"/>
  <c r="L58" i="82" s="1"/>
  <c r="D58" i="82"/>
  <c r="H57" i="82"/>
  <c r="L57" i="82" s="1"/>
  <c r="D57" i="82"/>
  <c r="H56" i="82"/>
  <c r="L56" i="82" s="1"/>
  <c r="D56" i="82"/>
  <c r="H55" i="82"/>
  <c r="L55" i="82" s="1"/>
  <c r="D55" i="82"/>
  <c r="H54" i="82"/>
  <c r="L54" i="82" s="1"/>
  <c r="D54" i="82"/>
  <c r="H53" i="82"/>
  <c r="L53" i="82" s="1"/>
  <c r="D53" i="82"/>
  <c r="H52" i="82"/>
  <c r="L52" i="82" s="1"/>
  <c r="D52" i="82"/>
  <c r="H51" i="82"/>
  <c r="L51" i="82" s="1"/>
  <c r="D51" i="82"/>
  <c r="H50" i="82"/>
  <c r="L50" i="82" s="1"/>
  <c r="D50" i="82"/>
  <c r="H49" i="82"/>
  <c r="L49" i="82" s="1"/>
  <c r="D49" i="82"/>
  <c r="H48" i="82"/>
  <c r="L48" i="82" s="1"/>
  <c r="D48" i="82"/>
  <c r="H47" i="82"/>
  <c r="L47" i="82" s="1"/>
  <c r="D47" i="82"/>
  <c r="H46" i="82"/>
  <c r="L46" i="82" s="1"/>
  <c r="D46" i="82"/>
  <c r="H23" i="82"/>
  <c r="J23" i="82" s="1"/>
  <c r="D23" i="82"/>
  <c r="H22" i="82"/>
  <c r="J22" i="82" s="1"/>
  <c r="D22" i="82"/>
  <c r="H21" i="82"/>
  <c r="J21" i="82" s="1"/>
  <c r="D21" i="82"/>
  <c r="H20" i="82"/>
  <c r="J20" i="82" s="1"/>
  <c r="D20" i="82"/>
  <c r="H19" i="82"/>
  <c r="J19" i="82" s="1"/>
  <c r="D19" i="82"/>
  <c r="H18" i="82"/>
  <c r="J18" i="82" s="1"/>
  <c r="D18" i="82"/>
  <c r="H17" i="82"/>
  <c r="J17" i="82" s="1"/>
  <c r="D17" i="82"/>
  <c r="H16" i="82"/>
  <c r="J16" i="82" s="1"/>
  <c r="D16" i="82"/>
  <c r="H15" i="82"/>
  <c r="J15" i="82" s="1"/>
  <c r="D15" i="82"/>
  <c r="H14" i="82"/>
  <c r="J14" i="82" s="1"/>
  <c r="N29" i="82" s="1"/>
  <c r="D14" i="82"/>
  <c r="H13" i="82"/>
  <c r="J13" i="82" s="1"/>
  <c r="D13" i="82"/>
  <c r="H12" i="82"/>
  <c r="J12" i="82" s="1"/>
  <c r="D12" i="82"/>
  <c r="H11" i="82"/>
  <c r="J11" i="82" s="1"/>
  <c r="D11" i="82"/>
  <c r="H10" i="82"/>
  <c r="J10" i="82" s="1"/>
  <c r="D10" i="82"/>
  <c r="H9" i="82"/>
  <c r="J9" i="82" s="1"/>
  <c r="D9" i="82"/>
  <c r="K47" i="81"/>
  <c r="L44" i="81"/>
  <c r="L43" i="81"/>
  <c r="H43" i="81"/>
  <c r="D43" i="81"/>
  <c r="L42" i="81"/>
  <c r="H42" i="81"/>
  <c r="D42" i="81"/>
  <c r="L41" i="81"/>
  <c r="H41" i="81"/>
  <c r="D41" i="81"/>
  <c r="L40" i="81"/>
  <c r="H40" i="81"/>
  <c r="D40" i="81"/>
  <c r="L39" i="81"/>
  <c r="H39" i="81"/>
  <c r="D39" i="81"/>
  <c r="L38" i="81"/>
  <c r="H38" i="81"/>
  <c r="D38" i="81"/>
  <c r="L37" i="81"/>
  <c r="H37" i="81"/>
  <c r="D37" i="81"/>
  <c r="L36" i="81"/>
  <c r="H36" i="81"/>
  <c r="D36" i="81"/>
  <c r="H35" i="81"/>
  <c r="L35" i="81" s="1"/>
  <c r="D35" i="81"/>
  <c r="H34" i="81"/>
  <c r="L34" i="81" s="1"/>
  <c r="D34" i="81"/>
  <c r="H33" i="81"/>
  <c r="L33" i="81" s="1"/>
  <c r="H32" i="81"/>
  <c r="L32" i="81" s="1"/>
  <c r="H31" i="81"/>
  <c r="L31" i="81" s="1"/>
  <c r="H30" i="81"/>
  <c r="L30" i="81" s="1"/>
  <c r="H29" i="81"/>
  <c r="L29" i="81" s="1"/>
  <c r="D29" i="81"/>
  <c r="H28" i="81"/>
  <c r="L28" i="81" s="1"/>
  <c r="D28" i="81"/>
  <c r="H27" i="81"/>
  <c r="L27" i="81" s="1"/>
  <c r="D27" i="81"/>
  <c r="H26" i="81"/>
  <c r="L26" i="81" s="1"/>
  <c r="D26" i="81"/>
  <c r="J23" i="81"/>
  <c r="H23" i="81"/>
  <c r="D23" i="81"/>
  <c r="J22" i="81"/>
  <c r="H22" i="81"/>
  <c r="D22" i="81"/>
  <c r="J21" i="81"/>
  <c r="H21" i="81"/>
  <c r="D21" i="81"/>
  <c r="J20" i="81"/>
  <c r="H20" i="81"/>
  <c r="D20" i="81"/>
  <c r="J19" i="81"/>
  <c r="H19" i="81"/>
  <c r="D19" i="81"/>
  <c r="J18" i="81"/>
  <c r="H18" i="81"/>
  <c r="D18" i="81"/>
  <c r="H17" i="81"/>
  <c r="J17" i="81" s="1"/>
  <c r="D17" i="81"/>
  <c r="H16" i="81"/>
  <c r="J16" i="81" s="1"/>
  <c r="D16" i="81"/>
  <c r="H15" i="81"/>
  <c r="J15" i="81" s="1"/>
  <c r="D15" i="81"/>
  <c r="H14" i="81"/>
  <c r="J14" i="81" s="1"/>
  <c r="D14" i="81"/>
  <c r="H13" i="81"/>
  <c r="J13" i="81" s="1"/>
  <c r="D13" i="81"/>
  <c r="H12" i="81"/>
  <c r="J12" i="81" s="1"/>
  <c r="D12" i="81"/>
  <c r="H11" i="81"/>
  <c r="J11" i="81" s="1"/>
  <c r="D11" i="81"/>
  <c r="H10" i="81"/>
  <c r="J10" i="81" s="1"/>
  <c r="D10" i="81"/>
  <c r="H9" i="81"/>
  <c r="J9" i="81" s="1"/>
  <c r="N9" i="81" s="1"/>
  <c r="D9" i="81"/>
  <c r="K47" i="80"/>
  <c r="L44" i="80"/>
  <c r="L43" i="80"/>
  <c r="H43" i="80"/>
  <c r="D43" i="80"/>
  <c r="L42" i="80"/>
  <c r="H42" i="80"/>
  <c r="D42" i="80"/>
  <c r="L41" i="80"/>
  <c r="H41" i="80"/>
  <c r="D41" i="80"/>
  <c r="L40" i="80"/>
  <c r="H40" i="80"/>
  <c r="D40" i="80"/>
  <c r="L39" i="80"/>
  <c r="H39" i="80"/>
  <c r="D39" i="80"/>
  <c r="L38" i="80"/>
  <c r="H38" i="80"/>
  <c r="D38" i="80"/>
  <c r="H37" i="80"/>
  <c r="H36" i="80"/>
  <c r="L36" i="80" s="1"/>
  <c r="H35" i="80"/>
  <c r="L35" i="80" s="1"/>
  <c r="L34" i="80"/>
  <c r="L33" i="80"/>
  <c r="L32" i="80"/>
  <c r="L31" i="80"/>
  <c r="L30" i="80"/>
  <c r="H29" i="80"/>
  <c r="L29" i="80" s="1"/>
  <c r="D29" i="80"/>
  <c r="H28" i="80"/>
  <c r="L28" i="80" s="1"/>
  <c r="D28" i="80"/>
  <c r="H27" i="80"/>
  <c r="L27" i="80" s="1"/>
  <c r="D27" i="80"/>
  <c r="H26" i="80"/>
  <c r="L26" i="80" s="1"/>
  <c r="D26" i="80"/>
  <c r="J23" i="80"/>
  <c r="H23" i="80"/>
  <c r="D23" i="80"/>
  <c r="J22" i="80"/>
  <c r="H22" i="80"/>
  <c r="D22" i="80"/>
  <c r="J21" i="80"/>
  <c r="H21" i="80"/>
  <c r="D21" i="80"/>
  <c r="J20" i="80"/>
  <c r="H20" i="80"/>
  <c r="D20" i="80"/>
  <c r="J19" i="80"/>
  <c r="H19" i="80"/>
  <c r="D19" i="80"/>
  <c r="J18" i="80"/>
  <c r="H18" i="80"/>
  <c r="D18" i="80"/>
  <c r="J17" i="80"/>
  <c r="H17" i="80"/>
  <c r="D17" i="80"/>
  <c r="H16" i="80"/>
  <c r="J16" i="80" s="1"/>
  <c r="D16" i="80"/>
  <c r="H15" i="80"/>
  <c r="J15" i="80" s="1"/>
  <c r="D15" i="80"/>
  <c r="H14" i="80"/>
  <c r="J14" i="80" s="1"/>
  <c r="N14" i="80" s="1"/>
  <c r="D14" i="80"/>
  <c r="H13" i="80"/>
  <c r="J13" i="80" s="1"/>
  <c r="N13" i="80" s="1"/>
  <c r="D13" i="80"/>
  <c r="H12" i="80"/>
  <c r="J12" i="80" s="1"/>
  <c r="D12" i="80"/>
  <c r="H11" i="80"/>
  <c r="J11" i="80" s="1"/>
  <c r="D11" i="80"/>
  <c r="H10" i="80"/>
  <c r="J10" i="80" s="1"/>
  <c r="D10" i="80"/>
  <c r="H9" i="80"/>
  <c r="J9" i="80" s="1"/>
  <c r="D9" i="80"/>
  <c r="K50" i="79"/>
  <c r="L47" i="79"/>
  <c r="L46" i="79"/>
  <c r="H46" i="79"/>
  <c r="D46" i="79"/>
  <c r="L45" i="79"/>
  <c r="H45" i="79"/>
  <c r="D45" i="79"/>
  <c r="L44" i="79"/>
  <c r="H44" i="79"/>
  <c r="D44" i="79"/>
  <c r="L43" i="79"/>
  <c r="H43" i="79"/>
  <c r="D43" i="79"/>
  <c r="L42" i="79"/>
  <c r="H42" i="79"/>
  <c r="D42" i="79"/>
  <c r="L41" i="79"/>
  <c r="H41" i="79"/>
  <c r="D41" i="79"/>
  <c r="L40" i="79"/>
  <c r="H40" i="79"/>
  <c r="D40" i="79"/>
  <c r="H39" i="79"/>
  <c r="L39" i="79" s="1"/>
  <c r="D39" i="79"/>
  <c r="H38" i="79"/>
  <c r="L38" i="79" s="1"/>
  <c r="D38" i="79"/>
  <c r="H37" i="79"/>
  <c r="L37" i="79" s="1"/>
  <c r="D37" i="79"/>
  <c r="H36" i="79"/>
  <c r="L36" i="79" s="1"/>
  <c r="D36" i="79"/>
  <c r="H35" i="79"/>
  <c r="L35" i="79" s="1"/>
  <c r="D35" i="79"/>
  <c r="H34" i="79"/>
  <c r="L34" i="79" s="1"/>
  <c r="D34" i="79"/>
  <c r="H33" i="79"/>
  <c r="L33" i="79" s="1"/>
  <c r="D33" i="79"/>
  <c r="H32" i="79"/>
  <c r="L32" i="79" s="1"/>
  <c r="D32" i="79"/>
  <c r="H31" i="79"/>
  <c r="L31" i="79" s="1"/>
  <c r="D31" i="79"/>
  <c r="H30" i="79"/>
  <c r="L30" i="79" s="1"/>
  <c r="D30" i="79"/>
  <c r="H29" i="79"/>
  <c r="L29" i="79" s="1"/>
  <c r="D29" i="79"/>
  <c r="H23" i="79"/>
  <c r="D23" i="79"/>
  <c r="H22" i="79"/>
  <c r="J22" i="79" s="1"/>
  <c r="D22" i="79"/>
  <c r="H21" i="79"/>
  <c r="J21" i="79" s="1"/>
  <c r="D21" i="79"/>
  <c r="H20" i="79"/>
  <c r="J20" i="79" s="1"/>
  <c r="D20" i="79"/>
  <c r="H19" i="79"/>
  <c r="J19" i="79" s="1"/>
  <c r="D19" i="79"/>
  <c r="H18" i="79"/>
  <c r="J18" i="79" s="1"/>
  <c r="D18" i="79"/>
  <c r="H17" i="79"/>
  <c r="J17" i="79" s="1"/>
  <c r="D17" i="79"/>
  <c r="H16" i="79"/>
  <c r="J16" i="79" s="1"/>
  <c r="D16" i="79"/>
  <c r="H15" i="79"/>
  <c r="J15" i="79" s="1"/>
  <c r="D15" i="79"/>
  <c r="H14" i="79"/>
  <c r="J14" i="79" s="1"/>
  <c r="D14" i="79"/>
  <c r="H13" i="79"/>
  <c r="J13" i="79" s="1"/>
  <c r="D13" i="79"/>
  <c r="H12" i="79"/>
  <c r="J12" i="79" s="1"/>
  <c r="D12" i="79"/>
  <c r="H11" i="79"/>
  <c r="J11" i="79" s="1"/>
  <c r="D11" i="79"/>
  <c r="H10" i="79"/>
  <c r="J10" i="79" s="1"/>
  <c r="D10" i="79"/>
  <c r="H9" i="79"/>
  <c r="J9" i="79" s="1"/>
  <c r="D9" i="79"/>
  <c r="K47" i="78"/>
  <c r="L44" i="78"/>
  <c r="L43" i="78"/>
  <c r="H43" i="78"/>
  <c r="L42" i="78"/>
  <c r="H42" i="78"/>
  <c r="L41" i="78"/>
  <c r="H41" i="78"/>
  <c r="L40" i="78"/>
  <c r="H40" i="78"/>
  <c r="L39" i="78"/>
  <c r="H39" i="78"/>
  <c r="L38" i="78"/>
  <c r="H38" i="78"/>
  <c r="L37" i="78"/>
  <c r="H37" i="78"/>
  <c r="L36" i="78"/>
  <c r="H36" i="78"/>
  <c r="L35" i="78"/>
  <c r="H35" i="78"/>
  <c r="L34" i="78"/>
  <c r="H34" i="78"/>
  <c r="L33" i="78"/>
  <c r="H33" i="78"/>
  <c r="L32" i="78"/>
  <c r="H32" i="78"/>
  <c r="L31" i="78"/>
  <c r="H31" i="78"/>
  <c r="L30" i="78"/>
  <c r="H30" i="78"/>
  <c r="L29" i="78"/>
  <c r="H29" i="78"/>
  <c r="L28" i="78"/>
  <c r="H28" i="78"/>
  <c r="L27" i="78"/>
  <c r="H27" i="78"/>
  <c r="L26" i="78"/>
  <c r="H26" i="78"/>
  <c r="J23" i="78"/>
  <c r="H23" i="78"/>
  <c r="J22" i="78"/>
  <c r="H22" i="78"/>
  <c r="J21" i="78"/>
  <c r="H21" i="78"/>
  <c r="J20" i="78"/>
  <c r="H20" i="78"/>
  <c r="J19" i="78"/>
  <c r="H19" i="78"/>
  <c r="J18" i="78"/>
  <c r="H18" i="78"/>
  <c r="J17" i="78"/>
  <c r="H17" i="78"/>
  <c r="J16" i="78"/>
  <c r="H16" i="78"/>
  <c r="J15" i="78"/>
  <c r="H15" i="78"/>
  <c r="J14" i="78"/>
  <c r="H14" i="78"/>
  <c r="J13" i="78"/>
  <c r="H13" i="78"/>
  <c r="N12" i="78"/>
  <c r="N47" i="78" s="1"/>
  <c r="J12" i="78"/>
  <c r="H12" i="78"/>
  <c r="J11" i="78"/>
  <c r="H11" i="78"/>
  <c r="J10" i="78"/>
  <c r="H10" i="78"/>
  <c r="J9" i="78"/>
  <c r="H9" i="78"/>
  <c r="K48" i="77"/>
  <c r="L45" i="77"/>
  <c r="L44" i="77"/>
  <c r="H44" i="77"/>
  <c r="D44" i="77"/>
  <c r="L43" i="77"/>
  <c r="H43" i="77"/>
  <c r="D43" i="77"/>
  <c r="L42" i="77"/>
  <c r="H42" i="77"/>
  <c r="D42" i="77"/>
  <c r="L41" i="77"/>
  <c r="H41" i="77"/>
  <c r="D41" i="77"/>
  <c r="L40" i="77"/>
  <c r="H40" i="77"/>
  <c r="D40" i="77"/>
  <c r="L39" i="77"/>
  <c r="H39" i="77"/>
  <c r="D39" i="77"/>
  <c r="H38" i="77"/>
  <c r="L38" i="77" s="1"/>
  <c r="D38" i="77"/>
  <c r="H37" i="77"/>
  <c r="L37" i="77" s="1"/>
  <c r="H36" i="77"/>
  <c r="L36" i="77" s="1"/>
  <c r="H35" i="77"/>
  <c r="L35" i="77" s="1"/>
  <c r="H34" i="77"/>
  <c r="L34" i="77" s="1"/>
  <c r="H33" i="77"/>
  <c r="L33" i="77" s="1"/>
  <c r="H32" i="77"/>
  <c r="L32" i="77" s="1"/>
  <c r="H31" i="77"/>
  <c r="L31" i="77" s="1"/>
  <c r="H30" i="77"/>
  <c r="L30" i="77" s="1"/>
  <c r="D30" i="77"/>
  <c r="H29" i="77"/>
  <c r="L29" i="77" s="1"/>
  <c r="D29" i="77"/>
  <c r="H27" i="77"/>
  <c r="L27" i="77" s="1"/>
  <c r="D27" i="77"/>
  <c r="H26" i="77"/>
  <c r="L26" i="77" s="1"/>
  <c r="D26" i="77"/>
  <c r="J23" i="77"/>
  <c r="H23" i="77"/>
  <c r="D23" i="77"/>
  <c r="J22" i="77"/>
  <c r="H22" i="77"/>
  <c r="D22" i="77"/>
  <c r="J21" i="77"/>
  <c r="H21" i="77"/>
  <c r="D21" i="77"/>
  <c r="J20" i="77"/>
  <c r="H20" i="77"/>
  <c r="D20" i="77"/>
  <c r="J19" i="77"/>
  <c r="H19" i="77"/>
  <c r="D19" i="77"/>
  <c r="J18" i="77"/>
  <c r="H18" i="77"/>
  <c r="D18" i="77"/>
  <c r="J17" i="77"/>
  <c r="H17" i="77"/>
  <c r="D17" i="77"/>
  <c r="J16" i="77"/>
  <c r="H16" i="77"/>
  <c r="D16" i="77"/>
  <c r="J15" i="77"/>
  <c r="H15" i="77"/>
  <c r="D15" i="77"/>
  <c r="H14" i="77"/>
  <c r="J14" i="77" s="1"/>
  <c r="D14" i="77"/>
  <c r="H13" i="77"/>
  <c r="J13" i="77" s="1"/>
  <c r="D13" i="77"/>
  <c r="H12" i="77"/>
  <c r="J12" i="77" s="1"/>
  <c r="D12" i="77"/>
  <c r="H11" i="77"/>
  <c r="J11" i="77" s="1"/>
  <c r="D11" i="77"/>
  <c r="H10" i="77"/>
  <c r="J10" i="77" s="1"/>
  <c r="D10" i="77"/>
  <c r="H9" i="77"/>
  <c r="J9" i="77" s="1"/>
  <c r="N9" i="77" s="1"/>
  <c r="D9" i="77"/>
  <c r="J26" i="76"/>
  <c r="J27" i="76"/>
  <c r="J28" i="76"/>
  <c r="H23" i="76"/>
  <c r="J23" i="76" s="1"/>
  <c r="H24" i="76"/>
  <c r="J24" i="76" s="1"/>
  <c r="H25" i="76"/>
  <c r="J25" i="76" s="1"/>
  <c r="H26" i="76"/>
  <c r="H27" i="76"/>
  <c r="H28" i="76"/>
  <c r="D23" i="76"/>
  <c r="D24" i="76"/>
  <c r="D25" i="76"/>
  <c r="D26" i="76"/>
  <c r="D27" i="76"/>
  <c r="D28" i="76"/>
  <c r="D29" i="76"/>
  <c r="L50" i="76"/>
  <c r="L49" i="76"/>
  <c r="H49" i="76"/>
  <c r="D49" i="76"/>
  <c r="L48" i="76"/>
  <c r="H48" i="76"/>
  <c r="D48" i="76"/>
  <c r="L47" i="76"/>
  <c r="H47" i="76"/>
  <c r="D47" i="76"/>
  <c r="L46" i="76"/>
  <c r="H46" i="76"/>
  <c r="D46" i="76"/>
  <c r="L45" i="76"/>
  <c r="H45" i="76"/>
  <c r="D45" i="76"/>
  <c r="L44" i="76"/>
  <c r="H44" i="76"/>
  <c r="D44" i="76"/>
  <c r="L43" i="76"/>
  <c r="H43" i="76"/>
  <c r="D43" i="76"/>
  <c r="H42" i="76"/>
  <c r="H41" i="76"/>
  <c r="H40" i="76"/>
  <c r="H39" i="76"/>
  <c r="L39" i="76" s="1"/>
  <c r="H38" i="76"/>
  <c r="L38" i="76" s="1"/>
  <c r="H37" i="76"/>
  <c r="L37" i="76" s="1"/>
  <c r="H36" i="76"/>
  <c r="L36" i="76" s="1"/>
  <c r="D36" i="76"/>
  <c r="H35" i="76"/>
  <c r="L35" i="76" s="1"/>
  <c r="D35" i="76"/>
  <c r="H34" i="76"/>
  <c r="L34" i="76" s="1"/>
  <c r="D34" i="76"/>
  <c r="H33" i="76"/>
  <c r="L33" i="76" s="1"/>
  <c r="D33" i="76"/>
  <c r="H32" i="76"/>
  <c r="L32" i="76" s="1"/>
  <c r="D32" i="76"/>
  <c r="J29" i="76"/>
  <c r="H29" i="76"/>
  <c r="H22" i="76"/>
  <c r="J22" i="76" s="1"/>
  <c r="D22" i="76"/>
  <c r="H21" i="76"/>
  <c r="J21" i="76" s="1"/>
  <c r="D21" i="76"/>
  <c r="H20" i="76"/>
  <c r="J20" i="76" s="1"/>
  <c r="D20" i="76"/>
  <c r="H19" i="76"/>
  <c r="J19" i="76" s="1"/>
  <c r="D19" i="76"/>
  <c r="H18" i="76"/>
  <c r="J18" i="76" s="1"/>
  <c r="D18" i="76"/>
  <c r="H17" i="76"/>
  <c r="J17" i="76" s="1"/>
  <c r="D17" i="76"/>
  <c r="H16" i="76"/>
  <c r="J16" i="76" s="1"/>
  <c r="D16" i="76"/>
  <c r="H15" i="76"/>
  <c r="J15" i="76" s="1"/>
  <c r="D15" i="76"/>
  <c r="H14" i="76"/>
  <c r="J14" i="76" s="1"/>
  <c r="D14" i="76"/>
  <c r="H13" i="76"/>
  <c r="D13" i="76"/>
  <c r="H12" i="76"/>
  <c r="J12" i="76" s="1"/>
  <c r="D12" i="76"/>
  <c r="H11" i="76"/>
  <c r="J11" i="76" s="1"/>
  <c r="D11" i="76"/>
  <c r="H10" i="76"/>
  <c r="J10" i="76" s="1"/>
  <c r="D10" i="76"/>
  <c r="J9" i="76"/>
  <c r="H9" i="76"/>
  <c r="D9" i="76"/>
  <c r="L38" i="75"/>
  <c r="L39" i="75"/>
  <c r="L40" i="75"/>
  <c r="L41" i="75"/>
  <c r="L42" i="75"/>
  <c r="L43" i="75"/>
  <c r="L44" i="75"/>
  <c r="N16" i="80" l="1"/>
  <c r="N14" i="77"/>
  <c r="J47" i="78"/>
  <c r="N12" i="80"/>
  <c r="N15" i="81"/>
  <c r="N17" i="81"/>
  <c r="N25" i="76"/>
  <c r="L37" i="80"/>
  <c r="J23" i="79"/>
  <c r="N23" i="79" s="1"/>
  <c r="L47" i="78"/>
  <c r="N19" i="77"/>
  <c r="L42" i="76"/>
  <c r="L41" i="76"/>
  <c r="L40" i="76"/>
  <c r="J13" i="76"/>
  <c r="N23" i="76" s="1"/>
  <c r="N12" i="76"/>
  <c r="N24" i="82"/>
  <c r="N17" i="82"/>
  <c r="J67" i="82"/>
  <c r="L67" i="82"/>
  <c r="L47" i="81"/>
  <c r="J47" i="81"/>
  <c r="J47" i="80"/>
  <c r="N13" i="79"/>
  <c r="L50" i="79"/>
  <c r="L48" i="77"/>
  <c r="J48" i="77"/>
  <c r="K53" i="76"/>
  <c r="H27" i="75"/>
  <c r="L27" i="75" s="1"/>
  <c r="H28" i="75"/>
  <c r="L28" i="75" s="1"/>
  <c r="H29" i="75"/>
  <c r="L29" i="75" s="1"/>
  <c r="H30" i="75"/>
  <c r="L30" i="75" s="1"/>
  <c r="H31" i="75"/>
  <c r="L31" i="75" s="1"/>
  <c r="H32" i="75"/>
  <c r="L32" i="75" s="1"/>
  <c r="H33" i="75"/>
  <c r="L33" i="75" s="1"/>
  <c r="H34" i="75"/>
  <c r="L34" i="75" s="1"/>
  <c r="H35" i="75"/>
  <c r="L35" i="75" s="1"/>
  <c r="H36" i="75"/>
  <c r="L36" i="75" s="1"/>
  <c r="H37" i="75"/>
  <c r="L37" i="75" s="1"/>
  <c r="H38" i="75"/>
  <c r="H39" i="75"/>
  <c r="H40" i="75"/>
  <c r="H41" i="75"/>
  <c r="H42" i="75"/>
  <c r="H43" i="75"/>
  <c r="H26" i="75"/>
  <c r="L26" i="75" s="1"/>
  <c r="H22" i="75"/>
  <c r="J22" i="75" s="1"/>
  <c r="H23" i="75"/>
  <c r="J23" i="75" s="1"/>
  <c r="N23" i="75" s="1"/>
  <c r="H10" i="75"/>
  <c r="J10" i="75" s="1"/>
  <c r="H11" i="75"/>
  <c r="J11" i="75" s="1"/>
  <c r="H12" i="75"/>
  <c r="J12" i="75" s="1"/>
  <c r="H13" i="75"/>
  <c r="J13" i="75" s="1"/>
  <c r="H14" i="75"/>
  <c r="J14" i="75" s="1"/>
  <c r="H15" i="75"/>
  <c r="J15" i="75" s="1"/>
  <c r="H16" i="75"/>
  <c r="J16" i="75" s="1"/>
  <c r="H17" i="75"/>
  <c r="J17" i="75" s="1"/>
  <c r="H18" i="75"/>
  <c r="J18" i="75" s="1"/>
  <c r="H19" i="75"/>
  <c r="J19" i="75" s="1"/>
  <c r="H20" i="75"/>
  <c r="J20" i="75" s="1"/>
  <c r="H21" i="75"/>
  <c r="J21" i="75" s="1"/>
  <c r="H9" i="75"/>
  <c r="J9" i="75" s="1"/>
  <c r="K47" i="75"/>
  <c r="D43" i="75"/>
  <c r="D42" i="75"/>
  <c r="D41" i="75"/>
  <c r="D40" i="75"/>
  <c r="D39" i="75"/>
  <c r="D38" i="75"/>
  <c r="D37" i="75"/>
  <c r="D36" i="75"/>
  <c r="D35" i="75"/>
  <c r="D34" i="75"/>
  <c r="D33" i="75"/>
  <c r="D32" i="75"/>
  <c r="D31" i="75"/>
  <c r="D30" i="75"/>
  <c r="D29" i="75"/>
  <c r="D28" i="75"/>
  <c r="D27" i="75"/>
  <c r="D26" i="75"/>
  <c r="D23" i="75"/>
  <c r="D22" i="75"/>
  <c r="D21" i="75"/>
  <c r="D20" i="75"/>
  <c r="D19" i="75"/>
  <c r="D18" i="75"/>
  <c r="D17" i="75"/>
  <c r="D16" i="75"/>
  <c r="D15" i="75"/>
  <c r="D14" i="75"/>
  <c r="D13" i="75"/>
  <c r="D12" i="75"/>
  <c r="D11" i="75"/>
  <c r="D10" i="75"/>
  <c r="D9" i="75"/>
  <c r="J53" i="76" l="1"/>
  <c r="N47" i="81"/>
  <c r="N47" i="80"/>
  <c r="L53" i="76"/>
  <c r="J50" i="79"/>
  <c r="L47" i="80"/>
  <c r="N48" i="77"/>
  <c r="N67" i="82"/>
  <c r="N50" i="79"/>
  <c r="N53" i="76"/>
  <c r="L47" i="75"/>
  <c r="N22" i="75"/>
  <c r="N18" i="75"/>
  <c r="N12" i="75"/>
  <c r="J47" i="75"/>
  <c r="K47" i="74"/>
  <c r="L44" i="74"/>
  <c r="H43" i="74"/>
  <c r="L43" i="74" s="1"/>
  <c r="D43" i="74"/>
  <c r="H42" i="74"/>
  <c r="L42" i="74" s="1"/>
  <c r="D42" i="74"/>
  <c r="H41" i="74"/>
  <c r="L41" i="74" s="1"/>
  <c r="D41" i="74"/>
  <c r="H40" i="74"/>
  <c r="L40" i="74" s="1"/>
  <c r="D40" i="74"/>
  <c r="H39" i="74"/>
  <c r="L39" i="74" s="1"/>
  <c r="H38" i="74"/>
  <c r="L38" i="74" s="1"/>
  <c r="H37" i="74"/>
  <c r="L37" i="74" s="1"/>
  <c r="H36" i="74"/>
  <c r="L36" i="74" s="1"/>
  <c r="H35" i="74"/>
  <c r="L35" i="74" s="1"/>
  <c r="H34" i="74"/>
  <c r="L34" i="74" s="1"/>
  <c r="H33" i="74"/>
  <c r="L33" i="74" s="1"/>
  <c r="H32" i="74"/>
  <c r="L32" i="74" s="1"/>
  <c r="H31" i="74"/>
  <c r="L31" i="74" s="1"/>
  <c r="H30" i="74"/>
  <c r="L30" i="74" s="1"/>
  <c r="H29" i="74"/>
  <c r="L29" i="74" s="1"/>
  <c r="H28" i="74"/>
  <c r="L28" i="74" s="1"/>
  <c r="D28" i="74"/>
  <c r="H27" i="74"/>
  <c r="L27" i="74" s="1"/>
  <c r="D27" i="74"/>
  <c r="H26" i="74"/>
  <c r="L26" i="74" s="1"/>
  <c r="D26" i="74"/>
  <c r="H23" i="74"/>
  <c r="D23" i="74"/>
  <c r="H22" i="74"/>
  <c r="J22" i="74" s="1"/>
  <c r="D22" i="74"/>
  <c r="H21" i="74"/>
  <c r="J21" i="74" s="1"/>
  <c r="D21" i="74"/>
  <c r="H20" i="74"/>
  <c r="J20" i="74" s="1"/>
  <c r="D20" i="74"/>
  <c r="H19" i="74"/>
  <c r="D19" i="74"/>
  <c r="H18" i="74"/>
  <c r="J18" i="74" s="1"/>
  <c r="D18" i="74"/>
  <c r="H17" i="74"/>
  <c r="J17" i="74" s="1"/>
  <c r="D17" i="74"/>
  <c r="H16" i="74"/>
  <c r="J16" i="74" s="1"/>
  <c r="D16" i="74"/>
  <c r="H15" i="74"/>
  <c r="J15" i="74" s="1"/>
  <c r="D15" i="74"/>
  <c r="H14" i="74"/>
  <c r="J14" i="74" s="1"/>
  <c r="D14" i="74"/>
  <c r="H13" i="74"/>
  <c r="J13" i="74" s="1"/>
  <c r="D13" i="74"/>
  <c r="H12" i="74"/>
  <c r="J12" i="74" s="1"/>
  <c r="D12" i="74"/>
  <c r="H11" i="74"/>
  <c r="D11" i="74"/>
  <c r="H10" i="74"/>
  <c r="J10" i="74" s="1"/>
  <c r="D10" i="74"/>
  <c r="H9" i="74"/>
  <c r="D9" i="74"/>
  <c r="H43" i="52"/>
  <c r="J43" i="52" s="1"/>
  <c r="H42" i="52"/>
  <c r="J42" i="52" s="1"/>
  <c r="H41" i="52"/>
  <c r="J41" i="52" s="1"/>
  <c r="H40" i="52"/>
  <c r="J40" i="52" s="1"/>
  <c r="H39" i="52"/>
  <c r="J39" i="52" s="1"/>
  <c r="H38" i="52"/>
  <c r="J38" i="52" s="1"/>
  <c r="H37" i="52"/>
  <c r="J37" i="52" s="1"/>
  <c r="H36" i="52"/>
  <c r="J36" i="52" s="1"/>
  <c r="J35" i="52"/>
  <c r="H34" i="52"/>
  <c r="J34" i="52" s="1"/>
  <c r="H33" i="52"/>
  <c r="J33" i="52" s="1"/>
  <c r="H32" i="52"/>
  <c r="J32" i="52" s="1"/>
  <c r="H31" i="52"/>
  <c r="J31" i="52" s="1"/>
  <c r="H30" i="52"/>
  <c r="J30" i="52" s="1"/>
  <c r="H29" i="52"/>
  <c r="J29" i="52" s="1"/>
  <c r="H28" i="52"/>
  <c r="J28" i="52" s="1"/>
  <c r="H27" i="52"/>
  <c r="J27" i="52" s="1"/>
  <c r="H26" i="52"/>
  <c r="J26" i="52" s="1"/>
  <c r="H25" i="52"/>
  <c r="J25" i="52" s="1"/>
  <c r="H24" i="52"/>
  <c r="J24" i="52" s="1"/>
  <c r="H23" i="52"/>
  <c r="J23" i="52" s="1"/>
  <c r="H22" i="52"/>
  <c r="J22" i="52" s="1"/>
  <c r="H21" i="52"/>
  <c r="J21" i="52" s="1"/>
  <c r="H20" i="52"/>
  <c r="J20" i="52" s="1"/>
  <c r="H19" i="52"/>
  <c r="J19" i="52" s="1"/>
  <c r="H18" i="52"/>
  <c r="J18" i="52" s="1"/>
  <c r="H17" i="52"/>
  <c r="J17" i="52" s="1"/>
  <c r="H16" i="52"/>
  <c r="J16" i="52" s="1"/>
  <c r="H15" i="52"/>
  <c r="J15" i="52" s="1"/>
  <c r="H14" i="52"/>
  <c r="J14" i="52" s="1"/>
  <c r="H13" i="52"/>
  <c r="J13" i="52" s="1"/>
  <c r="H12" i="52"/>
  <c r="J12" i="52" s="1"/>
  <c r="H11" i="52"/>
  <c r="J11" i="52" s="1"/>
  <c r="H9" i="52"/>
  <c r="J9" i="52" s="1"/>
  <c r="H10" i="52"/>
  <c r="J10" i="52" s="1"/>
  <c r="H54" i="41"/>
  <c r="H55" i="41"/>
  <c r="H56" i="41"/>
  <c r="H57" i="41"/>
  <c r="H58" i="41"/>
  <c r="H59" i="41"/>
  <c r="H60" i="41"/>
  <c r="H61" i="41"/>
  <c r="H62" i="41"/>
  <c r="H63" i="41"/>
  <c r="H64" i="41"/>
  <c r="H65" i="41"/>
  <c r="H47" i="41"/>
  <c r="J47" i="41" s="1"/>
  <c r="H48" i="41"/>
  <c r="J48" i="41" s="1"/>
  <c r="H49" i="41"/>
  <c r="J49" i="41" s="1"/>
  <c r="H50" i="41"/>
  <c r="J50" i="41" s="1"/>
  <c r="H51" i="41"/>
  <c r="J51" i="41" s="1"/>
  <c r="H52" i="41"/>
  <c r="J52" i="41" s="1"/>
  <c r="H53" i="41"/>
  <c r="J53" i="41" s="1"/>
  <c r="H11" i="41"/>
  <c r="J11" i="41" s="1"/>
  <c r="H46" i="41"/>
  <c r="J46" i="41" s="1"/>
  <c r="H45" i="41"/>
  <c r="J45" i="41" s="1"/>
  <c r="H44" i="41"/>
  <c r="J44" i="41" s="1"/>
  <c r="H43" i="41"/>
  <c r="J43" i="41" s="1"/>
  <c r="H42" i="41"/>
  <c r="J42" i="41" s="1"/>
  <c r="H41" i="41"/>
  <c r="J41" i="41" s="1"/>
  <c r="H40" i="41"/>
  <c r="J40" i="41" s="1"/>
  <c r="H39" i="41"/>
  <c r="J39" i="41" s="1"/>
  <c r="H38" i="41"/>
  <c r="J38" i="41" s="1"/>
  <c r="H37" i="41"/>
  <c r="J37" i="41" s="1"/>
  <c r="H36" i="41"/>
  <c r="J36" i="41" s="1"/>
  <c r="H35" i="41"/>
  <c r="J35" i="41" s="1"/>
  <c r="H26" i="41"/>
  <c r="J26" i="41" s="1"/>
  <c r="H25" i="41"/>
  <c r="J25" i="41" s="1"/>
  <c r="H24" i="41"/>
  <c r="J24" i="41" s="1"/>
  <c r="H23" i="41"/>
  <c r="J23" i="41" s="1"/>
  <c r="H22" i="41"/>
  <c r="J22" i="41" s="1"/>
  <c r="H21" i="41"/>
  <c r="J21" i="41" s="1"/>
  <c r="H20" i="41"/>
  <c r="J20" i="41" s="1"/>
  <c r="H19" i="41"/>
  <c r="J19" i="41" s="1"/>
  <c r="H18" i="41"/>
  <c r="J18" i="41" s="1"/>
  <c r="H17" i="41"/>
  <c r="J17" i="41" s="1"/>
  <c r="H16" i="41"/>
  <c r="J16" i="41" s="1"/>
  <c r="H15" i="41"/>
  <c r="J15" i="41" s="1"/>
  <c r="H14" i="41"/>
  <c r="J14" i="41" s="1"/>
  <c r="H13" i="41"/>
  <c r="J13" i="41" s="1"/>
  <c r="H12" i="41"/>
  <c r="J12" i="41" s="1"/>
  <c r="H10" i="41"/>
  <c r="J10" i="41" s="1"/>
  <c r="H27" i="39"/>
  <c r="J27" i="39" s="1"/>
  <c r="D30" i="64"/>
  <c r="D29" i="64"/>
  <c r="D28" i="64"/>
  <c r="D27" i="64"/>
  <c r="D26" i="64"/>
  <c r="D25" i="64"/>
  <c r="D24" i="64"/>
  <c r="AE33" i="63"/>
  <c r="AE32" i="63"/>
  <c r="AA33" i="63"/>
  <c r="AA32" i="63"/>
  <c r="D33" i="63"/>
  <c r="D32" i="63"/>
  <c r="Z23" i="64"/>
  <c r="X23" i="64"/>
  <c r="X24" i="64"/>
  <c r="X25" i="64"/>
  <c r="X26" i="64"/>
  <c r="X27" i="64"/>
  <c r="X28" i="64"/>
  <c r="X29" i="64"/>
  <c r="X30" i="64"/>
  <c r="Z22" i="64"/>
  <c r="Z24" i="64"/>
  <c r="Z25" i="64"/>
  <c r="Z26" i="64"/>
  <c r="Z27" i="64"/>
  <c r="Z28" i="64"/>
  <c r="Z29" i="64"/>
  <c r="Z30" i="64"/>
  <c r="X22" i="64"/>
  <c r="H34" i="40"/>
  <c r="J34" i="40" s="1"/>
  <c r="H35" i="40"/>
  <c r="J35" i="40" s="1"/>
  <c r="H36" i="40"/>
  <c r="J36" i="40" s="1"/>
  <c r="H37" i="40"/>
  <c r="J37" i="40" s="1"/>
  <c r="H38" i="40"/>
  <c r="J38" i="40" s="1"/>
  <c r="H39" i="40"/>
  <c r="J39" i="40" s="1"/>
  <c r="H40" i="40"/>
  <c r="J40" i="40" s="1"/>
  <c r="H41" i="40"/>
  <c r="J41" i="40" s="1"/>
  <c r="H42" i="40"/>
  <c r="J42" i="40" s="1"/>
  <c r="H43" i="40"/>
  <c r="J43" i="40" s="1"/>
  <c r="H44" i="40"/>
  <c r="J44" i="40" s="1"/>
  <c r="H45" i="40"/>
  <c r="J45" i="40" s="1"/>
  <c r="H46" i="40"/>
  <c r="J46" i="40" s="1"/>
  <c r="H33" i="40"/>
  <c r="J33" i="40" s="1"/>
  <c r="H13" i="40"/>
  <c r="J13" i="40" s="1"/>
  <c r="H14" i="40"/>
  <c r="J14" i="40" s="1"/>
  <c r="H15" i="40"/>
  <c r="J15" i="40" s="1"/>
  <c r="H16" i="40"/>
  <c r="J16" i="40" s="1"/>
  <c r="H17" i="40"/>
  <c r="J17" i="40" s="1"/>
  <c r="H18" i="40"/>
  <c r="J18" i="40" s="1"/>
  <c r="H19" i="40"/>
  <c r="J19" i="40" s="1"/>
  <c r="H20" i="40"/>
  <c r="J20" i="40" s="1"/>
  <c r="H21" i="40"/>
  <c r="J21" i="40" s="1"/>
  <c r="H22" i="40"/>
  <c r="J22" i="40" s="1"/>
  <c r="H23" i="40"/>
  <c r="J23" i="40" s="1"/>
  <c r="H24" i="40"/>
  <c r="J24" i="40" s="1"/>
  <c r="H25" i="40"/>
  <c r="J25" i="40" s="1"/>
  <c r="H26" i="40"/>
  <c r="J26" i="40" s="1"/>
  <c r="H27" i="40"/>
  <c r="J27" i="40" s="1"/>
  <c r="H28" i="40"/>
  <c r="J28" i="40" s="1"/>
  <c r="H12" i="40"/>
  <c r="J12" i="40" s="1"/>
  <c r="H10" i="40"/>
  <c r="J10" i="40" s="1"/>
  <c r="H50" i="39"/>
  <c r="J50" i="39" s="1"/>
  <c r="H51" i="39"/>
  <c r="J51" i="39" s="1"/>
  <c r="H52" i="39"/>
  <c r="J52" i="39" s="1"/>
  <c r="H53" i="39"/>
  <c r="J53" i="39" s="1"/>
  <c r="H54" i="39"/>
  <c r="J54" i="39" s="1"/>
  <c r="H55" i="39"/>
  <c r="J55" i="39" s="1"/>
  <c r="H56" i="39"/>
  <c r="J56" i="39" s="1"/>
  <c r="H57" i="39"/>
  <c r="J57" i="39" s="1"/>
  <c r="H58" i="39"/>
  <c r="J58" i="39" s="1"/>
  <c r="H59" i="39"/>
  <c r="J59" i="39" s="1"/>
  <c r="H60" i="39"/>
  <c r="J60" i="39" s="1"/>
  <c r="H61" i="39"/>
  <c r="J61" i="39" s="1"/>
  <c r="H62" i="39"/>
  <c r="J62" i="39" s="1"/>
  <c r="H63" i="39"/>
  <c r="J63" i="39" s="1"/>
  <c r="H64" i="39"/>
  <c r="J64" i="39" s="1"/>
  <c r="H65" i="39"/>
  <c r="J65" i="39" s="1"/>
  <c r="H66" i="39"/>
  <c r="J66" i="39" s="1"/>
  <c r="H67" i="39"/>
  <c r="J67" i="39" s="1"/>
  <c r="H68" i="39"/>
  <c r="J68" i="39" s="1"/>
  <c r="H69" i="39"/>
  <c r="J69" i="39" s="1"/>
  <c r="H70" i="39"/>
  <c r="J70" i="39" s="1"/>
  <c r="H71" i="39"/>
  <c r="J71" i="39" s="1"/>
  <c r="H72" i="39"/>
  <c r="J72" i="39" s="1"/>
  <c r="H73" i="39"/>
  <c r="J73" i="39" s="1"/>
  <c r="H74" i="39"/>
  <c r="J74" i="39" s="1"/>
  <c r="H75" i="39"/>
  <c r="J75" i="39" s="1"/>
  <c r="H76" i="39"/>
  <c r="J76" i="39" s="1"/>
  <c r="H49" i="39"/>
  <c r="J49" i="39" s="1"/>
  <c r="H11" i="39"/>
  <c r="J11" i="39" s="1"/>
  <c r="H12" i="39"/>
  <c r="J12" i="39" s="1"/>
  <c r="H13" i="39"/>
  <c r="J13" i="39" s="1"/>
  <c r="H14" i="39"/>
  <c r="J14" i="39" s="1"/>
  <c r="H15" i="39"/>
  <c r="J15" i="39" s="1"/>
  <c r="H16" i="39"/>
  <c r="J16" i="39" s="1"/>
  <c r="H17" i="39"/>
  <c r="J17" i="39" s="1"/>
  <c r="H18" i="39"/>
  <c r="J18" i="39" s="1"/>
  <c r="H19" i="39"/>
  <c r="J19" i="39" s="1"/>
  <c r="H20" i="39"/>
  <c r="J20" i="39" s="1"/>
  <c r="H21" i="39"/>
  <c r="J21" i="39" s="1"/>
  <c r="H22" i="39"/>
  <c r="J22" i="39" s="1"/>
  <c r="H23" i="39"/>
  <c r="J23" i="39" s="1"/>
  <c r="H24" i="39"/>
  <c r="J24" i="39" s="1"/>
  <c r="H25" i="39"/>
  <c r="J25" i="39" s="1"/>
  <c r="H26" i="39"/>
  <c r="J26" i="39" s="1"/>
  <c r="H28" i="39"/>
  <c r="J28" i="39" s="1"/>
  <c r="H29" i="39"/>
  <c r="J29" i="39" s="1"/>
  <c r="H30" i="39"/>
  <c r="J30" i="39" s="1"/>
  <c r="H31" i="39"/>
  <c r="J31" i="39" s="1"/>
  <c r="H32" i="39"/>
  <c r="J32" i="39" s="1"/>
  <c r="H33" i="39"/>
  <c r="J33" i="39" s="1"/>
  <c r="H34" i="39"/>
  <c r="J34" i="39" s="1"/>
  <c r="H35" i="39"/>
  <c r="J35" i="39" s="1"/>
  <c r="H36" i="39"/>
  <c r="J36" i="39" s="1"/>
  <c r="H37" i="39"/>
  <c r="J37" i="39" s="1"/>
  <c r="H38" i="39"/>
  <c r="J38" i="39" s="1"/>
  <c r="H39" i="39"/>
  <c r="J39" i="39" s="1"/>
  <c r="H40" i="39"/>
  <c r="J40" i="39" s="1"/>
  <c r="H41" i="39"/>
  <c r="J41" i="39" s="1"/>
  <c r="H42" i="39"/>
  <c r="J42" i="39" s="1"/>
  <c r="H43" i="39"/>
  <c r="J43" i="39" s="1"/>
  <c r="H44" i="39"/>
  <c r="J44" i="39" s="1"/>
  <c r="D35" i="64"/>
  <c r="D36" i="64"/>
  <c r="D37" i="64"/>
  <c r="J9" i="74" l="1"/>
  <c r="J23" i="74"/>
  <c r="J19" i="74"/>
  <c r="N21" i="74" s="1"/>
  <c r="J11" i="74"/>
  <c r="J65" i="41"/>
  <c r="J64" i="41"/>
  <c r="J63" i="41"/>
  <c r="J62" i="41"/>
  <c r="J61" i="41"/>
  <c r="J60" i="41"/>
  <c r="J59" i="41"/>
  <c r="J58" i="41"/>
  <c r="J57" i="41"/>
  <c r="J56" i="41"/>
  <c r="J55" i="41"/>
  <c r="J54" i="41"/>
  <c r="AD27" i="64"/>
  <c r="N47" i="75"/>
  <c r="N16" i="74"/>
  <c r="L47" i="74"/>
  <c r="AA22" i="63"/>
  <c r="AA23" i="63"/>
  <c r="D24" i="63"/>
  <c r="AC23" i="63"/>
  <c r="AG23" i="63" s="1"/>
  <c r="AC22" i="63"/>
  <c r="AC10" i="63"/>
  <c r="AC11" i="63"/>
  <c r="AC12" i="63"/>
  <c r="AC13" i="63"/>
  <c r="AC14" i="63"/>
  <c r="AC15" i="63"/>
  <c r="AC16" i="63"/>
  <c r="AC17" i="63"/>
  <c r="AC18" i="63"/>
  <c r="AC19" i="63"/>
  <c r="AC20" i="63"/>
  <c r="AC21" i="63"/>
  <c r="AC9" i="63"/>
  <c r="D35" i="63"/>
  <c r="N14" i="74" l="1"/>
  <c r="N47" i="74" s="1"/>
  <c r="J47" i="74"/>
  <c r="AG22" i="63"/>
  <c r="AG18" i="63"/>
  <c r="H180" i="72" l="1"/>
  <c r="H178" i="72"/>
  <c r="H169" i="72"/>
  <c r="H167" i="72"/>
  <c r="H166" i="72"/>
  <c r="H165" i="72"/>
  <c r="H164" i="72"/>
  <c r="H163" i="72"/>
  <c r="H162" i="72"/>
  <c r="H161" i="72"/>
  <c r="H160" i="72"/>
  <c r="H159" i="72"/>
  <c r="H158" i="72"/>
  <c r="H157" i="72"/>
  <c r="H156" i="72"/>
  <c r="H155" i="72"/>
  <c r="H154" i="72"/>
  <c r="H153" i="72"/>
  <c r="H152" i="72"/>
  <c r="H151" i="72"/>
  <c r="H150" i="72"/>
  <c r="H149" i="72"/>
  <c r="H148" i="72"/>
  <c r="H147" i="72"/>
  <c r="H146" i="72"/>
  <c r="H145" i="72"/>
  <c r="H144" i="72"/>
  <c r="H143" i="72"/>
  <c r="H142" i="72"/>
  <c r="H141" i="72"/>
  <c r="H140" i="72"/>
  <c r="H139" i="72"/>
  <c r="H138" i="72"/>
  <c r="H137" i="72"/>
  <c r="H136" i="72"/>
  <c r="H135" i="72"/>
  <c r="H134" i="72"/>
  <c r="H133" i="72"/>
  <c r="H131" i="72"/>
  <c r="H130" i="72"/>
  <c r="H129" i="72"/>
  <c r="H128" i="72"/>
  <c r="H127" i="72"/>
  <c r="H126" i="72"/>
  <c r="H125" i="72"/>
  <c r="H124" i="72"/>
  <c r="H123" i="72"/>
  <c r="H122" i="72"/>
  <c r="H121" i="72"/>
  <c r="H120" i="72"/>
  <c r="H119" i="72"/>
  <c r="H118" i="72"/>
  <c r="H117" i="72"/>
  <c r="H116" i="72"/>
  <c r="H115" i="72"/>
  <c r="H114" i="72"/>
  <c r="H113" i="72"/>
  <c r="H112" i="72"/>
  <c r="D4" i="72"/>
  <c r="Z15" i="62" l="1"/>
  <c r="X15" i="62"/>
  <c r="X16" i="62"/>
  <c r="X17" i="62"/>
  <c r="X18" i="62"/>
  <c r="X19" i="62"/>
  <c r="X20" i="62"/>
  <c r="X21" i="62"/>
  <c r="D75" i="39" l="1"/>
  <c r="D31" i="62" l="1"/>
  <c r="D32" i="62"/>
  <c r="D30" i="62"/>
  <c r="AA54" i="64"/>
  <c r="X34" i="64"/>
  <c r="X35" i="64"/>
  <c r="X36" i="64"/>
  <c r="X37" i="64"/>
  <c r="X38" i="64"/>
  <c r="X39" i="64"/>
  <c r="X40" i="64"/>
  <c r="X41" i="64"/>
  <c r="X42" i="64"/>
  <c r="X43" i="64"/>
  <c r="X44" i="64"/>
  <c r="X45" i="64"/>
  <c r="X46" i="64"/>
  <c r="X47" i="64"/>
  <c r="X48" i="64"/>
  <c r="X49" i="64"/>
  <c r="X50" i="64"/>
  <c r="X10" i="64"/>
  <c r="X11" i="64"/>
  <c r="X12" i="64"/>
  <c r="X13" i="64"/>
  <c r="X14" i="64"/>
  <c r="X15" i="64"/>
  <c r="X16" i="64"/>
  <c r="X17" i="64"/>
  <c r="X18" i="64"/>
  <c r="X19" i="64"/>
  <c r="X20" i="64"/>
  <c r="X21" i="64"/>
  <c r="AD53" i="63"/>
  <c r="AA31" i="63"/>
  <c r="AA34" i="63"/>
  <c r="AA35" i="63"/>
  <c r="AA36" i="63"/>
  <c r="AA37" i="63"/>
  <c r="AA38" i="63"/>
  <c r="AA39" i="63"/>
  <c r="AA40" i="63"/>
  <c r="AA41" i="63"/>
  <c r="AA42" i="63"/>
  <c r="AA43" i="63"/>
  <c r="AA44" i="63"/>
  <c r="AA45" i="63"/>
  <c r="AA46" i="63"/>
  <c r="AA47" i="63"/>
  <c r="AA48" i="63"/>
  <c r="AA49" i="63"/>
  <c r="AA10" i="63"/>
  <c r="AA11" i="63"/>
  <c r="AA12" i="63"/>
  <c r="AA13" i="63"/>
  <c r="AA14" i="63"/>
  <c r="AA15" i="63"/>
  <c r="AA16" i="63"/>
  <c r="AA17" i="63"/>
  <c r="AA18" i="63"/>
  <c r="AA19" i="63"/>
  <c r="AA20" i="63"/>
  <c r="AA21" i="63"/>
  <c r="X27" i="62"/>
  <c r="X28" i="62"/>
  <c r="X29" i="62"/>
  <c r="X30" i="62"/>
  <c r="X31" i="62"/>
  <c r="X32" i="62"/>
  <c r="X33" i="62"/>
  <c r="X34" i="62"/>
  <c r="X35" i="62"/>
  <c r="X36" i="62"/>
  <c r="X37" i="62"/>
  <c r="X38" i="62"/>
  <c r="X39" i="62"/>
  <c r="X40" i="62"/>
  <c r="X41" i="62"/>
  <c r="X42" i="62"/>
  <c r="X43" i="62"/>
  <c r="X10" i="62"/>
  <c r="X11" i="62"/>
  <c r="X12" i="62"/>
  <c r="X13" i="62"/>
  <c r="X14" i="62"/>
  <c r="AA47" i="62"/>
  <c r="AF47" i="52"/>
  <c r="X9" i="62"/>
  <c r="X26" i="62"/>
  <c r="AA9" i="63"/>
  <c r="X9" i="64"/>
  <c r="AB51" i="64" l="1"/>
  <c r="AB50" i="64"/>
  <c r="D50" i="64"/>
  <c r="AB49" i="64"/>
  <c r="D49" i="64"/>
  <c r="AB48" i="64"/>
  <c r="D48" i="64"/>
  <c r="AB47" i="64"/>
  <c r="D47" i="64"/>
  <c r="AB46" i="64"/>
  <c r="D46" i="64"/>
  <c r="AB45" i="64"/>
  <c r="D45" i="64"/>
  <c r="AB44" i="64"/>
  <c r="D44" i="64"/>
  <c r="AB43" i="64"/>
  <c r="D43" i="64"/>
  <c r="AB42" i="64"/>
  <c r="D42" i="64"/>
  <c r="AB41" i="64"/>
  <c r="D41" i="64"/>
  <c r="AB40" i="64"/>
  <c r="D40" i="64"/>
  <c r="AB39" i="64"/>
  <c r="D39" i="64"/>
  <c r="AB38" i="64"/>
  <c r="D38" i="64"/>
  <c r="AB37" i="64"/>
  <c r="AB36" i="64"/>
  <c r="AB35" i="64"/>
  <c r="AB34" i="64"/>
  <c r="D34" i="64"/>
  <c r="AB33" i="64"/>
  <c r="X33" i="64"/>
  <c r="D33" i="64"/>
  <c r="D23" i="64"/>
  <c r="D22" i="64"/>
  <c r="Z21" i="64"/>
  <c r="D21" i="64"/>
  <c r="Z20" i="64"/>
  <c r="D20" i="64"/>
  <c r="Z19" i="64"/>
  <c r="D19" i="64"/>
  <c r="Z18" i="64"/>
  <c r="D18" i="64"/>
  <c r="Z17" i="64"/>
  <c r="D17" i="64"/>
  <c r="Z16" i="64"/>
  <c r="D16" i="64"/>
  <c r="Z15" i="64"/>
  <c r="D15" i="64"/>
  <c r="Z14" i="64"/>
  <c r="D14" i="64"/>
  <c r="Z13" i="64"/>
  <c r="D13" i="64"/>
  <c r="Z12" i="64"/>
  <c r="D12" i="64"/>
  <c r="Z11" i="64"/>
  <c r="D11" i="64"/>
  <c r="Z10" i="64"/>
  <c r="D10" i="64"/>
  <c r="Z9" i="64"/>
  <c r="D9" i="64"/>
  <c r="AE50" i="63"/>
  <c r="AE49" i="63"/>
  <c r="D49" i="63"/>
  <c r="AE48" i="63"/>
  <c r="D48" i="63"/>
  <c r="AE47" i="63"/>
  <c r="D47" i="63"/>
  <c r="AE46" i="63"/>
  <c r="D46" i="63"/>
  <c r="AE45" i="63"/>
  <c r="D45" i="63"/>
  <c r="AE44" i="63"/>
  <c r="D44" i="63"/>
  <c r="AE43" i="63"/>
  <c r="D43" i="63"/>
  <c r="AE42" i="63"/>
  <c r="D42" i="63"/>
  <c r="AE41" i="63"/>
  <c r="D41" i="63"/>
  <c r="AE40" i="63"/>
  <c r="D40" i="63"/>
  <c r="AE39" i="63"/>
  <c r="D39" i="63"/>
  <c r="AE38" i="63"/>
  <c r="D38" i="63"/>
  <c r="AE37" i="63"/>
  <c r="D37" i="63"/>
  <c r="AE36" i="63"/>
  <c r="D36" i="63"/>
  <c r="AE35" i="63"/>
  <c r="AE34" i="63"/>
  <c r="D34" i="63"/>
  <c r="AE31" i="63"/>
  <c r="D31" i="63"/>
  <c r="AE30" i="63"/>
  <c r="AA30" i="63"/>
  <c r="D30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AB44" i="62"/>
  <c r="AB43" i="62"/>
  <c r="D43" i="62"/>
  <c r="AB42" i="62"/>
  <c r="D42" i="62"/>
  <c r="AB41" i="62"/>
  <c r="D41" i="62"/>
  <c r="AB40" i="62"/>
  <c r="D40" i="62"/>
  <c r="AB39" i="62"/>
  <c r="D39" i="62"/>
  <c r="AB38" i="62"/>
  <c r="D38" i="62"/>
  <c r="AB37" i="62"/>
  <c r="AB36" i="62"/>
  <c r="AB35" i="62"/>
  <c r="AB34" i="62"/>
  <c r="AB33" i="62"/>
  <c r="AB32" i="62"/>
  <c r="AB31" i="62"/>
  <c r="AB30" i="62"/>
  <c r="AB29" i="62"/>
  <c r="D29" i="62"/>
  <c r="AB28" i="62"/>
  <c r="D28" i="62"/>
  <c r="AB27" i="62"/>
  <c r="D27" i="62"/>
  <c r="AB26" i="62"/>
  <c r="D26" i="62"/>
  <c r="D23" i="62"/>
  <c r="D22" i="62"/>
  <c r="Z21" i="62"/>
  <c r="D21" i="62"/>
  <c r="Z20" i="62"/>
  <c r="D20" i="62"/>
  <c r="Z19" i="62"/>
  <c r="D19" i="62"/>
  <c r="Z18" i="62"/>
  <c r="D18" i="62"/>
  <c r="Z17" i="62"/>
  <c r="D17" i="62"/>
  <c r="Z16" i="62"/>
  <c r="AD16" i="62" s="1"/>
  <c r="D16" i="62"/>
  <c r="D15" i="62"/>
  <c r="Z14" i="62"/>
  <c r="D14" i="62"/>
  <c r="Z13" i="62"/>
  <c r="D13" i="62"/>
  <c r="Z12" i="62"/>
  <c r="D12" i="62"/>
  <c r="Z11" i="62"/>
  <c r="D11" i="62"/>
  <c r="Z10" i="62"/>
  <c r="D10" i="62"/>
  <c r="Z9" i="62"/>
  <c r="D9" i="62"/>
  <c r="AC27" i="52"/>
  <c r="AC28" i="52"/>
  <c r="AC29" i="52"/>
  <c r="AC30" i="52"/>
  <c r="AC31" i="52"/>
  <c r="AC32" i="52"/>
  <c r="AC33" i="52"/>
  <c r="AC34" i="52"/>
  <c r="AC35" i="52"/>
  <c r="AC36" i="52"/>
  <c r="AC37" i="52"/>
  <c r="AC38" i="52"/>
  <c r="AC39" i="52"/>
  <c r="AC40" i="52"/>
  <c r="AC41" i="52"/>
  <c r="AC42" i="52"/>
  <c r="AC43" i="52"/>
  <c r="AC26" i="52"/>
  <c r="AC10" i="52"/>
  <c r="AC11" i="52"/>
  <c r="AC12" i="52"/>
  <c r="AC13" i="52"/>
  <c r="AC14" i="52"/>
  <c r="AC15" i="52"/>
  <c r="AC16" i="52"/>
  <c r="AC17" i="52"/>
  <c r="AC18" i="52"/>
  <c r="AC19" i="52"/>
  <c r="AC20" i="52"/>
  <c r="AC21" i="52"/>
  <c r="AC9" i="52"/>
  <c r="AG27" i="52"/>
  <c r="AG28" i="52"/>
  <c r="AG29" i="52"/>
  <c r="AG30" i="52"/>
  <c r="AG31" i="52"/>
  <c r="AG32" i="52"/>
  <c r="AG33" i="52"/>
  <c r="AG34" i="52"/>
  <c r="AG35" i="52"/>
  <c r="AG36" i="52"/>
  <c r="AG37" i="52"/>
  <c r="AG38" i="52"/>
  <c r="AG39" i="52"/>
  <c r="AG40" i="52"/>
  <c r="AG41" i="52"/>
  <c r="AG42" i="52"/>
  <c r="AG43" i="52"/>
  <c r="AG44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26" i="52"/>
  <c r="AD21" i="62" l="1"/>
  <c r="AD23" i="64"/>
  <c r="AD14" i="62"/>
  <c r="AD12" i="64"/>
  <c r="AB54" i="64"/>
  <c r="Z54" i="64"/>
  <c r="AG12" i="63"/>
  <c r="AG53" i="63" s="1"/>
  <c r="AC53" i="63"/>
  <c r="AE53" i="63"/>
  <c r="AB47" i="62"/>
  <c r="Z47" i="62"/>
  <c r="AG26" i="52"/>
  <c r="AG47" i="52" s="1"/>
  <c r="AD47" i="62" l="1"/>
  <c r="AD54" i="64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9" i="52"/>
  <c r="H180" i="53"/>
  <c r="H178" i="53"/>
  <c r="H169" i="53"/>
  <c r="H167" i="53"/>
  <c r="H166" i="53"/>
  <c r="H165" i="53"/>
  <c r="H164" i="53"/>
  <c r="H163" i="53"/>
  <c r="H162" i="53"/>
  <c r="H161" i="53"/>
  <c r="H160" i="53"/>
  <c r="H159" i="53"/>
  <c r="H158" i="53"/>
  <c r="H157" i="53"/>
  <c r="H156" i="53"/>
  <c r="H155" i="53"/>
  <c r="H154" i="53"/>
  <c r="H153" i="53"/>
  <c r="H152" i="53"/>
  <c r="H151" i="53"/>
  <c r="H150" i="53"/>
  <c r="H149" i="53"/>
  <c r="H148" i="53"/>
  <c r="H147" i="53"/>
  <c r="H146" i="53"/>
  <c r="H145" i="53"/>
  <c r="H144" i="53"/>
  <c r="H143" i="53"/>
  <c r="H142" i="53"/>
  <c r="H141" i="53"/>
  <c r="H140" i="53"/>
  <c r="H139" i="53"/>
  <c r="H138" i="53"/>
  <c r="H137" i="53"/>
  <c r="H136" i="53"/>
  <c r="H135" i="53"/>
  <c r="H134" i="53"/>
  <c r="H133" i="53"/>
  <c r="H131" i="53"/>
  <c r="H130" i="53"/>
  <c r="H129" i="53"/>
  <c r="H128" i="53"/>
  <c r="H127" i="53"/>
  <c r="H126" i="53"/>
  <c r="H125" i="53"/>
  <c r="H124" i="53"/>
  <c r="H123" i="53"/>
  <c r="H122" i="53"/>
  <c r="H121" i="53"/>
  <c r="H120" i="53"/>
  <c r="H119" i="53"/>
  <c r="H118" i="53"/>
  <c r="H117" i="53"/>
  <c r="H116" i="53"/>
  <c r="H115" i="53"/>
  <c r="H114" i="53"/>
  <c r="H113" i="53"/>
  <c r="H112" i="53"/>
  <c r="D4" i="53"/>
  <c r="AE21" i="52" l="1"/>
  <c r="AE20" i="52"/>
  <c r="AE19" i="52"/>
  <c r="AE18" i="52"/>
  <c r="AE17" i="52"/>
  <c r="AE16" i="52"/>
  <c r="AE15" i="52"/>
  <c r="AE14" i="52"/>
  <c r="AE13" i="52"/>
  <c r="AE12" i="52"/>
  <c r="AE11" i="52"/>
  <c r="AE10" i="52"/>
  <c r="AE9" i="52"/>
  <c r="AI18" i="52" l="1"/>
  <c r="AI12" i="52"/>
  <c r="AI16" i="52"/>
  <c r="AI47" i="52" l="1"/>
  <c r="N26" i="41"/>
  <c r="N14" i="41"/>
  <c r="N28" i="40"/>
  <c r="N23" i="40" l="1"/>
  <c r="N18" i="40" l="1"/>
  <c r="N44" i="39"/>
  <c r="N38" i="39"/>
  <c r="M83" i="39" l="1"/>
  <c r="L83" i="39"/>
  <c r="K83" i="39"/>
  <c r="N32" i="39"/>
  <c r="N27" i="39"/>
  <c r="N17" i="39"/>
  <c r="N83" i="39" l="1"/>
  <c r="N84" i="39" s="1"/>
  <c r="K67" i="41" l="1"/>
  <c r="N52" i="40" l="1"/>
  <c r="N67" i="41" l="1"/>
  <c r="N68" i="41" s="1"/>
  <c r="M67" i="41" l="1"/>
  <c r="L67" i="41" l="1"/>
  <c r="M52" i="40" l="1"/>
  <c r="L52" i="40"/>
  <c r="K52" i="40"/>
  <c r="N53" i="40" s="1"/>
  <c r="AE47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Anesia Tang Boon Kiang</author>
  </authors>
  <commentList>
    <comment ref="G68" authorId="0" shapeId="0" xr:uid="{B28DA6B0-1C0A-4A56-A16D-A3EE1A9D326C}">
      <text>
        <r>
          <rPr>
            <b/>
            <sz val="9"/>
            <color indexed="81"/>
            <rFont val="Tahoma"/>
            <family val="2"/>
          </rPr>
          <t>Anesia Tang Boon Kiang:</t>
        </r>
        <r>
          <rPr>
            <sz val="9"/>
            <color indexed="81"/>
            <rFont val="Tahoma"/>
            <family val="2"/>
          </rPr>
          <t xml:space="preserve">
Original wrong record, only capture Feb25 RM50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Anesia Tang Boon Kiang</author>
  </authors>
  <commentList>
    <comment ref="G17" authorId="0" shapeId="0" xr:uid="{2D6EB9FB-AE40-4BE3-BAC7-52F6530BA463}">
      <text>
        <r>
          <rPr>
            <b/>
            <sz val="9"/>
            <color indexed="81"/>
            <rFont val="Tahoma"/>
            <family val="2"/>
          </rPr>
          <t>Anesia Tang Boon Kiang:</t>
        </r>
        <r>
          <rPr>
            <sz val="9"/>
            <color indexed="81"/>
            <rFont val="Tahoma"/>
            <family val="2"/>
          </rPr>
          <t xml:space="preserve">
old record mistake on payment month (Jan-Feb25), should be Feb-Mar25</t>
        </r>
      </text>
    </comment>
    <comment ref="G41" authorId="0" shapeId="0" xr:uid="{5C17B479-B121-48E1-B9DC-5456907AADE5}">
      <text>
        <r>
          <rPr>
            <b/>
            <sz val="9"/>
            <color indexed="81"/>
            <rFont val="Tahoma"/>
            <family val="2"/>
          </rPr>
          <t>Anesia Tang Boon Kiang:</t>
        </r>
        <r>
          <rPr>
            <sz val="9"/>
            <color indexed="81"/>
            <rFont val="Tahoma"/>
            <family val="2"/>
          </rPr>
          <t xml:space="preserve">
To reconfirm the subscription for Jan-Dec'25 (mentioned by member)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Anesia Tang Boon Kiang</author>
  </authors>
  <commentList>
    <comment ref="G36" authorId="0" shapeId="0" xr:uid="{80B43A8E-8035-40B5-8CBA-9FF035AD7106}">
      <text>
        <r>
          <rPr>
            <b/>
            <sz val="9"/>
            <color indexed="81"/>
            <rFont val="Tahoma"/>
            <family val="2"/>
          </rPr>
          <t>Anesia Tang Boon Kiang:</t>
        </r>
        <r>
          <rPr>
            <sz val="9"/>
            <color indexed="81"/>
            <rFont val="Tahoma"/>
            <family val="2"/>
          </rPr>
          <t xml:space="preserve">
Previosly 116, 117 wroong payment record for Feb25, Act for Mar25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Guanyin PH</author>
  </authors>
  <commentList>
    <comment ref="A28" authorId="0" shapeId="0" xr:uid="{BAC6C0A3-2BC1-4F14-AD7D-E952A76D1F83}">
      <text>
        <r>
          <rPr>
            <b/>
            <sz val="9"/>
            <color indexed="81"/>
            <rFont val="Tahoma"/>
            <family val="2"/>
          </rPr>
          <t>Guanyin PH:</t>
        </r>
        <r>
          <rPr>
            <sz val="9"/>
            <color indexed="81"/>
            <rFont val="Tahoma"/>
            <family val="2"/>
          </rPr>
          <t xml:space="preserve">
Not able to rectify the direct ATM bank in as member not informed timely.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4DC24-9944-487D-8AD5-6533AB13943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00F7504-8C7A-44A6-B0FE-CC364110E216}" name="WorksheetConnection_01-月費收纳表_2025 - gyt (HuiHe updated 06.07.2025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01月費收纳表_2025gytHuiHeupdated06.07.2025.xlsxTable11"/>
        </x15:connection>
      </ext>
    </extLst>
  </connection>
</connections>
</file>

<file path=xl/sharedStrings.xml><?xml version="1.0" encoding="utf-8"?>
<sst xmlns="http://schemas.openxmlformats.org/spreadsheetml/2006/main" count="5754" uniqueCount="1825">
  <si>
    <t>月费善款 收纳表/ Official Receipt Summary:</t>
  </si>
  <si>
    <t xml:space="preserve">   2025  年 1  月份 - HLB 05500129613</t>
  </si>
  <si>
    <t xml:space="preserve">赞助的月份 </t>
  </si>
  <si>
    <t xml:space="preserve"> </t>
  </si>
  <si>
    <t>Payment for the month of</t>
  </si>
  <si>
    <t>金额 
Amount (RM)</t>
  </si>
  <si>
    <t>日期
Date</t>
  </si>
  <si>
    <t>收据编号 
Official Receipt No</t>
  </si>
  <si>
    <t>编号 No.</t>
  </si>
  <si>
    <t>捐款人
姓名
Name</t>
  </si>
  <si>
    <t>START MONTH</t>
  </si>
  <si>
    <t>END MONTH</t>
  </si>
  <si>
    <t>REF.</t>
  </si>
  <si>
    <t>现款 
Cash</t>
  </si>
  <si>
    <t>支票 
Cheque</t>
  </si>
  <si>
    <t>网上银行转账 Online Bank Transfer</t>
  </si>
  <si>
    <t>Bank-in Amount</t>
  </si>
  <si>
    <t>Bank-in Date</t>
  </si>
  <si>
    <t xml:space="preserve">备注                 Remark           </t>
  </si>
  <si>
    <t>01.01.2025</t>
  </si>
  <si>
    <t>CHE 0001064</t>
  </si>
  <si>
    <t>106</t>
  </si>
  <si>
    <t>文渼渼</t>
  </si>
  <si>
    <t>Nov-24</t>
  </si>
  <si>
    <t>Dec-24</t>
  </si>
  <si>
    <t>Nov-Dec-24</t>
  </si>
  <si>
    <t>2</t>
  </si>
  <si>
    <t>50</t>
  </si>
  <si>
    <t>100</t>
  </si>
  <si>
    <t xml:space="preserve"> 100.00 </t>
  </si>
  <si>
    <t>CHE 0001065</t>
  </si>
  <si>
    <t>Jan-Jun-25</t>
  </si>
  <si>
    <t>CHE 0001066</t>
  </si>
  <si>
    <t>苏素镇</t>
  </si>
  <si>
    <t>Jan-Mar-25</t>
  </si>
  <si>
    <t>CHE 0001067</t>
  </si>
  <si>
    <t>陈桂香</t>
  </si>
  <si>
    <t>03.01.2025</t>
  </si>
  <si>
    <t>CHE 0001068</t>
  </si>
  <si>
    <t>程秋萍</t>
  </si>
  <si>
    <t>Jan-Dec-25</t>
  </si>
  <si>
    <t>CHE 0001069</t>
  </si>
  <si>
    <t>锺堉煒</t>
  </si>
  <si>
    <t>CHE 0001070</t>
  </si>
  <si>
    <t>廖秋华</t>
  </si>
  <si>
    <t>Jan-Apr-25</t>
  </si>
  <si>
    <t>04.01.2025</t>
  </si>
  <si>
    <t>CHE 0001071</t>
  </si>
  <si>
    <t>张秀杏</t>
  </si>
  <si>
    <t>05.01.2025</t>
  </si>
  <si>
    <t>06.01.2025</t>
  </si>
  <si>
    <t>CHE 0001072</t>
  </si>
  <si>
    <t>陈素秋</t>
  </si>
  <si>
    <t>CHE 0001073</t>
  </si>
  <si>
    <t>房丽珍</t>
  </si>
  <si>
    <t>Oct-24-May-25</t>
  </si>
  <si>
    <t>CHE 0001074</t>
  </si>
  <si>
    <t>钱淑娟</t>
  </si>
  <si>
    <t>CHE 0001075</t>
  </si>
  <si>
    <t>黄得财</t>
  </si>
  <si>
    <t>Jan-May-25</t>
  </si>
  <si>
    <t>07.01.2025</t>
  </si>
  <si>
    <t>CHE 0001076</t>
  </si>
  <si>
    <t>张凤</t>
  </si>
  <si>
    <t>08.01.2025</t>
  </si>
  <si>
    <t>CHE 0001077</t>
  </si>
  <si>
    <t>邹运金</t>
  </si>
  <si>
    <t>Jan-Feb-25</t>
  </si>
  <si>
    <t>09.01.2025</t>
  </si>
  <si>
    <t>CHE 0001078</t>
  </si>
  <si>
    <t>颜美荭</t>
  </si>
  <si>
    <t>11.01.2025</t>
  </si>
  <si>
    <t>CHE 0001079</t>
  </si>
  <si>
    <t>刘玉云</t>
  </si>
  <si>
    <t>CHE 0001080</t>
  </si>
  <si>
    <t>罗彩云</t>
  </si>
  <si>
    <t>CHE 0001081</t>
  </si>
  <si>
    <t>刁修淋</t>
  </si>
  <si>
    <t>13.01.2025</t>
  </si>
  <si>
    <t>12.01.2025</t>
  </si>
  <si>
    <t>CHE 0001082</t>
  </si>
  <si>
    <t>李俐祯</t>
  </si>
  <si>
    <t>CHE 0001083</t>
  </si>
  <si>
    <t>萧志伦</t>
  </si>
  <si>
    <t>14.01.2025</t>
  </si>
  <si>
    <t>CHE 0001084</t>
  </si>
  <si>
    <t>吴毓遴</t>
  </si>
  <si>
    <t>CHE 0001085</t>
  </si>
  <si>
    <t>王碧琳</t>
  </si>
  <si>
    <t>CHE 0001086</t>
  </si>
  <si>
    <t>丘桂盈</t>
  </si>
  <si>
    <t>22.01.2025</t>
  </si>
  <si>
    <t>20.01.2025</t>
  </si>
  <si>
    <t>CHE 0001087</t>
  </si>
  <si>
    <t>陈金清</t>
  </si>
  <si>
    <t>CHE 0001088</t>
  </si>
  <si>
    <t>李宝明</t>
  </si>
  <si>
    <t>23.01.2025</t>
  </si>
  <si>
    <t>CHE 0001089</t>
  </si>
  <si>
    <t>羅梅瑂</t>
  </si>
  <si>
    <t>28.01.2025</t>
  </si>
  <si>
    <t>CHE 0001090</t>
  </si>
  <si>
    <t>王康芬</t>
  </si>
  <si>
    <t>29.01.2025</t>
  </si>
  <si>
    <t>CHE 0001091</t>
  </si>
  <si>
    <t xml:space="preserve">Anna Justina </t>
  </si>
  <si>
    <t>Mar-Jun-25</t>
  </si>
  <si>
    <t>CHE 0001092</t>
  </si>
  <si>
    <t>卢锭伟</t>
  </si>
  <si>
    <t>30.01.2025</t>
  </si>
  <si>
    <t>CHE 0001093</t>
  </si>
  <si>
    <t>CHE 0001094</t>
  </si>
  <si>
    <t>方玉芬</t>
  </si>
  <si>
    <t>CHE 0001095</t>
  </si>
  <si>
    <t>陈梅兰</t>
  </si>
  <si>
    <t>CHE 0001096</t>
  </si>
  <si>
    <t>锺鏸堬</t>
  </si>
  <si>
    <t>CHE 0001097</t>
  </si>
  <si>
    <t>锺镒壕</t>
  </si>
  <si>
    <t>CHE 0001098</t>
  </si>
  <si>
    <t>陈柔霓</t>
  </si>
  <si>
    <t>01.02.2025</t>
  </si>
  <si>
    <t>CHE0001039</t>
  </si>
  <si>
    <t>方惠贤</t>
  </si>
  <si>
    <t>Book No.121</t>
  </si>
  <si>
    <t>BT</t>
  </si>
  <si>
    <t>Fong Fui Ying</t>
  </si>
  <si>
    <t>02.01.2025</t>
  </si>
  <si>
    <t>CHE0001040</t>
  </si>
  <si>
    <t>叶宝钻</t>
  </si>
  <si>
    <t>Tai Siew Fong</t>
  </si>
  <si>
    <t>CHE0001041</t>
  </si>
  <si>
    <t>李薇薇</t>
  </si>
  <si>
    <t>Lee Wei Wei</t>
  </si>
  <si>
    <t>CHE0001042</t>
  </si>
  <si>
    <t>张志文</t>
  </si>
  <si>
    <t>Chong Chee Wen</t>
  </si>
  <si>
    <t>CHE0001043</t>
  </si>
  <si>
    <t>张媄绮</t>
  </si>
  <si>
    <t>Chong Mei Mei</t>
  </si>
  <si>
    <t>CHE0001044</t>
  </si>
  <si>
    <t>连美丽</t>
  </si>
  <si>
    <t>Lien Mei Li</t>
  </si>
  <si>
    <t>CHE0001045</t>
  </si>
  <si>
    <t>谢蕙冰</t>
  </si>
  <si>
    <t>Tong  Kai Chon</t>
  </si>
  <si>
    <t>CHE0001046</t>
  </si>
  <si>
    <t>洪鼎惟</t>
  </si>
  <si>
    <t>Hoon Teng Hui</t>
  </si>
  <si>
    <t>CHE0001047</t>
  </si>
  <si>
    <t>高渼惠</t>
  </si>
  <si>
    <t>Koo Mei Wei</t>
  </si>
  <si>
    <t>CHE0001048</t>
  </si>
  <si>
    <t>江錦仁</t>
  </si>
  <si>
    <t>Sep-24-Jan-25</t>
  </si>
  <si>
    <t>Kong Kim Yin</t>
  </si>
  <si>
    <t>10.01.2025</t>
  </si>
  <si>
    <t>CHE0001049</t>
  </si>
  <si>
    <t>叶淑芳</t>
  </si>
  <si>
    <t>Tiew Cheng Lou</t>
  </si>
  <si>
    <t>CHE0001050</t>
  </si>
  <si>
    <t>黄莉珍</t>
  </si>
  <si>
    <t>Nov-24-Feb-25</t>
  </si>
  <si>
    <t>Wong Pui Chan</t>
  </si>
  <si>
    <t>CHE0001201</t>
  </si>
  <si>
    <t>赖美珍</t>
  </si>
  <si>
    <t>Book No.125</t>
  </si>
  <si>
    <t>CDM</t>
  </si>
  <si>
    <t>CHE0001202</t>
  </si>
  <si>
    <t>韦素枝</t>
  </si>
  <si>
    <t>Lim Thiam Chai</t>
  </si>
  <si>
    <t>CHE0001203</t>
  </si>
  <si>
    <t>李宝珠</t>
  </si>
  <si>
    <t>Wee Mun Kuan</t>
  </si>
  <si>
    <t>CHE0001204</t>
  </si>
  <si>
    <t>许银玲</t>
  </si>
  <si>
    <t>cheque from HQ - transfer back from MBB HQ</t>
  </si>
  <si>
    <t>CHE0001205</t>
  </si>
  <si>
    <t>黄淑芬</t>
  </si>
  <si>
    <t>Wong Su Fong</t>
  </si>
  <si>
    <t>CHE0001206</t>
  </si>
  <si>
    <t>黄文胜</t>
  </si>
  <si>
    <t>16.01.2025</t>
  </si>
  <si>
    <t>CHE0001207</t>
  </si>
  <si>
    <t>陈巧欢</t>
  </si>
  <si>
    <t>Chan Chiaw Huan</t>
  </si>
  <si>
    <t>17.01.2025</t>
  </si>
  <si>
    <t>CHE0001208</t>
  </si>
  <si>
    <t>王万龄</t>
  </si>
  <si>
    <t>Feb-Dec25</t>
  </si>
  <si>
    <t>Ong Ban Ling</t>
  </si>
  <si>
    <t>21.01.2025</t>
  </si>
  <si>
    <t>CHE0001209</t>
  </si>
  <si>
    <t>蔡均镅</t>
  </si>
  <si>
    <t>Chua Jiun Mei</t>
  </si>
  <si>
    <t>CHE0001210</t>
  </si>
  <si>
    <t>黄丽娟</t>
  </si>
  <si>
    <t>Wong Lee Ken</t>
  </si>
  <si>
    <t>CHE0001211</t>
  </si>
  <si>
    <t>黄慧霞</t>
  </si>
  <si>
    <t>Wong Wei Ha</t>
  </si>
  <si>
    <t>CHE0001212</t>
  </si>
  <si>
    <t>陈淑玲</t>
  </si>
  <si>
    <t>Long Engineering Works</t>
  </si>
  <si>
    <t>CHE0001213</t>
  </si>
  <si>
    <t>CHE0001214</t>
  </si>
  <si>
    <t>CHE0001215</t>
  </si>
  <si>
    <t>31.01.2025</t>
  </si>
  <si>
    <t>CHE0001216</t>
  </si>
  <si>
    <t>沈观胜</t>
  </si>
  <si>
    <t>Jan-Mar25</t>
  </si>
  <si>
    <t>Sim Kuan Seng</t>
  </si>
  <si>
    <t>06.04.2024</t>
  </si>
  <si>
    <t>???</t>
  </si>
  <si>
    <t>new</t>
  </si>
  <si>
    <t>陈凯凤</t>
  </si>
  <si>
    <t>stop from Feb 21</t>
  </si>
  <si>
    <t>伍蔚枋</t>
  </si>
  <si>
    <t>刘黛娣</t>
  </si>
  <si>
    <t>stop from Jan 21</t>
  </si>
  <si>
    <t>赖清桂</t>
  </si>
  <si>
    <t>蔡美容</t>
  </si>
  <si>
    <t>stop from Mar 21</t>
  </si>
  <si>
    <t>林淑仪</t>
  </si>
  <si>
    <t>范庆华</t>
  </si>
  <si>
    <t>stop from Apr 21</t>
  </si>
  <si>
    <t>江伝卉</t>
  </si>
  <si>
    <t>范明丽</t>
  </si>
  <si>
    <t>stop from May 21</t>
  </si>
  <si>
    <t>Chin Ah Soon</t>
  </si>
  <si>
    <t>stop from Jan 22</t>
  </si>
  <si>
    <t>章伟声</t>
  </si>
  <si>
    <t>stop from Feb 22</t>
  </si>
  <si>
    <t>曾静敏</t>
  </si>
  <si>
    <t>stop from Dec 21</t>
  </si>
  <si>
    <t>陈金娣</t>
  </si>
  <si>
    <t>丘佳盈</t>
  </si>
  <si>
    <t>黄诗霞</t>
  </si>
  <si>
    <t>詹联明</t>
  </si>
  <si>
    <t>陈丽珍</t>
  </si>
  <si>
    <t>黄小燕</t>
  </si>
  <si>
    <t>stop from Jul 22</t>
  </si>
  <si>
    <t>李彩虹</t>
  </si>
  <si>
    <t>stop from Jan 23</t>
  </si>
  <si>
    <t>李美燕</t>
  </si>
  <si>
    <t>stop from Nov-22</t>
  </si>
  <si>
    <t>陈世海</t>
  </si>
  <si>
    <t>黄微润</t>
  </si>
  <si>
    <t>梁袁诚</t>
  </si>
  <si>
    <t>stop from Jul 23</t>
  </si>
  <si>
    <t>黄仕章</t>
  </si>
  <si>
    <t>stop from Jan 24</t>
  </si>
  <si>
    <t>许寛逸(俍富)</t>
  </si>
  <si>
    <t>李威康</t>
  </si>
  <si>
    <t>stop from Jan-24</t>
  </si>
  <si>
    <t>陈吉珠</t>
  </si>
  <si>
    <t>stop from Jul-24</t>
  </si>
  <si>
    <t>李涍萍</t>
  </si>
  <si>
    <t>stop from Jan-25</t>
  </si>
  <si>
    <t>stop from Jan-26</t>
  </si>
  <si>
    <t>陈淑心</t>
  </si>
  <si>
    <t>(msg rec'd 08.Sep.25)</t>
  </si>
  <si>
    <t xml:space="preserve">   2025   年 2  月份 - HLB 05500129613</t>
  </si>
  <si>
    <t>02.02.2025</t>
  </si>
  <si>
    <t>CHE 0001099</t>
  </si>
  <si>
    <t>林德成</t>
  </si>
  <si>
    <t>Book No.22/122</t>
  </si>
  <si>
    <t>CHE 0001100</t>
  </si>
  <si>
    <t>cancel</t>
  </si>
  <si>
    <t>04.02.2025</t>
  </si>
  <si>
    <t>CHE 0001101</t>
  </si>
  <si>
    <t>郭丽诗</t>
  </si>
  <si>
    <t>Book No.23/123</t>
  </si>
  <si>
    <t>05.02.2025</t>
  </si>
  <si>
    <t>CHE 0001102</t>
  </si>
  <si>
    <t>林采谚</t>
  </si>
  <si>
    <t>06.02.2025</t>
  </si>
  <si>
    <t>CHE 0001103</t>
  </si>
  <si>
    <t>叶翠芬</t>
  </si>
  <si>
    <t>CHE 0001104</t>
  </si>
  <si>
    <t>叶碧玉</t>
  </si>
  <si>
    <t>CHE 0001105</t>
  </si>
  <si>
    <t>罗紫纶</t>
  </si>
  <si>
    <t>08.02.2025</t>
  </si>
  <si>
    <t>CHE 0001106</t>
  </si>
  <si>
    <t>黄丽玲</t>
  </si>
  <si>
    <t>Feb-Mar25</t>
  </si>
  <si>
    <t>CHE 0001107</t>
  </si>
  <si>
    <t>赖奕坊</t>
  </si>
  <si>
    <t>15.02.2025</t>
  </si>
  <si>
    <t>10.02.2025</t>
  </si>
  <si>
    <t>CHE 0001108</t>
  </si>
  <si>
    <t>王秋蓉</t>
  </si>
  <si>
    <t>12.02.2025</t>
  </si>
  <si>
    <t>CHE 0001109</t>
  </si>
  <si>
    <t>余丽苹</t>
  </si>
  <si>
    <t>CHE 0001110</t>
  </si>
  <si>
    <t>房薇玲</t>
  </si>
  <si>
    <t>CHE 0001111</t>
  </si>
  <si>
    <t>陈杍䍿</t>
  </si>
  <si>
    <t>Mar-Apr-25</t>
  </si>
  <si>
    <t>CHE 0001112</t>
  </si>
  <si>
    <t>16.02.2025</t>
  </si>
  <si>
    <t>16.2.2025</t>
  </si>
  <si>
    <t>CHE 0001113</t>
  </si>
  <si>
    <t>黄玉莲</t>
  </si>
  <si>
    <t>21.2.2025</t>
  </si>
  <si>
    <t>CHE 0001114</t>
  </si>
  <si>
    <t>苏志伦</t>
  </si>
  <si>
    <t>23.2.2025</t>
  </si>
  <si>
    <t>CHE 0001115</t>
  </si>
  <si>
    <t>田玉美</t>
  </si>
  <si>
    <t>27.2.2025</t>
  </si>
  <si>
    <t>CHE 0001116</t>
  </si>
  <si>
    <t>28.2.2025</t>
  </si>
  <si>
    <t>CHE 0001117</t>
  </si>
  <si>
    <t>梁佩仪</t>
  </si>
  <si>
    <t>04.03.2025</t>
  </si>
  <si>
    <t>CHE0001217</t>
  </si>
  <si>
    <t>郑筱頵</t>
  </si>
  <si>
    <t>Mar-Dec-25</t>
  </si>
  <si>
    <t>Chang Sau Cheen</t>
  </si>
  <si>
    <t>03.02.2025</t>
  </si>
  <si>
    <t>CHE0001218</t>
  </si>
  <si>
    <t>戴川风</t>
  </si>
  <si>
    <t>ATM</t>
  </si>
  <si>
    <t>CHE0001219</t>
  </si>
  <si>
    <t>CHE0001220</t>
  </si>
  <si>
    <t>CHE0001221</t>
  </si>
  <si>
    <t>陈宝蓉</t>
  </si>
  <si>
    <t>Tan Poh Yong</t>
  </si>
  <si>
    <t>07.02.2025</t>
  </si>
  <si>
    <t>CHE0001222</t>
  </si>
  <si>
    <t>Hoo Mei Sing</t>
  </si>
  <si>
    <t>Apr-Jul25</t>
  </si>
  <si>
    <t>Ho Mei Sing</t>
  </si>
  <si>
    <t>CHE0001223</t>
  </si>
  <si>
    <t>张婷奕</t>
  </si>
  <si>
    <t>Chong Sue Mei</t>
  </si>
  <si>
    <t>CHE0001224</t>
  </si>
  <si>
    <t>许愫苓</t>
  </si>
  <si>
    <t>Oct-24-Mar-25</t>
  </si>
  <si>
    <t>Khoo Su Chin</t>
  </si>
  <si>
    <t>CHE0001225</t>
  </si>
  <si>
    <t>何艺寿</t>
  </si>
  <si>
    <t>Feb-25-Jan-26</t>
  </si>
  <si>
    <t>Hoo Yoke Saw</t>
  </si>
  <si>
    <t>17.02.2025</t>
  </si>
  <si>
    <t>CHE0001226</t>
  </si>
  <si>
    <t>Chan Sook Ling</t>
  </si>
  <si>
    <t>22.02.2025</t>
  </si>
  <si>
    <t>CHE0001227</t>
  </si>
  <si>
    <t>28.02.2025</t>
  </si>
  <si>
    <t>CHE0001228</t>
  </si>
  <si>
    <t>CHE0001229</t>
  </si>
  <si>
    <t>CHE0001230</t>
  </si>
  <si>
    <t>王婉娟</t>
  </si>
  <si>
    <t>Ong Wan Kien</t>
  </si>
  <si>
    <t xml:space="preserve">   2025  年 3  月份 - HLB 05500129613</t>
  </si>
  <si>
    <t>01.03.2025</t>
  </si>
  <si>
    <t>CHE 0001118</t>
  </si>
  <si>
    <t>02.03.2025</t>
  </si>
  <si>
    <t>CHE 0001119</t>
  </si>
  <si>
    <t>03.03.2025</t>
  </si>
  <si>
    <t>CHE 0001120</t>
  </si>
  <si>
    <t>CHE 0001121</t>
  </si>
  <si>
    <t>CHE 0001122</t>
  </si>
  <si>
    <t>Apr-Jun-25</t>
  </si>
  <si>
    <t>14.03.2025</t>
  </si>
  <si>
    <t>10.3.2025</t>
  </si>
  <si>
    <t>CHE 0001123</t>
  </si>
  <si>
    <t>CHE 0001124</t>
  </si>
  <si>
    <t>July-Dec-25</t>
  </si>
  <si>
    <t>CHE 0001125</t>
  </si>
  <si>
    <t>18.03.2025</t>
  </si>
  <si>
    <t>CHE 0001126</t>
  </si>
  <si>
    <t>赖宝珍</t>
  </si>
  <si>
    <t>Jan-June-25</t>
  </si>
  <si>
    <t>CHE 0001127</t>
  </si>
  <si>
    <t>蔡健铭</t>
  </si>
  <si>
    <t>CHE 0001128</t>
  </si>
  <si>
    <t>何月琼</t>
  </si>
  <si>
    <t>CHE 0001129</t>
  </si>
  <si>
    <t>蔡祥贤</t>
  </si>
  <si>
    <t>CHE 0001130</t>
  </si>
  <si>
    <t xml:space="preserve">苏素禛 </t>
  </si>
  <si>
    <t>CHE 0001131</t>
  </si>
  <si>
    <t>22.03.2025</t>
  </si>
  <si>
    <t>CHE 0001132</t>
  </si>
  <si>
    <t>黄丽萍</t>
  </si>
  <si>
    <t>CHE 0001133</t>
  </si>
  <si>
    <t>刘永耀</t>
  </si>
  <si>
    <t>29.03.2025</t>
  </si>
  <si>
    <t>CHE 0001134</t>
  </si>
  <si>
    <t>May-Dec-25</t>
  </si>
  <si>
    <t>08.04.2025</t>
  </si>
  <si>
    <t>CHE0001231</t>
  </si>
  <si>
    <t>廖佳韵</t>
  </si>
  <si>
    <t>Nov-24-Apr-25</t>
  </si>
  <si>
    <t>Lian Jia Yin</t>
  </si>
  <si>
    <t>CHE0001232</t>
  </si>
  <si>
    <t>CHE0001233</t>
  </si>
  <si>
    <t>CHE0001234</t>
  </si>
  <si>
    <t>CHE0001235</t>
  </si>
  <si>
    <t>05.03.2025</t>
  </si>
  <si>
    <t>CHE0001236</t>
  </si>
  <si>
    <t>Aug-Oct25</t>
  </si>
  <si>
    <t>07.03.2025</t>
  </si>
  <si>
    <t>CHE0001237</t>
  </si>
  <si>
    <t>09.3.2025</t>
  </si>
  <si>
    <t>CHE0001238</t>
  </si>
  <si>
    <t>09.03.2025</t>
  </si>
  <si>
    <t>CHE0001239</t>
  </si>
  <si>
    <t>CHE0001240</t>
  </si>
  <si>
    <t>叶碧燕</t>
  </si>
  <si>
    <t>Jan-Dec25</t>
  </si>
  <si>
    <t>Yap Pik Yin</t>
  </si>
  <si>
    <t>13.03.2025</t>
  </si>
  <si>
    <t>CHE0001241</t>
  </si>
  <si>
    <t>黄宝芝</t>
  </si>
  <si>
    <t>Shereen Wong Poh Chee</t>
  </si>
  <si>
    <t>CHE0001242</t>
  </si>
  <si>
    <t>黄素彬</t>
  </si>
  <si>
    <t xml:space="preserve">Shereen Wong Poh Chee for Adelynn </t>
  </si>
  <si>
    <t>CHE0001243</t>
  </si>
  <si>
    <t>Apr25-Jan26</t>
  </si>
  <si>
    <t>Wong Lee Ling</t>
  </si>
  <si>
    <t>15.03.2025</t>
  </si>
  <si>
    <t>CHE0001244</t>
  </si>
  <si>
    <t>许俊豪</t>
  </si>
  <si>
    <t>Jan-Apr25</t>
  </si>
  <si>
    <t>Khor Chun Hoe</t>
  </si>
  <si>
    <t>21.03.2025</t>
  </si>
  <si>
    <t>CHE0001245</t>
  </si>
  <si>
    <t>Mar-Dec25</t>
  </si>
  <si>
    <t>26.03.2025</t>
  </si>
  <si>
    <t>CHE0001246</t>
  </si>
  <si>
    <t>萧势镪</t>
  </si>
  <si>
    <t>Apr-Sep25</t>
  </si>
  <si>
    <t>Saw See Keong</t>
  </si>
  <si>
    <t>CHE0001247</t>
  </si>
  <si>
    <t>CHE0001248</t>
  </si>
  <si>
    <t>CHE0001249</t>
  </si>
  <si>
    <t xml:space="preserve">   2025  年 4  月份 - HLB 05500129613</t>
  </si>
  <si>
    <t>** CDM : Cash Deposit Machine</t>
  </si>
  <si>
    <t xml:space="preserve">日期     Date  </t>
  </si>
  <si>
    <t>收据编号 Official Receipt No</t>
  </si>
  <si>
    <t>月费号码</t>
  </si>
  <si>
    <t>捐款人   
姓名    
Name</t>
  </si>
  <si>
    <t>No.of Month</t>
  </si>
  <si>
    <t>月费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</si>
  <si>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</si>
  <si>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</si>
  <si>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</si>
  <si>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</si>
  <si>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</si>
  <si>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</si>
  <si>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</si>
  <si>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</si>
  <si>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</si>
  <si>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</si>
  <si>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</si>
  <si>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</si>
  <si>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现款 Cash </t>
  </si>
  <si>
    <t>支票 Cheque</t>
  </si>
  <si>
    <t>CDM SEQ</t>
  </si>
  <si>
    <t>(CDM) Bank-in Amount</t>
  </si>
  <si>
    <t>(CDM) Bank-in Date</t>
  </si>
  <si>
    <t>RM</t>
  </si>
  <si>
    <t>CHE 0001135</t>
  </si>
  <si>
    <t>X</t>
  </si>
  <si>
    <t>CHE 0001136</t>
  </si>
  <si>
    <t>CHE 0001137</t>
  </si>
  <si>
    <t>CHE 0001138</t>
  </si>
  <si>
    <t>Jul-Dec-25</t>
  </si>
  <si>
    <t>21.04.2025</t>
  </si>
  <si>
    <t>CHE 0001139</t>
  </si>
  <si>
    <t>Apr-Jun'25</t>
  </si>
  <si>
    <t>CHE 0001140</t>
  </si>
  <si>
    <t>Mar-Jun'25</t>
  </si>
  <si>
    <t>CHE 0001141</t>
  </si>
  <si>
    <t>CHE 0001142</t>
  </si>
  <si>
    <t>28.04.2025</t>
  </si>
  <si>
    <t>CHE 0001143</t>
  </si>
  <si>
    <t>CHE 0001144</t>
  </si>
  <si>
    <t>Apr-May'25</t>
  </si>
  <si>
    <t>19.05.2025</t>
  </si>
  <si>
    <t>BANK IN</t>
  </si>
  <si>
    <t>CHE0001250</t>
  </si>
  <si>
    <t>Apr'25</t>
  </si>
  <si>
    <t>CHE0001301</t>
  </si>
  <si>
    <t>Book No.127</t>
  </si>
  <si>
    <t>Lee Wei Wei / Chong Chee Wen</t>
  </si>
  <si>
    <t>CHE0001302</t>
  </si>
  <si>
    <t>Feb - Jul'25</t>
  </si>
  <si>
    <t>Florence Chong / Chong Nyok Moi</t>
  </si>
  <si>
    <t>CHE0001303</t>
  </si>
  <si>
    <t>May, Jun'25</t>
  </si>
  <si>
    <t>CHE0001304</t>
  </si>
  <si>
    <t>Mar, Apr'25</t>
  </si>
  <si>
    <t>CHE0001305</t>
  </si>
  <si>
    <t>Nov, Dec'25</t>
  </si>
  <si>
    <t>CHE0001306</t>
  </si>
  <si>
    <t>CHE0001307</t>
  </si>
  <si>
    <t>Nov'24-May'25</t>
  </si>
  <si>
    <t>Wong Lay Choo</t>
  </si>
  <si>
    <t>CHE0001308</t>
  </si>
  <si>
    <t>Mar_Apr25</t>
  </si>
  <si>
    <t>CHE0001309</t>
  </si>
  <si>
    <t>Jul25_Jun26</t>
  </si>
  <si>
    <t>Pusat Perkahwinan Inovatif</t>
  </si>
  <si>
    <t>CHE0001310</t>
  </si>
  <si>
    <t>CHE0001311</t>
  </si>
  <si>
    <t xml:space="preserve">   2025  年 5  月份 - HLB 05500129613</t>
  </si>
  <si>
    <t>1</t>
  </si>
  <si>
    <t>赞助的月份 
Payment for the month of</t>
  </si>
  <si>
    <t>CHE 0001145</t>
  </si>
  <si>
    <t>May-Jun'25</t>
  </si>
  <si>
    <t>CHE 0001146</t>
  </si>
  <si>
    <t>CHE 0001147</t>
  </si>
  <si>
    <t>May-Aug'25</t>
  </si>
  <si>
    <t>CHE 0001148</t>
  </si>
  <si>
    <t>CHE 0001149</t>
  </si>
  <si>
    <t>Jul'25</t>
  </si>
  <si>
    <t>CHE 0001150</t>
  </si>
  <si>
    <t>CHE 0001151</t>
  </si>
  <si>
    <t>CHE 0001152</t>
  </si>
  <si>
    <t>Jun-Dec'25</t>
  </si>
  <si>
    <t>CHE 0001153</t>
  </si>
  <si>
    <t>CHE 0001154</t>
  </si>
  <si>
    <t>Apr-Jul'25</t>
  </si>
  <si>
    <t>CHE 0001155</t>
  </si>
  <si>
    <t>CHE 0001156</t>
  </si>
  <si>
    <t>CHE 0001157</t>
  </si>
  <si>
    <t>Jun-Aug'25</t>
  </si>
  <si>
    <t>04.06.2025</t>
  </si>
  <si>
    <t>May-Aug25</t>
  </si>
  <si>
    <t>#145</t>
  </si>
  <si>
    <t>#116</t>
  </si>
  <si>
    <t>#117</t>
  </si>
  <si>
    <t>May_Jun25</t>
  </si>
  <si>
    <t>#123</t>
  </si>
  <si>
    <t>#137</t>
  </si>
  <si>
    <t>Apr_Jun25</t>
  </si>
  <si>
    <t>#68</t>
  </si>
  <si>
    <t>#104</t>
  </si>
  <si>
    <t>Lee Poh Choo</t>
  </si>
  <si>
    <t>CHE0001312</t>
  </si>
  <si>
    <t>CHE0001313</t>
  </si>
  <si>
    <t>CHE0001314</t>
  </si>
  <si>
    <t>CHE0001315</t>
  </si>
  <si>
    <t>CHE0001316</t>
  </si>
  <si>
    <t>CHE0001317</t>
  </si>
  <si>
    <t>CHE0001318</t>
  </si>
  <si>
    <t>CHE0001319</t>
  </si>
  <si>
    <t>CHE0001320</t>
  </si>
  <si>
    <t>#172</t>
  </si>
  <si>
    <t>CHE0001321</t>
  </si>
  <si>
    <t>#24</t>
  </si>
  <si>
    <t>CHE0001322</t>
  </si>
  <si>
    <t>#155</t>
  </si>
  <si>
    <t>CHE0001323</t>
  </si>
  <si>
    <t>#175</t>
  </si>
  <si>
    <t>CHE0001324</t>
  </si>
  <si>
    <t>Feb_Jul25</t>
  </si>
  <si>
    <t>#40</t>
  </si>
  <si>
    <t>CHE0001325</t>
  </si>
  <si>
    <t>Lee Lai Kheng</t>
  </si>
  <si>
    <t>#70</t>
  </si>
  <si>
    <t xml:space="preserve">   2025  年 6  月份 - HLB 05500129613</t>
  </si>
  <si>
    <t>CHE 0001158</t>
  </si>
  <si>
    <t>Aug-Sep'25</t>
  </si>
  <si>
    <t>OR Book # 124</t>
  </si>
  <si>
    <t>CHE 0001159</t>
  </si>
  <si>
    <t>CHE 0001160</t>
  </si>
  <si>
    <t>Jul-Dec'25</t>
  </si>
  <si>
    <t>CHE 0001161</t>
  </si>
  <si>
    <t>Aug-Jun'25</t>
  </si>
  <si>
    <t>10.06.2025</t>
  </si>
  <si>
    <t>CHE 0001162</t>
  </si>
  <si>
    <t>CHE 0001163</t>
  </si>
  <si>
    <t>Jul-Aug25</t>
  </si>
  <si>
    <t>CHE 0001164</t>
  </si>
  <si>
    <t>Jul-Dec25</t>
  </si>
  <si>
    <t>CHE 0001165</t>
  </si>
  <si>
    <t>CHE 0001166</t>
  </si>
  <si>
    <t>Jul25-Jun26</t>
  </si>
  <si>
    <t>CHE 0001167</t>
  </si>
  <si>
    <t>23.06.2025</t>
  </si>
  <si>
    <t>CHE 0001168</t>
  </si>
  <si>
    <t>CHE 0001169</t>
  </si>
  <si>
    <t>Jun-Aug25</t>
  </si>
  <si>
    <t>CHE 0001170</t>
  </si>
  <si>
    <t>May-Dec25</t>
  </si>
  <si>
    <t>CHE 0001171</t>
  </si>
  <si>
    <t>01.07.2025</t>
  </si>
  <si>
    <t>CHE 0001172</t>
  </si>
  <si>
    <t>Jul-Sep25</t>
  </si>
  <si>
    <t>07.07.2025</t>
  </si>
  <si>
    <t>#80</t>
  </si>
  <si>
    <t>#224</t>
  </si>
  <si>
    <t>#52</t>
  </si>
  <si>
    <t>Jul_Aug25</t>
  </si>
  <si>
    <t>#162</t>
  </si>
  <si>
    <t>#102</t>
  </si>
  <si>
    <t>TouchNGo</t>
  </si>
  <si>
    <t>Lai Mei Chin</t>
  </si>
  <si>
    <t>Jan_Mar25</t>
  </si>
  <si>
    <t>Ms Yap Hui Yuen</t>
  </si>
  <si>
    <t>#48</t>
  </si>
  <si>
    <t>Jan_Dec25</t>
  </si>
  <si>
    <t>Chan Chun Tat</t>
  </si>
  <si>
    <t>#50</t>
  </si>
  <si>
    <t>Feb_Mar26</t>
  </si>
  <si>
    <t>Hoo Mei Sing (Michelle)</t>
  </si>
  <si>
    <t>May_Aug25</t>
  </si>
  <si>
    <t>Wai Soo Gei</t>
  </si>
  <si>
    <t>#64</t>
  </si>
  <si>
    <t>CHE0001326</t>
  </si>
  <si>
    <t>CHE0001327</t>
  </si>
  <si>
    <t>CHE0001328</t>
  </si>
  <si>
    <t>CHE0001329</t>
  </si>
  <si>
    <t>CHE0001330</t>
  </si>
  <si>
    <t>CHE0001331</t>
  </si>
  <si>
    <t>CHE0001332</t>
  </si>
  <si>
    <t>CHE0001333</t>
  </si>
  <si>
    <t>CHE0001334</t>
  </si>
  <si>
    <t>CHE0001335</t>
  </si>
  <si>
    <t>CHE0001336</t>
  </si>
  <si>
    <t>CHE0001337</t>
  </si>
  <si>
    <t xml:space="preserve">   2025  年 7  月份 - HLB 05500129613</t>
  </si>
  <si>
    <t>CHE 0001173</t>
  </si>
  <si>
    <t>cancelled</t>
  </si>
  <si>
    <t>CHE 0001174</t>
  </si>
  <si>
    <t>CHE 0001175</t>
  </si>
  <si>
    <t>CHE 0001176</t>
  </si>
  <si>
    <t>CHE 0001177</t>
  </si>
  <si>
    <t>CHE 0001178</t>
  </si>
  <si>
    <t>May-Jun25</t>
  </si>
  <si>
    <t>CHE 0001179</t>
  </si>
  <si>
    <t>Apr-June'25</t>
  </si>
  <si>
    <t>CHE 0001180</t>
  </si>
  <si>
    <t>CHE 0001181</t>
  </si>
  <si>
    <t>CHE 0001182</t>
  </si>
  <si>
    <t>July-Sept'25</t>
  </si>
  <si>
    <t>CHE 0001183</t>
  </si>
  <si>
    <t>July-Aug'25</t>
  </si>
  <si>
    <t>CHE 0001184</t>
  </si>
  <si>
    <t>June'25</t>
  </si>
  <si>
    <t>CHE 0001185</t>
  </si>
  <si>
    <t>CHE 0001186</t>
  </si>
  <si>
    <t>CHE 0001187</t>
  </si>
  <si>
    <t>Jul_Aug'25</t>
  </si>
  <si>
    <t>28.07.2025</t>
  </si>
  <si>
    <t>CHE 0001188</t>
  </si>
  <si>
    <t>CHE 0001189</t>
  </si>
  <si>
    <t>12.08.2025</t>
  </si>
  <si>
    <t>CHE0001338</t>
  </si>
  <si>
    <t>CHE0001339</t>
  </si>
  <si>
    <t>CHE0001340</t>
  </si>
  <si>
    <t>Jul_Dec25</t>
  </si>
  <si>
    <t>Yap Poh Chan/Tai Siew Fong</t>
  </si>
  <si>
    <t>#202</t>
  </si>
  <si>
    <t>CHE0001341</t>
  </si>
  <si>
    <t>CHE0001342</t>
  </si>
  <si>
    <t>CHE0001343</t>
  </si>
  <si>
    <t>CHE0001344</t>
  </si>
  <si>
    <t>CHE0001345</t>
  </si>
  <si>
    <t>CHE0001346</t>
  </si>
  <si>
    <t>CHE0001347</t>
  </si>
  <si>
    <t>CHE0001348</t>
  </si>
  <si>
    <t>Sep-Dec25</t>
  </si>
  <si>
    <t>Wai Soo Gei / Lim Thiam Chai</t>
  </si>
  <si>
    <t xml:space="preserve">   2025  年 8  月份 - HLB 05500129613</t>
  </si>
  <si>
    <t>CHE 0001190</t>
  </si>
  <si>
    <t>CHE 0001191</t>
  </si>
  <si>
    <t>Jan-Feb25</t>
  </si>
  <si>
    <t>CHE 0001192</t>
  </si>
  <si>
    <t>CHE 0001193</t>
  </si>
  <si>
    <t>Sep-Oct25</t>
  </si>
  <si>
    <t>CHE 0001194</t>
  </si>
  <si>
    <t>CHE 0001195</t>
  </si>
  <si>
    <t>17.09.2025</t>
  </si>
  <si>
    <t>CHE0001349</t>
  </si>
  <si>
    <t>CHE0001350</t>
  </si>
  <si>
    <t>Lee Wei Wei/Cheong Chee Wen</t>
  </si>
  <si>
    <t>CHE0001351</t>
  </si>
  <si>
    <t>CANCELLED</t>
  </si>
  <si>
    <t>Book No.128</t>
  </si>
  <si>
    <t>Refer to OR No.CHE0001271 (member no.136)</t>
  </si>
  <si>
    <t>CHE0001352</t>
  </si>
  <si>
    <t>Aug25-Jan26</t>
  </si>
  <si>
    <t>#173</t>
  </si>
  <si>
    <t>CHE0001353</t>
  </si>
  <si>
    <t>Yap Hui Yuen</t>
  </si>
  <si>
    <t>CHE0001354</t>
  </si>
  <si>
    <t>CHE0001355</t>
  </si>
  <si>
    <t>CHE0001356</t>
  </si>
  <si>
    <t>CHE0001357</t>
  </si>
  <si>
    <t>CHE0001358</t>
  </si>
  <si>
    <t>CHE0001359</t>
  </si>
  <si>
    <t>Lian Mei Li</t>
  </si>
  <si>
    <t>CHE0001360</t>
  </si>
  <si>
    <t>CHE0001361</t>
  </si>
  <si>
    <t>Jul_Sep25</t>
  </si>
  <si>
    <t xml:space="preserve">   2025  年 9  月份 - HLB 05500129613</t>
  </si>
  <si>
    <t>CHE 0001196</t>
  </si>
  <si>
    <t>CHE 0001197</t>
  </si>
  <si>
    <t>CHE 0001198</t>
  </si>
  <si>
    <t>CHE 0001199</t>
  </si>
  <si>
    <t>CHE 0001200</t>
  </si>
  <si>
    <t>17.09.2055</t>
  </si>
  <si>
    <t>CHE 0001251</t>
  </si>
  <si>
    <t>Oct_Nov25</t>
  </si>
  <si>
    <t>OR Book # 126</t>
  </si>
  <si>
    <t>CHE 0001252</t>
  </si>
  <si>
    <t>Sep_Dec25</t>
  </si>
  <si>
    <t>CHE 0001253</t>
  </si>
  <si>
    <t>CHE 0001254</t>
  </si>
  <si>
    <t>Sep_Oct25</t>
  </si>
  <si>
    <t>CHE 0001255</t>
  </si>
  <si>
    <t>CHE 0001256</t>
  </si>
  <si>
    <t>CHE 0001257</t>
  </si>
  <si>
    <t>Oct_Dec25</t>
  </si>
  <si>
    <t>CHE 0001258</t>
  </si>
  <si>
    <t>Jul_Oct25</t>
  </si>
  <si>
    <t>CHE 0001259</t>
  </si>
  <si>
    <t>CHE 0001260</t>
  </si>
  <si>
    <t>29.09.2025</t>
  </si>
  <si>
    <t>CHE 0001261</t>
  </si>
  <si>
    <t>Jan_Apr25</t>
  </si>
  <si>
    <t>08.10.2025</t>
  </si>
  <si>
    <t>CHE0001362</t>
  </si>
  <si>
    <t>CHE0001363</t>
  </si>
  <si>
    <t>CHE0001364</t>
  </si>
  <si>
    <t>CHE0001365</t>
  </si>
  <si>
    <t>CHE0001366</t>
  </si>
  <si>
    <t>CHE0001367</t>
  </si>
  <si>
    <t>CHE0001368</t>
  </si>
  <si>
    <t>CHE0001369</t>
  </si>
  <si>
    <t>CHE0001370</t>
  </si>
  <si>
    <t>Teow Siew Ling</t>
  </si>
  <si>
    <t>#114</t>
  </si>
  <si>
    <t>CHE0001371</t>
  </si>
  <si>
    <t>CHE0001372</t>
  </si>
  <si>
    <t xml:space="preserve">   2025  年 10  月份 - HLB 05500129613</t>
  </si>
  <si>
    <t>CHE 0001262</t>
  </si>
  <si>
    <t>CHE 0001263</t>
  </si>
  <si>
    <t>CHE 0001264</t>
  </si>
  <si>
    <t>CHE 0001265</t>
  </si>
  <si>
    <t>CHE 0001266</t>
  </si>
  <si>
    <t>13.10.2025</t>
  </si>
  <si>
    <t>CHE 0001267</t>
  </si>
  <si>
    <t>22.10.2025</t>
  </si>
  <si>
    <t>CHE 0001268</t>
  </si>
  <si>
    <t>Jan_Jun26</t>
  </si>
  <si>
    <t>CHE 0001269</t>
  </si>
  <si>
    <t>Apr_Dec25</t>
  </si>
  <si>
    <t>04.11.2025</t>
  </si>
  <si>
    <t>Jun_Oct25</t>
  </si>
  <si>
    <t>Tai Kim Poh</t>
  </si>
  <si>
    <t>许艾婷</t>
  </si>
  <si>
    <t>Jan_Jun25</t>
  </si>
  <si>
    <t>Hooy AI Teng / Hong Jian Tyre</t>
  </si>
  <si>
    <t>林采諺</t>
  </si>
  <si>
    <t>Lam Choi Yin</t>
  </si>
  <si>
    <t>李䘤帷</t>
  </si>
  <si>
    <t>Aug25_Jan26</t>
  </si>
  <si>
    <t xml:space="preserve">   2025  年 11  月份 - HLB 05500129613</t>
  </si>
  <si>
    <t>CHE 0001270</t>
  </si>
  <si>
    <t>CHE 0001271</t>
  </si>
  <si>
    <t>Refere to OR#0001351</t>
  </si>
  <si>
    <t>CHE 0001272</t>
  </si>
  <si>
    <t>CHE 0001273</t>
  </si>
  <si>
    <t>Nov_Dec25</t>
  </si>
  <si>
    <t>CHE 0001274</t>
  </si>
  <si>
    <t>CHE 0001275</t>
  </si>
  <si>
    <t>CHE 0001276</t>
  </si>
  <si>
    <t>17.11.2025</t>
  </si>
  <si>
    <t>CHE 0001277</t>
  </si>
  <si>
    <t>CHE 0001278</t>
  </si>
  <si>
    <t>26.11.2025</t>
  </si>
  <si>
    <t>May_Dec25</t>
  </si>
  <si>
    <t>CHE 0001279</t>
  </si>
  <si>
    <t>CHE 0001280</t>
  </si>
  <si>
    <t>CHE 0001281</t>
  </si>
  <si>
    <t>Jan_Dec26</t>
  </si>
  <si>
    <t>CHE 0001282</t>
  </si>
  <si>
    <t>15.12.2025</t>
  </si>
  <si>
    <t>CHE 0001283</t>
  </si>
  <si>
    <t>CHE 0001284</t>
  </si>
  <si>
    <t>Sep_Nov25</t>
  </si>
  <si>
    <t>CHE 0001285</t>
  </si>
  <si>
    <t>CHE 0001286</t>
  </si>
  <si>
    <t>CHE 0001287</t>
  </si>
  <si>
    <t>Jan_Mar26</t>
  </si>
  <si>
    <t>CHE 0001288</t>
  </si>
  <si>
    <t>29.12.2025</t>
  </si>
  <si>
    <t>CHE 0001289</t>
  </si>
  <si>
    <t>CHE 0001290</t>
  </si>
  <si>
    <t>CHE 0001291</t>
  </si>
  <si>
    <t>Jan_Feb26</t>
  </si>
  <si>
    <t>06.01.2026</t>
  </si>
  <si>
    <t>Wong Lee Kuan</t>
  </si>
  <si>
    <t>Dec25_Feb26</t>
  </si>
  <si>
    <t>May_Oct25</t>
  </si>
  <si>
    <t>Lim Lai Peng / Chew Giat Siam</t>
  </si>
  <si>
    <t xml:space="preserve">   2026  年 1  月份 - HLB 05500129613</t>
  </si>
  <si>
    <t>CHE 0001292</t>
  </si>
  <si>
    <t>CHE 0001293</t>
  </si>
  <si>
    <t>CHE 0001294</t>
  </si>
  <si>
    <t>CHE 0001295</t>
  </si>
  <si>
    <t>CHE 0001296</t>
  </si>
  <si>
    <t>CHE 0001297</t>
  </si>
  <si>
    <t>CHE 0001298</t>
  </si>
  <si>
    <t>CHE 0001299</t>
  </si>
  <si>
    <t>CHE 0001300</t>
  </si>
  <si>
    <t>CHE 0001401</t>
  </si>
  <si>
    <t>OR Book # 129</t>
  </si>
  <si>
    <t>CHE 0001402</t>
  </si>
  <si>
    <t>CHE 0001403</t>
  </si>
  <si>
    <t>CHE 0001404</t>
  </si>
  <si>
    <t>CHE 0001405</t>
  </si>
  <si>
    <t>CHE 0001406</t>
  </si>
  <si>
    <t>CHE 0001407</t>
  </si>
  <si>
    <t>CHE 0001408</t>
  </si>
  <si>
    <t>Jan_Apr26</t>
  </si>
  <si>
    <t>CHE 0001409</t>
  </si>
  <si>
    <t>CHE 0001410</t>
  </si>
  <si>
    <t>CHE 0001411</t>
  </si>
  <si>
    <t>CHE 0001412</t>
  </si>
  <si>
    <t>14.01.2026</t>
  </si>
  <si>
    <t>CHE 0001413</t>
  </si>
  <si>
    <t>CHE 0001414</t>
  </si>
  <si>
    <t>CHE 0001415</t>
  </si>
  <si>
    <t>CHE 0001416</t>
  </si>
  <si>
    <t>CHE 0001417</t>
  </si>
  <si>
    <t>26.01.2026</t>
  </si>
  <si>
    <t>CHE 0001418</t>
  </si>
  <si>
    <t>CHE 0001419</t>
  </si>
  <si>
    <t>CHE 0001420</t>
  </si>
  <si>
    <t>CHE 0001421</t>
  </si>
  <si>
    <t>CHE 0001422</t>
  </si>
  <si>
    <t>CHE 0001423</t>
  </si>
  <si>
    <t>CHE 0001424</t>
  </si>
  <si>
    <t>CHE 0001425</t>
  </si>
  <si>
    <t xml:space="preserve">  </t>
  </si>
  <si>
    <t>09.02.2026</t>
  </si>
  <si>
    <t>Jul_Aug26</t>
  </si>
  <si>
    <t>Shereen Wong Poh Chee (Adelynn Wong)</t>
  </si>
  <si>
    <t>Koh Goon Tui</t>
  </si>
  <si>
    <t>Nov25_Dec26</t>
  </si>
  <si>
    <t>Wong Lee Peng</t>
  </si>
  <si>
    <t>Low Yong Yao</t>
  </si>
  <si>
    <t>Jul26_Jun27</t>
  </si>
  <si>
    <t>Ee Hoe Hock (Pusat Perkahwinan Inovatif)</t>
  </si>
  <si>
    <t>Lee Poh Choo / Wee Mun Kuan</t>
  </si>
  <si>
    <t xml:space="preserve">   2026  年 2  月份 - HLB 05500129613</t>
  </si>
  <si>
    <t>CHE 0001426</t>
  </si>
  <si>
    <t>CHE 0001427</t>
  </si>
  <si>
    <t>CHE 0001428</t>
  </si>
  <si>
    <t>CHE 0001429</t>
  </si>
  <si>
    <t>Mar_Apr26</t>
  </si>
  <si>
    <t>CHE 0001430</t>
  </si>
  <si>
    <t>CHE 0001431</t>
  </si>
  <si>
    <t>CHE 0001432</t>
  </si>
  <si>
    <t>CHE 0001433</t>
  </si>
  <si>
    <t>CHE 0001434</t>
  </si>
  <si>
    <t>CHE 0001435</t>
  </si>
  <si>
    <t>Jan_May26</t>
  </si>
  <si>
    <t>CHE 0001436</t>
  </si>
  <si>
    <t>CHE 0001437</t>
  </si>
  <si>
    <t>CHE 0001438</t>
  </si>
  <si>
    <t>23.02.2026</t>
  </si>
  <si>
    <t>CHE 0001439</t>
  </si>
  <si>
    <t>CHE 0001440</t>
  </si>
  <si>
    <t>CHE 0001441</t>
  </si>
  <si>
    <t>Nov25_Jan26</t>
  </si>
  <si>
    <t>CHE 0001442</t>
  </si>
  <si>
    <t>04.03.2026</t>
  </si>
  <si>
    <t>Cheah Wai Ping / Tong Kai Chon</t>
  </si>
  <si>
    <t>Apr_Jun26</t>
  </si>
  <si>
    <t>Lam Choin Yin</t>
  </si>
  <si>
    <t>Chan Sau Cheen</t>
  </si>
  <si>
    <t>Hooy Ai Teng</t>
  </si>
  <si>
    <t xml:space="preserve">   2026  年 3  月份 - HLB 05500129613</t>
  </si>
  <si>
    <t>CHE 0001443</t>
  </si>
  <si>
    <t>Mar_Jun26</t>
  </si>
  <si>
    <t>CHE 0001444</t>
  </si>
  <si>
    <t>CHE 0001445</t>
  </si>
  <si>
    <t>CHE 0001446</t>
  </si>
  <si>
    <t>Apr_May26</t>
  </si>
  <si>
    <t>CHE 0001447</t>
  </si>
  <si>
    <t>CHE 0001448</t>
  </si>
  <si>
    <t>Jul_Dec26</t>
  </si>
  <si>
    <t>CHE 0001449</t>
  </si>
  <si>
    <t>CHE 0001450</t>
  </si>
  <si>
    <t>16.03.2026</t>
  </si>
  <si>
    <t>CHE 0001451</t>
  </si>
  <si>
    <t>OR Book # 130</t>
  </si>
  <si>
    <t>CHE 0001452</t>
  </si>
  <si>
    <t>CHE 0001453</t>
  </si>
  <si>
    <t>26.03.2026</t>
  </si>
  <si>
    <t>CHE 0001454</t>
  </si>
  <si>
    <t>May_Aug26</t>
  </si>
  <si>
    <t>CHE 0001455</t>
  </si>
  <si>
    <t>CHE 0001456</t>
  </si>
  <si>
    <t>Feb_Apr26</t>
  </si>
  <si>
    <t>CHE 0001457</t>
  </si>
  <si>
    <t>01.04.2026</t>
  </si>
  <si>
    <t>CHE 0001458</t>
  </si>
  <si>
    <t>08.04.2026</t>
  </si>
  <si>
    <t>CHE 0001459</t>
  </si>
  <si>
    <t>CHE 0001460</t>
  </si>
  <si>
    <t>Chong Teng Yek / Chong Sue Mei</t>
  </si>
  <si>
    <t>Lee Wei Wei/Chong Chee Wen</t>
  </si>
  <si>
    <t>May_Jun26</t>
  </si>
  <si>
    <t>Eaw Hooi Cheng</t>
  </si>
  <si>
    <t>Apr_Dec26</t>
  </si>
  <si>
    <t>Raymond Konf Eng Seng</t>
  </si>
  <si>
    <t>Boon Chia Cheng</t>
  </si>
  <si>
    <t xml:space="preserve">   2026  年 4  月份 - HLB 05500129613</t>
  </si>
  <si>
    <t>CHE 0001461</t>
  </si>
  <si>
    <t>CHE 0001462</t>
  </si>
  <si>
    <t>CHE 0001463</t>
  </si>
  <si>
    <t>CHE 0001464</t>
  </si>
  <si>
    <t>CHE 0001465</t>
  </si>
  <si>
    <t>CHE 0001466</t>
  </si>
  <si>
    <t>Jun_Sep26</t>
  </si>
  <si>
    <t>CHE 0001467</t>
  </si>
  <si>
    <t>CHE 0001468</t>
  </si>
  <si>
    <t>CHE 0001469</t>
  </si>
  <si>
    <t>CHE 0001470</t>
  </si>
  <si>
    <t>CHE 0001471</t>
  </si>
  <si>
    <t>CHE 0001472</t>
  </si>
  <si>
    <t>CHE 0001473</t>
  </si>
  <si>
    <t>13.04.2026</t>
  </si>
  <si>
    <t>CHE 0001474</t>
  </si>
  <si>
    <t>Used for No.25 (Bank Transfer)</t>
  </si>
  <si>
    <t>CHE 0001475</t>
  </si>
  <si>
    <t>CHE 0001476</t>
  </si>
  <si>
    <t>CHE 0001477</t>
  </si>
  <si>
    <t>CHE 0001478</t>
  </si>
  <si>
    <t>CHE 0001479</t>
  </si>
  <si>
    <t>CHE 0001480</t>
  </si>
  <si>
    <t>20.04.2026</t>
  </si>
  <si>
    <t>LH Car Enterprise (Lim Kian Hin)</t>
  </si>
  <si>
    <t>CHE0001474</t>
  </si>
  <si>
    <t>Feb_Dec26</t>
  </si>
  <si>
    <t xml:space="preserve">   2026  年 5  月份 - HLB 05500129613</t>
  </si>
  <si>
    <t>CHE 0001481</t>
  </si>
  <si>
    <t>Sep_Dec26</t>
  </si>
  <si>
    <t>CHE 0001482</t>
  </si>
  <si>
    <t>CHE 0001483</t>
  </si>
  <si>
    <t>CHE 0001484</t>
  </si>
  <si>
    <t>CHE 0001485</t>
  </si>
  <si>
    <t>CHE 0001486</t>
  </si>
  <si>
    <t>CHE 0001487</t>
  </si>
  <si>
    <t>04.05.2026</t>
  </si>
  <si>
    <t>CHE 0001488</t>
  </si>
  <si>
    <t>CHE 0001489</t>
  </si>
  <si>
    <t>CHE 0001490</t>
  </si>
  <si>
    <t>CHE 0001491</t>
  </si>
  <si>
    <t>CHE 0001492</t>
  </si>
  <si>
    <t>CHE 0001493</t>
  </si>
  <si>
    <t>CHE 0001494</t>
  </si>
  <si>
    <t>CHE 0001495</t>
  </si>
  <si>
    <t>CHE 0001496</t>
  </si>
  <si>
    <t>CHE 0001497</t>
  </si>
  <si>
    <t>CHE 0001498</t>
  </si>
  <si>
    <t>CHE 0001499</t>
  </si>
  <si>
    <t>CHE 0001500</t>
  </si>
  <si>
    <t>CHE 0001551</t>
  </si>
  <si>
    <t>OR Book # 132</t>
  </si>
  <si>
    <t xml:space="preserve">   2026  年 6  月份 - HLB 05500129613</t>
  </si>
  <si>
    <t xml:space="preserve">   2026  年 7  月份 - HLB 05500129613</t>
  </si>
  <si>
    <t xml:space="preserve">   2026  年 8  月份 - HLB 05500129613</t>
  </si>
  <si>
    <t>No</t>
  </si>
  <si>
    <t>编号</t>
  </si>
  <si>
    <t>姓名</t>
  </si>
  <si>
    <t>英</t>
  </si>
  <si>
    <t>会员状况</t>
  </si>
  <si>
    <t>身份证号码</t>
  </si>
  <si>
    <t>年龄</t>
  </si>
  <si>
    <t>实际年龄</t>
  </si>
  <si>
    <t>性别</t>
  </si>
  <si>
    <t>出生日期</t>
  </si>
  <si>
    <t>婚姻状况</t>
  </si>
  <si>
    <t>配偶姓名</t>
  </si>
  <si>
    <t>联络号码</t>
  </si>
  <si>
    <t>Anna Justina</t>
  </si>
  <si>
    <t>活跃</t>
  </si>
  <si>
    <t>680315-13-5762</t>
  </si>
  <si>
    <t>010-4391956</t>
  </si>
  <si>
    <t>Cho Yuen Kim</t>
  </si>
  <si>
    <t>630726-10-6274</t>
  </si>
  <si>
    <t>019-7577527</t>
  </si>
  <si>
    <t>STW</t>
  </si>
  <si>
    <t>林姵辰</t>
  </si>
  <si>
    <t>Lim Pei Chenn</t>
  </si>
  <si>
    <t>760810-07-5330</t>
  </si>
  <si>
    <t>017-3685872</t>
  </si>
  <si>
    <t>Chong Teng Yek</t>
  </si>
  <si>
    <t>930503-14-5246</t>
  </si>
  <si>
    <t>016-204 7676</t>
  </si>
  <si>
    <t>Venus 张释文 (+60-18-370 2307)</t>
  </si>
  <si>
    <t>吴添玉</t>
  </si>
  <si>
    <t>Tinna Ng Tien Nyuk</t>
  </si>
  <si>
    <t>770309-12-5380</t>
  </si>
  <si>
    <t>019-3313361</t>
  </si>
  <si>
    <t>Pung Yuh Fen</t>
  </si>
  <si>
    <t>760316-04-5160</t>
  </si>
  <si>
    <t>017-6305819</t>
  </si>
  <si>
    <t>黄欣仪</t>
  </si>
  <si>
    <t>Ng Sin Yee</t>
  </si>
  <si>
    <t>800914-01-6232</t>
  </si>
  <si>
    <t>019-2069111</t>
  </si>
  <si>
    <t>810506-05-5098</t>
  </si>
  <si>
    <t>012-6104263</t>
  </si>
  <si>
    <t>930620-01-5766</t>
  </si>
  <si>
    <t>016-7987962</t>
  </si>
  <si>
    <t>740820-14-5162</t>
  </si>
  <si>
    <t>012-3596433</t>
  </si>
  <si>
    <t>江杰骏</t>
  </si>
  <si>
    <t>David Kong Kar Keong</t>
  </si>
  <si>
    <t>77201-14-5827</t>
  </si>
  <si>
    <t>012-3671866</t>
  </si>
  <si>
    <t>Stop from Jan-2026</t>
  </si>
  <si>
    <t>Liaw Nyuk Fah</t>
  </si>
  <si>
    <t>540911-01-5586</t>
  </si>
  <si>
    <t>012-3176677</t>
  </si>
  <si>
    <t>黄淑晴</t>
  </si>
  <si>
    <t>Ng Siok Khin</t>
  </si>
  <si>
    <t>741123-01-6052</t>
  </si>
  <si>
    <t>016-2763189</t>
  </si>
  <si>
    <t>罗彩瑛</t>
  </si>
  <si>
    <t>Loo Choi Yun</t>
  </si>
  <si>
    <t>710827-10-5852</t>
  </si>
  <si>
    <t>012-3587477</t>
  </si>
  <si>
    <t>(Old 罗彩云)</t>
  </si>
  <si>
    <t>761125-14-5798</t>
  </si>
  <si>
    <t>012-3019228</t>
  </si>
  <si>
    <t>761201-10-5295</t>
  </si>
  <si>
    <t>016-3361006</t>
  </si>
  <si>
    <t>陈莉莉</t>
  </si>
  <si>
    <t>Joanne Tan</t>
  </si>
  <si>
    <t>720626-08-5778</t>
  </si>
  <si>
    <t>013-5232233</t>
  </si>
  <si>
    <t>771019-05-6000</t>
  </si>
  <si>
    <t>016-3100277</t>
  </si>
  <si>
    <t>吴丽娟</t>
  </si>
  <si>
    <t>Goh Lea Kian</t>
  </si>
  <si>
    <t>630520-05-5002</t>
  </si>
  <si>
    <t>012-9066764</t>
  </si>
  <si>
    <t>Peong Wai Lin</t>
  </si>
  <si>
    <t>760626-04-5182</t>
  </si>
  <si>
    <t>016-3915512</t>
  </si>
  <si>
    <t>王家宝</t>
  </si>
  <si>
    <t>Wong Kai Poh</t>
  </si>
  <si>
    <t>770423-06-5676</t>
  </si>
  <si>
    <t>012-2088435</t>
  </si>
  <si>
    <t>Chin Suk Guin</t>
  </si>
  <si>
    <t>730119-08-5940</t>
  </si>
  <si>
    <t>012-2689772</t>
  </si>
  <si>
    <t>何梅歆</t>
  </si>
  <si>
    <t>670202-05-5118</t>
  </si>
  <si>
    <t>012-6289890</t>
  </si>
  <si>
    <t>曾宪康</t>
  </si>
  <si>
    <t>Chen Sen Kong</t>
  </si>
  <si>
    <t>811108-14-5025</t>
  </si>
  <si>
    <t>016-3222016</t>
  </si>
  <si>
    <t>李俐赪</t>
  </si>
  <si>
    <t>Lee Li Chin</t>
  </si>
  <si>
    <t>780517-10-5746</t>
  </si>
  <si>
    <t>017-5177259</t>
  </si>
  <si>
    <t>Lim Teck Sing</t>
  </si>
  <si>
    <t>500618-10-5877</t>
  </si>
  <si>
    <t>016-9121393</t>
  </si>
  <si>
    <t>林丽燕</t>
  </si>
  <si>
    <t>Lim Lee Yann</t>
  </si>
  <si>
    <t>760205-05-5200</t>
  </si>
  <si>
    <t>012-2480513</t>
  </si>
  <si>
    <t>叶鏸郧</t>
  </si>
  <si>
    <t>760925-14-5554</t>
  </si>
  <si>
    <t>012-2067881</t>
  </si>
  <si>
    <t>陈俊达</t>
  </si>
  <si>
    <t>801020-14-5419</t>
  </si>
  <si>
    <t>012-2186860</t>
  </si>
  <si>
    <t>Tan Poh Yong (Amy)</t>
  </si>
  <si>
    <t>610312-01-5374</t>
  </si>
  <si>
    <t>011-65778667</t>
  </si>
  <si>
    <t>update 10.06.2025</t>
  </si>
  <si>
    <t>781122-08-5538</t>
  </si>
  <si>
    <t>019-2428947</t>
  </si>
  <si>
    <t>770604-06-5632</t>
  </si>
  <si>
    <t>012-2885758</t>
  </si>
  <si>
    <t>Derek Chiam</t>
  </si>
  <si>
    <t>730610-14-5237</t>
  </si>
  <si>
    <t>019-2669728</t>
  </si>
  <si>
    <t>Stop from Apr-2021</t>
  </si>
  <si>
    <t>Adelynn Wong</t>
  </si>
  <si>
    <t>890421-14-6292</t>
  </si>
  <si>
    <t>012-4521013</t>
  </si>
  <si>
    <t>(新名字) 黄素萍 ?</t>
  </si>
  <si>
    <t>Yap Sook Fong</t>
  </si>
  <si>
    <t>641204-10-7468</t>
  </si>
  <si>
    <t>012-6761259</t>
  </si>
  <si>
    <t>潘祤洁</t>
  </si>
  <si>
    <t>Pan Jeat Ing</t>
  </si>
  <si>
    <t>880926-01-5862</t>
  </si>
  <si>
    <t>林建兴</t>
  </si>
  <si>
    <t>start from Apr-2026</t>
  </si>
  <si>
    <t>670528-08-5050</t>
  </si>
  <si>
    <t>016-6161599</t>
  </si>
  <si>
    <t>张桂玲</t>
  </si>
  <si>
    <t>林光辉</t>
  </si>
  <si>
    <t>Roger</t>
  </si>
  <si>
    <t>012-2834567</t>
  </si>
  <si>
    <t>刘铧亿</t>
  </si>
  <si>
    <t>Jet Sim Kuan Seng</t>
  </si>
  <si>
    <t>720113-10-5235</t>
  </si>
  <si>
    <t>016-2126144</t>
  </si>
  <si>
    <t>钟錥汉</t>
  </si>
  <si>
    <t>Loo Ting Wai</t>
  </si>
  <si>
    <t>750206-14-5735</t>
  </si>
  <si>
    <t>012-2366697</t>
  </si>
  <si>
    <t>文嘉诚</t>
  </si>
  <si>
    <t>640425-08-5050</t>
  </si>
  <si>
    <t>019-6607096</t>
  </si>
  <si>
    <t>何玉凤</t>
  </si>
  <si>
    <t>Foong Lai Chin</t>
  </si>
  <si>
    <t>640626-08-5014</t>
  </si>
  <si>
    <t>016-6683693</t>
  </si>
  <si>
    <t>欧慧菁</t>
  </si>
  <si>
    <t>Sheren Ho Yik Keng</t>
  </si>
  <si>
    <t>730720-14-5246</t>
  </si>
  <si>
    <t>016-2192723</t>
  </si>
  <si>
    <t>陈映如</t>
  </si>
  <si>
    <t>Lee Fo Beng</t>
  </si>
  <si>
    <t>540415-02-5339</t>
  </si>
  <si>
    <t>019-2299983</t>
  </si>
  <si>
    <t>陈汶娟</t>
  </si>
  <si>
    <t>start from Jan-2026</t>
  </si>
  <si>
    <t>780407-14-5261</t>
  </si>
  <si>
    <t>016-3906394</t>
  </si>
  <si>
    <t>Wong Hsiao Yen</t>
  </si>
  <si>
    <t>670424-01-5744</t>
  </si>
  <si>
    <t>012-4381684</t>
  </si>
  <si>
    <t>Stop from Jul-2022</t>
  </si>
  <si>
    <t>江永成</t>
  </si>
  <si>
    <t>Raymond Kong Eng Seng</t>
  </si>
  <si>
    <t>980125-14-5665</t>
  </si>
  <si>
    <t>016-2825665</t>
  </si>
  <si>
    <t>710417-06-5077</t>
  </si>
  <si>
    <t>016-2381655</t>
  </si>
  <si>
    <t>770422-05-5310</t>
  </si>
  <si>
    <t>女</t>
  </si>
  <si>
    <t>已婚</t>
  </si>
  <si>
    <t>Wong Ban Seng</t>
  </si>
  <si>
    <t>012-3630980</t>
  </si>
  <si>
    <t>(WA msg rec'd 08.Sep.25)</t>
  </si>
  <si>
    <t>Chan Soo Ring</t>
  </si>
  <si>
    <t>590701-10-6354</t>
  </si>
  <si>
    <t>李卓倫</t>
  </si>
  <si>
    <t>012-3192248</t>
  </si>
  <si>
    <t xml:space="preserve">Stop from Jan-26 </t>
  </si>
  <si>
    <t>(WA msg rec'd 27.Nov.2025)</t>
  </si>
  <si>
    <t>卓凤明</t>
  </si>
  <si>
    <t>Chok Fong Ming</t>
  </si>
  <si>
    <t>790709-01-5402</t>
  </si>
  <si>
    <t>潘</t>
  </si>
  <si>
    <t>012-3802436</t>
  </si>
  <si>
    <t>Stop from Jan-26 (WA msg rec'd 03.Apr.2026)</t>
  </si>
  <si>
    <t>(WA msg rec'd 03.Apr.2026)</t>
  </si>
  <si>
    <t>Lee Choy Fong</t>
  </si>
  <si>
    <t>640327-10-7412</t>
  </si>
  <si>
    <t>陈昭源</t>
  </si>
  <si>
    <t>012-2187668</t>
  </si>
  <si>
    <t>stop from Jan-2023</t>
  </si>
  <si>
    <t>(No payment for 2025)</t>
  </si>
  <si>
    <t>Sam Chai Seong Hian</t>
  </si>
  <si>
    <t>700819-08-6517</t>
  </si>
  <si>
    <t>男</t>
  </si>
  <si>
    <t>Sheren Ho</t>
  </si>
  <si>
    <t>019-6192818</t>
  </si>
  <si>
    <t>016-2192723 (old no)…changed 12/4/26</t>
  </si>
  <si>
    <t>660413-10-7118</t>
  </si>
  <si>
    <t>黄世光</t>
  </si>
  <si>
    <t>012-2327963</t>
  </si>
  <si>
    <t>Chang Chiou Pheng</t>
  </si>
  <si>
    <t>691012-10-5738</t>
  </si>
  <si>
    <t>锺日洪</t>
  </si>
  <si>
    <t>012-3271997</t>
  </si>
  <si>
    <t>Amanda Yap Pik Yoke</t>
  </si>
  <si>
    <t>620518-10-6158</t>
  </si>
  <si>
    <t>单亲</t>
  </si>
  <si>
    <t>012-6723375</t>
  </si>
  <si>
    <t>(WA msg rece'd 03.Apr.2026)</t>
  </si>
  <si>
    <t>许僡芳</t>
  </si>
  <si>
    <t>Hui Saw Fong</t>
  </si>
  <si>
    <t>720117-08-5518</t>
  </si>
  <si>
    <t>单身</t>
  </si>
  <si>
    <t>016-3382872</t>
  </si>
  <si>
    <t>(No payment for 2025, last payment received for Jan-25)</t>
  </si>
  <si>
    <t>余合福</t>
  </si>
  <si>
    <t>Ee Hoe Hock</t>
  </si>
  <si>
    <t>471206-07-5409</t>
  </si>
  <si>
    <t>012-4613741</t>
  </si>
  <si>
    <t>Low Tai Thye</t>
  </si>
  <si>
    <t>630528-01-5806</t>
  </si>
  <si>
    <t>苏庆泉</t>
  </si>
  <si>
    <t>012-2928119</t>
  </si>
  <si>
    <t>Stop from Jan-2021</t>
  </si>
  <si>
    <t>温媜帏</t>
  </si>
  <si>
    <t>Christy You</t>
  </si>
  <si>
    <t>661230-05-5030</t>
  </si>
  <si>
    <t>Steven Wong</t>
  </si>
  <si>
    <t>012-2389996</t>
  </si>
  <si>
    <t>李六妹</t>
  </si>
  <si>
    <t>Tan Souh Chou</t>
  </si>
  <si>
    <t>681207-10-5560</t>
  </si>
  <si>
    <t>候亚兴</t>
  </si>
  <si>
    <t>016-6186270</t>
  </si>
  <si>
    <t>谢富生</t>
  </si>
  <si>
    <t>Ng Yin Fong</t>
  </si>
  <si>
    <t>670724-08-5402</t>
  </si>
  <si>
    <t>011-62658622</t>
  </si>
  <si>
    <t>吴滟芳 (old  name)</t>
  </si>
  <si>
    <t>(No payment for 2025, last payment received Feb-25, not able to contact)</t>
  </si>
  <si>
    <t>Von Jen Vui</t>
  </si>
  <si>
    <t>780116-12-5420</t>
  </si>
  <si>
    <t>Siow Heng Yun</t>
  </si>
  <si>
    <t>012-8628998</t>
  </si>
  <si>
    <t>Lim Kok Sing</t>
  </si>
  <si>
    <t>刘千凤</t>
  </si>
  <si>
    <t>Lau Kien Hung</t>
  </si>
  <si>
    <t>801208-13-5570</t>
  </si>
  <si>
    <t>010-4031399</t>
  </si>
  <si>
    <t>戴川凤</t>
  </si>
  <si>
    <t>600610-10-6718</t>
  </si>
  <si>
    <t>011-61229178</t>
  </si>
  <si>
    <t xml:space="preserve"> ** (New) informed on 24/2/26 WA</t>
  </si>
  <si>
    <t>萧埏潤</t>
  </si>
  <si>
    <t>731213-06-5334</t>
  </si>
  <si>
    <t>陈建雄</t>
  </si>
  <si>
    <t>019-2213228</t>
  </si>
  <si>
    <t>660502-03-5718</t>
  </si>
  <si>
    <t>012-3381613</t>
  </si>
  <si>
    <t>文渼媄</t>
  </si>
  <si>
    <t>Man Mei Mei</t>
  </si>
  <si>
    <t>750306-14-5062</t>
  </si>
  <si>
    <t>Lee Poh Wah</t>
  </si>
  <si>
    <t>012-6387257</t>
  </si>
  <si>
    <t>Liang Yuen Seng</t>
  </si>
  <si>
    <t>790327-06-5375</t>
  </si>
  <si>
    <t>012-9239966</t>
  </si>
  <si>
    <t>Stop from Jul-2023</t>
  </si>
  <si>
    <t>Tan Ket Choo</t>
  </si>
  <si>
    <t>600227-08-5010</t>
  </si>
  <si>
    <t>Goh Beng Ang</t>
  </si>
  <si>
    <t>010-2217942</t>
  </si>
  <si>
    <t>Stop from Jul-2024</t>
  </si>
  <si>
    <t>Lee Bee Yin</t>
  </si>
  <si>
    <t>751029-10-5648</t>
  </si>
  <si>
    <t>Chan Sai Hor</t>
  </si>
  <si>
    <t>012-3453119</t>
  </si>
  <si>
    <t>Stop from Nov-2022</t>
  </si>
  <si>
    <t>680808-10-6417</t>
  </si>
  <si>
    <t>019-2222861</t>
  </si>
  <si>
    <t>卓梅枝</t>
  </si>
  <si>
    <t>Toh Boey Kee</t>
  </si>
  <si>
    <t>580412-71-5082</t>
  </si>
  <si>
    <t>刘友桂</t>
  </si>
  <si>
    <t>016-8869797</t>
  </si>
  <si>
    <t>770411-08-7608</t>
  </si>
  <si>
    <t>Eng Biing Lun</t>
  </si>
  <si>
    <t>012-5258578</t>
  </si>
  <si>
    <t>741207-14-5820</t>
  </si>
  <si>
    <t>012-7285605</t>
  </si>
  <si>
    <t>740116-14-5599</t>
  </si>
  <si>
    <t>012-2905605</t>
  </si>
  <si>
    <t>Ann Ong Pick Leng</t>
  </si>
  <si>
    <t>690919-10-5918</t>
  </si>
  <si>
    <t>曾庆笄</t>
  </si>
  <si>
    <t>016-6316122</t>
  </si>
  <si>
    <t>820910-14-5182</t>
  </si>
  <si>
    <t>陈锦荣</t>
  </si>
  <si>
    <t>018-7839521</t>
  </si>
  <si>
    <t>Sherry Kooo</t>
  </si>
  <si>
    <t>801023-05-5574</t>
  </si>
  <si>
    <t>卢志良</t>
  </si>
  <si>
    <t>010-8743488</t>
  </si>
  <si>
    <t>Stop from Jan-2025</t>
  </si>
  <si>
    <t>Cheong Foong</t>
  </si>
  <si>
    <t>570502-06-540802</t>
  </si>
  <si>
    <t>张颖明</t>
  </si>
  <si>
    <t>017-6387178</t>
  </si>
  <si>
    <t>Tan Bua Lan</t>
  </si>
  <si>
    <t>550103-10-5478</t>
  </si>
  <si>
    <t>文博胜</t>
  </si>
  <si>
    <t>016-3763233</t>
  </si>
  <si>
    <t>萧势襁</t>
  </si>
  <si>
    <t>811224-06-5129</t>
  </si>
  <si>
    <t>24/12/1981</t>
  </si>
  <si>
    <t>Ng Qui Ling</t>
  </si>
  <si>
    <t>012-9462633</t>
  </si>
  <si>
    <t>王丽珠</t>
  </si>
  <si>
    <t>760410-14-5694</t>
  </si>
  <si>
    <t>Leong Khai Cheong</t>
  </si>
  <si>
    <t>016-918 8638</t>
  </si>
  <si>
    <t>Wong Khang Foon</t>
  </si>
  <si>
    <t>691130-11-5128</t>
  </si>
  <si>
    <t>Yap Keat Fong</t>
  </si>
  <si>
    <t>019-2213055</t>
  </si>
  <si>
    <t>Tan Shao Hwang</t>
  </si>
  <si>
    <t>881231-43-6067</t>
  </si>
  <si>
    <t>012-3881679</t>
  </si>
  <si>
    <t>850617-05-5046</t>
  </si>
  <si>
    <t>Low Yong Peng</t>
  </si>
  <si>
    <t>012-6952622</t>
  </si>
  <si>
    <t>850807-03-5425</t>
  </si>
  <si>
    <t>017-9843937</t>
  </si>
  <si>
    <t>Lai Phooi Chan</t>
  </si>
  <si>
    <t>521128-08-5052</t>
  </si>
  <si>
    <t>016-356 2283</t>
  </si>
  <si>
    <t>631214-08-5056</t>
  </si>
  <si>
    <t>011-14315638</t>
  </si>
  <si>
    <t>Lee Loke Moy</t>
  </si>
  <si>
    <t>570328-05-5668</t>
  </si>
  <si>
    <t>罗振球</t>
  </si>
  <si>
    <t>016-9852911</t>
  </si>
  <si>
    <t>830309-14-5850</t>
  </si>
  <si>
    <t>012-2722600</t>
  </si>
  <si>
    <t>张舒惠</t>
  </si>
  <si>
    <t>Teoh Kuan Fun</t>
  </si>
  <si>
    <t>700709-06-5344</t>
  </si>
  <si>
    <t>张国鸿</t>
  </si>
  <si>
    <t>010-2262870</t>
  </si>
  <si>
    <t>张畯宏</t>
  </si>
  <si>
    <t>Chong Kok Hoong</t>
  </si>
  <si>
    <t>731122-08-5815</t>
  </si>
  <si>
    <t>张群芳</t>
  </si>
  <si>
    <t>014-3391101</t>
  </si>
  <si>
    <t>Vison Chong</t>
  </si>
  <si>
    <t>901203-10-5223</t>
  </si>
  <si>
    <t>017-2670563</t>
  </si>
  <si>
    <t>Lee Siew Phing</t>
  </si>
  <si>
    <t>720104-13-5416</t>
  </si>
  <si>
    <t>李伟帼</t>
  </si>
  <si>
    <t>016-4194943</t>
  </si>
  <si>
    <t>940531-14-5939</t>
  </si>
  <si>
    <t>012-4992243</t>
  </si>
  <si>
    <t>Lee WeI Keong</t>
  </si>
  <si>
    <t>710727-10-5425</t>
  </si>
  <si>
    <t>019-2861187</t>
  </si>
  <si>
    <t>Stop from Jan-2024</t>
  </si>
  <si>
    <t>Wong Yuk Lin</t>
  </si>
  <si>
    <t>681106-05-5082</t>
  </si>
  <si>
    <t>幸泗川</t>
  </si>
  <si>
    <t>012-2841094</t>
  </si>
  <si>
    <t>陈松腾</t>
  </si>
  <si>
    <t>Tan Kher Leong</t>
  </si>
  <si>
    <t>620511-10-6163</t>
  </si>
  <si>
    <t>黄茗尉</t>
  </si>
  <si>
    <t>016-2038622</t>
  </si>
  <si>
    <t>Ng Bee Yock</t>
  </si>
  <si>
    <t>630623-10-6060</t>
  </si>
  <si>
    <t>翁俊斌</t>
  </si>
  <si>
    <t>Ong Jiun Bin</t>
  </si>
  <si>
    <t>740610-14-5033</t>
  </si>
  <si>
    <t>林美金</t>
  </si>
  <si>
    <t>012-3188625</t>
  </si>
  <si>
    <t>卢元爱</t>
  </si>
  <si>
    <t>Lu Guan Ai</t>
  </si>
  <si>
    <t>500918-13-5293</t>
  </si>
  <si>
    <t>Chong Seow Yip</t>
  </si>
  <si>
    <t>016-8162788</t>
  </si>
  <si>
    <t>Chia Foo Sang</t>
  </si>
  <si>
    <t>780109-14-6215</t>
  </si>
  <si>
    <t>012-6286156</t>
  </si>
  <si>
    <t>490819-10-5084</t>
  </si>
  <si>
    <t>19/08/1949</t>
  </si>
  <si>
    <t>019-6928240</t>
  </si>
  <si>
    <t>杨嘉风</t>
  </si>
  <si>
    <t>Yeoh Chia Fong</t>
  </si>
  <si>
    <t>670408-07-5544</t>
  </si>
  <si>
    <t>Lim Boon Tian</t>
  </si>
  <si>
    <t>012-6058888</t>
  </si>
  <si>
    <t>Stop from Jan-2022</t>
  </si>
  <si>
    <t>许俍富</t>
  </si>
  <si>
    <t>Koh Liang Hock</t>
  </si>
  <si>
    <t>670221-01-5955</t>
  </si>
  <si>
    <t>罗淑貞</t>
  </si>
  <si>
    <t>016-9206026</t>
  </si>
  <si>
    <t>Quinny</t>
  </si>
  <si>
    <t>800116-07-5334</t>
  </si>
  <si>
    <t>16/01/1980</t>
  </si>
  <si>
    <t>吴来发</t>
  </si>
  <si>
    <t>019-4121688</t>
  </si>
  <si>
    <t>董志存</t>
  </si>
  <si>
    <t>Tung Jih Choon</t>
  </si>
  <si>
    <t>600621-12-5332</t>
  </si>
  <si>
    <t>010-9833778</t>
  </si>
  <si>
    <t>750110-14-5394</t>
  </si>
  <si>
    <t>018-2000148</t>
  </si>
  <si>
    <t>周玉暹</t>
  </si>
  <si>
    <t>Chew Giat Siam</t>
  </si>
  <si>
    <t>480310-08-5288</t>
  </si>
  <si>
    <t>寡妇</t>
  </si>
  <si>
    <t>016-9840413</t>
  </si>
  <si>
    <t>passed away 11/Oct/2025</t>
  </si>
  <si>
    <t>810516-14-6436</t>
  </si>
  <si>
    <t>012-6348268</t>
  </si>
  <si>
    <t>old name 梁馨尹</t>
  </si>
  <si>
    <t>Lourdes Loo</t>
  </si>
  <si>
    <t>992816-14-5946</t>
  </si>
  <si>
    <t>Ong Chiew Yong</t>
  </si>
  <si>
    <t>570921-10-5160</t>
  </si>
  <si>
    <t>李冠桦</t>
  </si>
  <si>
    <t>012-9058239(9599)</t>
  </si>
  <si>
    <t>黄真妮</t>
  </si>
  <si>
    <t>751224-10-5360</t>
  </si>
  <si>
    <t>李忠铧</t>
  </si>
  <si>
    <t>012-8916169</t>
  </si>
  <si>
    <t>Tan Kwee Tin</t>
  </si>
  <si>
    <t>711230-05-5084</t>
  </si>
  <si>
    <t>Chong Fook Seong</t>
  </si>
  <si>
    <t>016-6882163</t>
  </si>
  <si>
    <t>860509-33-5402</t>
  </si>
  <si>
    <t>丘志光</t>
  </si>
  <si>
    <t>012-9534298</t>
  </si>
  <si>
    <t>张杍䌻</t>
  </si>
  <si>
    <t>Florence Chong</t>
  </si>
  <si>
    <t>641222-10-6266</t>
  </si>
  <si>
    <t>黎伟羾</t>
  </si>
  <si>
    <t>012-3355917</t>
  </si>
  <si>
    <t>许茹慧</t>
  </si>
  <si>
    <t>701121-04-5080</t>
  </si>
  <si>
    <t>Lim Kah Siong</t>
  </si>
  <si>
    <t>016-6020933</t>
  </si>
  <si>
    <t>740716-14-5541</t>
  </si>
  <si>
    <t>012-9723791</t>
  </si>
  <si>
    <t>Cheah Wei Ping</t>
  </si>
  <si>
    <t>740302-08-6692</t>
  </si>
  <si>
    <t>党继聪</t>
  </si>
  <si>
    <t>016-2071621</t>
  </si>
  <si>
    <t>Chan Kwai Heong</t>
  </si>
  <si>
    <t>660514-10-7248</t>
  </si>
  <si>
    <t>016-2044668</t>
  </si>
  <si>
    <t>颜美葒</t>
  </si>
  <si>
    <t>Ngan Bee Hong</t>
  </si>
  <si>
    <t>700415-10-5558</t>
  </si>
  <si>
    <t>016-3317893</t>
  </si>
  <si>
    <t>Chin Kem Thai</t>
  </si>
  <si>
    <t>490814-08-5520</t>
  </si>
  <si>
    <t>016-2087197</t>
  </si>
  <si>
    <t>Chai Jian Ming</t>
  </si>
  <si>
    <t>030202-14-0755</t>
  </si>
  <si>
    <t>016-3338980</t>
  </si>
  <si>
    <t>Tan Kim Cheng</t>
  </si>
  <si>
    <t>681219-08-5448</t>
  </si>
  <si>
    <t>016-9040304</t>
  </si>
  <si>
    <t>Wong Wai Yun</t>
  </si>
  <si>
    <t>840916-08-5166</t>
  </si>
  <si>
    <t>魏新健</t>
  </si>
  <si>
    <t>016-5860029</t>
  </si>
  <si>
    <t>Quek Leh See</t>
  </si>
  <si>
    <t>790117-08-5136</t>
  </si>
  <si>
    <t>Lim Swee Chin</t>
  </si>
  <si>
    <t>013-3357181</t>
  </si>
  <si>
    <t>690403-06-5302</t>
  </si>
  <si>
    <t>林廷邦</t>
  </si>
  <si>
    <t>013-3460039
010-2280606</t>
  </si>
  <si>
    <t>Irene Loh</t>
  </si>
  <si>
    <t>18/07</t>
  </si>
  <si>
    <t>Steve Tan</t>
  </si>
  <si>
    <t>016-2792337</t>
  </si>
  <si>
    <t>Liew Yoke Yoon</t>
  </si>
  <si>
    <t>630325-28-6276</t>
  </si>
  <si>
    <t>张达承</t>
  </si>
  <si>
    <t>010-3147777</t>
  </si>
  <si>
    <t>张玉凤</t>
  </si>
  <si>
    <t>Diong Tek Hong</t>
  </si>
  <si>
    <t>541205-08-5100</t>
  </si>
  <si>
    <t>019-2299982</t>
  </si>
  <si>
    <t>Koh Goon Ling</t>
  </si>
  <si>
    <t>751020-04-5220</t>
  </si>
  <si>
    <t>黄春祥</t>
  </si>
  <si>
    <t>012-3992081</t>
  </si>
  <si>
    <t>Teu Sew Hing</t>
  </si>
  <si>
    <t>550509-05-5482</t>
  </si>
  <si>
    <t>016-3246111</t>
  </si>
  <si>
    <t>Chung Jeng Mun</t>
  </si>
  <si>
    <t>78//17-14-6076</t>
  </si>
  <si>
    <t>Lee Beng Kiat</t>
  </si>
  <si>
    <t>016-3636308</t>
  </si>
  <si>
    <t>Stop from Dec-2021</t>
  </si>
  <si>
    <t>Chong Hui Yee</t>
  </si>
  <si>
    <t>851006-14-5192</t>
  </si>
  <si>
    <t>012-2346283</t>
  </si>
  <si>
    <t>Chong Yik Wei</t>
  </si>
  <si>
    <t>930304-14-6203</t>
  </si>
  <si>
    <t>017-2119656</t>
  </si>
  <si>
    <t>Hooy AI Teng</t>
  </si>
  <si>
    <t>790530-14-5418</t>
  </si>
  <si>
    <t>杨建成</t>
  </si>
  <si>
    <t>Yeo Chin Cheng</t>
  </si>
  <si>
    <t>880201-52-6067</t>
  </si>
  <si>
    <t>014-6857657</t>
  </si>
  <si>
    <t>田玉英</t>
  </si>
  <si>
    <t>Thian Nyuk Jin</t>
  </si>
  <si>
    <t>600421-13-5018</t>
  </si>
  <si>
    <t>21/4/1960</t>
  </si>
  <si>
    <t>016-8629942</t>
  </si>
  <si>
    <t>Chuah Bee Yong</t>
  </si>
  <si>
    <t>790703-08-5792</t>
  </si>
  <si>
    <t>012-3409223</t>
  </si>
  <si>
    <t>Stop from Mar-2021</t>
  </si>
  <si>
    <t>李诗媚</t>
  </si>
  <si>
    <t>Lee Sze Mei</t>
  </si>
  <si>
    <t>870912-14-5368</t>
  </si>
  <si>
    <t>016-2100102</t>
  </si>
  <si>
    <t>STW membership, stop from Jan-2026</t>
  </si>
  <si>
    <t>李思群</t>
  </si>
  <si>
    <t>Lee Sze Kwuan</t>
  </si>
  <si>
    <t>850903-14-5616</t>
  </si>
  <si>
    <t>011-11777102</t>
  </si>
  <si>
    <t>Yip Chooi Fun</t>
  </si>
  <si>
    <t>600330-06-5210</t>
  </si>
  <si>
    <t>30/3/1960</t>
  </si>
  <si>
    <t>葉桂卿</t>
  </si>
  <si>
    <t>012-7038662</t>
  </si>
  <si>
    <t>Stop from Jan-2026 (cannot contact)</t>
  </si>
  <si>
    <t>Fan King Fah</t>
  </si>
  <si>
    <t>Chan Kooi Fun</t>
  </si>
  <si>
    <t>690928-10-5282</t>
  </si>
  <si>
    <t>017-2768948</t>
  </si>
  <si>
    <t>Stop from Feb-2021</t>
  </si>
  <si>
    <t>Yap Poh Chan</t>
  </si>
  <si>
    <t>500620-10-5868</t>
  </si>
  <si>
    <t>Tai Kim Boon</t>
  </si>
  <si>
    <t>012-3655104</t>
  </si>
  <si>
    <t>Wong Shee Chong</t>
  </si>
  <si>
    <t>590913-10-5353</t>
  </si>
  <si>
    <t>寡夫</t>
  </si>
  <si>
    <t>012-9748188</t>
  </si>
  <si>
    <t>蔡乙綵</t>
  </si>
  <si>
    <t>Chai Shyh Tsae</t>
  </si>
  <si>
    <t>751111-06-5374</t>
  </si>
  <si>
    <t>未婚</t>
  </si>
  <si>
    <t>019-2549142</t>
  </si>
  <si>
    <t>李雁琼</t>
  </si>
  <si>
    <t>Lee Ann Keng</t>
  </si>
  <si>
    <t>570510-08-5898</t>
  </si>
  <si>
    <t>Yew Cheng Lim</t>
  </si>
  <si>
    <t>016-3075368</t>
  </si>
  <si>
    <t>陈天赐</t>
  </si>
  <si>
    <t>Tan Thian Soo</t>
  </si>
  <si>
    <t>590817-08-5673</t>
  </si>
  <si>
    <t>Tan Lay See</t>
  </si>
  <si>
    <t>018-9196998</t>
  </si>
  <si>
    <t>551229-08-5307</t>
  </si>
  <si>
    <t>017-6203088</t>
  </si>
  <si>
    <t>萧志倫</t>
  </si>
  <si>
    <t>Siew Kin Lun</t>
  </si>
  <si>
    <t>810827-14-6169</t>
  </si>
  <si>
    <t>萧美婷</t>
  </si>
  <si>
    <t>012-4933471</t>
  </si>
  <si>
    <t>郭奕杏</t>
  </si>
  <si>
    <t>Koay Yee Sin</t>
  </si>
  <si>
    <t>911227-07-5136</t>
  </si>
  <si>
    <t>016-2203362</t>
  </si>
  <si>
    <t>谢安妮</t>
  </si>
  <si>
    <t>Cheah Aun Nee</t>
  </si>
  <si>
    <t>821005-07-5342</t>
  </si>
  <si>
    <t>012-5505736</t>
  </si>
  <si>
    <t>宋丽英</t>
  </si>
  <si>
    <t>Soong Lai Ying</t>
  </si>
  <si>
    <t>611101-10-5288</t>
  </si>
  <si>
    <t>黄仕佑</t>
  </si>
  <si>
    <t>011-10556133</t>
  </si>
  <si>
    <t>Koh Su Chin</t>
  </si>
  <si>
    <t>970704-14-5062</t>
  </si>
  <si>
    <t>011-31076717</t>
  </si>
  <si>
    <t>赖芓妘</t>
  </si>
  <si>
    <t>Lai Zi Yin</t>
  </si>
  <si>
    <t>001229-10-0582</t>
  </si>
  <si>
    <t>011-39273621</t>
  </si>
  <si>
    <t>苏淑禛</t>
  </si>
  <si>
    <t>Saw Sow Chin</t>
  </si>
  <si>
    <t>681023-10-5160</t>
  </si>
  <si>
    <t>016-9828161</t>
  </si>
  <si>
    <t>黄荟菏</t>
  </si>
  <si>
    <t>Ng Kwee Hor</t>
  </si>
  <si>
    <t>740124-14-5214</t>
  </si>
  <si>
    <t>Koh Chan Soon</t>
  </si>
  <si>
    <t>013-3289629</t>
  </si>
  <si>
    <t>石秀萍</t>
  </si>
  <si>
    <t>Chiew Siew Peng</t>
  </si>
  <si>
    <t>700216-10-5758</t>
  </si>
  <si>
    <t>010-2228216</t>
  </si>
  <si>
    <t>770608-05-5837</t>
  </si>
  <si>
    <t>013-2828689</t>
  </si>
  <si>
    <t>Fan Min Li</t>
  </si>
  <si>
    <t>861212-56-6108</t>
  </si>
  <si>
    <t>010-2213933</t>
  </si>
  <si>
    <t>Goh Mei Fang</t>
  </si>
  <si>
    <t>770711-04-5442</t>
  </si>
  <si>
    <t>012-5992796</t>
  </si>
  <si>
    <t>Lai Ching Kwai</t>
  </si>
  <si>
    <t>670405-10-5664</t>
  </si>
  <si>
    <t>离婚</t>
  </si>
  <si>
    <t>012-7679832</t>
  </si>
  <si>
    <t>Lim Tok Ee</t>
  </si>
  <si>
    <t>510728-10-5412</t>
  </si>
  <si>
    <t>016-6509095</t>
  </si>
  <si>
    <t>Kong Yun Fui</t>
  </si>
  <si>
    <t>860528-59-5322</t>
  </si>
  <si>
    <t>Tan Shao Ping</t>
  </si>
  <si>
    <t>012-2469639</t>
  </si>
  <si>
    <t>012-6397168</t>
  </si>
  <si>
    <t xml:space="preserve">黄文勝 </t>
  </si>
  <si>
    <t>Wong Ban Sheng</t>
  </si>
  <si>
    <t>740501-10-5569</t>
  </si>
  <si>
    <t>012-6525287</t>
  </si>
  <si>
    <t>蔡适蔧</t>
  </si>
  <si>
    <t>陈诗施</t>
  </si>
  <si>
    <t>郑秀娟</t>
  </si>
  <si>
    <t>凌秀莲</t>
  </si>
  <si>
    <t>江文明</t>
  </si>
  <si>
    <t>刘亚宝</t>
  </si>
  <si>
    <t>杨远铧</t>
  </si>
  <si>
    <t>Yong Yuen Wah</t>
  </si>
  <si>
    <t>已停止</t>
  </si>
  <si>
    <t>670826-10-5611</t>
  </si>
  <si>
    <t>Goh Geok Hong</t>
  </si>
  <si>
    <t>016-6471627</t>
  </si>
  <si>
    <t>冯珖玹</t>
  </si>
  <si>
    <t>012-2602988</t>
  </si>
  <si>
    <t>林道良</t>
  </si>
  <si>
    <t>Daniel Lim Tuaw Leong</t>
  </si>
  <si>
    <t>781007-06-5259</t>
  </si>
  <si>
    <t>011-10168919</t>
  </si>
  <si>
    <t>012-6662329</t>
  </si>
  <si>
    <t>016 3118870</t>
  </si>
  <si>
    <t>016 6631681</t>
  </si>
  <si>
    <t>011-35518037</t>
  </si>
  <si>
    <t>STW157</t>
  </si>
  <si>
    <t>012-2352177</t>
  </si>
  <si>
    <t xml:space="preserve">Transfer to CHE from Jan-2026, CHE No. 238 </t>
  </si>
  <si>
    <t>STW158</t>
  </si>
  <si>
    <t>陈仪伶</t>
  </si>
  <si>
    <t>017-7286787</t>
  </si>
  <si>
    <t>STW159</t>
  </si>
  <si>
    <t>张菁倪</t>
  </si>
  <si>
    <t>012-6342109</t>
  </si>
  <si>
    <t>STW160</t>
  </si>
  <si>
    <t>STW161</t>
  </si>
  <si>
    <t>林嘉雯</t>
  </si>
  <si>
    <t>018-3826777</t>
  </si>
  <si>
    <t>STW162</t>
  </si>
  <si>
    <t>苏素瑢</t>
  </si>
  <si>
    <t>011-16803353</t>
  </si>
  <si>
    <t>STW163</t>
  </si>
  <si>
    <t>叶秀彩</t>
  </si>
  <si>
    <t>012-3441792</t>
  </si>
  <si>
    <t>CHE</t>
  </si>
  <si>
    <t>** New membership start from Apr-2026</t>
  </si>
  <si>
    <t>** New membership start from Jan-2026 (Transfer from Sitiawan)</t>
  </si>
  <si>
    <t>何玉珍</t>
  </si>
  <si>
    <t>黎嘉祺</t>
  </si>
  <si>
    <t>No。</t>
  </si>
  <si>
    <t>Amy Tan</t>
  </si>
  <si>
    <t>012-3776144</t>
  </si>
  <si>
    <t>张美绮</t>
  </si>
  <si>
    <t>012-2951606</t>
  </si>
  <si>
    <t>莲美丽</t>
  </si>
  <si>
    <t>Shereen Wong</t>
  </si>
  <si>
    <t>梁佩仪（馨尹）</t>
  </si>
  <si>
    <t>苏淑真</t>
  </si>
  <si>
    <t>伍尉枋</t>
  </si>
  <si>
    <t>011 35518037</t>
  </si>
  <si>
    <t>Lim Kian Hin</t>
  </si>
  <si>
    <t>830720-10-6173</t>
  </si>
  <si>
    <t>012-3948880</t>
  </si>
  <si>
    <t>LH Car Enterprise</t>
  </si>
  <si>
    <t>Teo Kwee Ling</t>
  </si>
  <si>
    <t>Stop from May-2026</t>
  </si>
  <si>
    <t>蔡诗琳</t>
  </si>
  <si>
    <t>蔡诗婷</t>
  </si>
  <si>
    <t>017-5037409</t>
  </si>
  <si>
    <t>（旧名字） 吴滟芳</t>
  </si>
  <si>
    <t>（旧名字）郑少君</t>
  </si>
  <si>
    <t>Quck Leh See</t>
  </si>
  <si>
    <t>790717-08-5136</t>
  </si>
  <si>
    <t>Tang Boon Kiang</t>
  </si>
  <si>
    <t>710824-10-5478</t>
  </si>
  <si>
    <t>730830-01-5186</t>
  </si>
  <si>
    <t>018-2054636</t>
  </si>
  <si>
    <t>Low Wah Yee</t>
  </si>
  <si>
    <t>730709-14-5480</t>
  </si>
  <si>
    <t>012-6610901</t>
  </si>
  <si>
    <t>Chong Yoke Hon</t>
  </si>
  <si>
    <t>900715-14-5479</t>
  </si>
  <si>
    <t>(程秋萍 SX 儿子）</t>
  </si>
  <si>
    <t>（梁佩仪 SX 先生）</t>
  </si>
  <si>
    <t>Boon Chian Cheng</t>
  </si>
  <si>
    <t>920904-14-6507</t>
  </si>
  <si>
    <t>016-7498360</t>
  </si>
  <si>
    <t>Ho Yuk Fung</t>
  </si>
  <si>
    <t>780601-12-5221</t>
  </si>
  <si>
    <t>016-4217861</t>
  </si>
  <si>
    <t>781110-08-5266</t>
  </si>
  <si>
    <t>011-10280429</t>
  </si>
  <si>
    <t>Tan Ying Ju</t>
  </si>
  <si>
    <t>810219-13-5458</t>
  </si>
  <si>
    <t>016-7257562</t>
  </si>
  <si>
    <t>Ho Yuk Jin</t>
  </si>
  <si>
    <t>770618-12-5886</t>
  </si>
  <si>
    <t>016-2344153</t>
  </si>
  <si>
    <t>Wendy Lai Mei Wan</t>
  </si>
  <si>
    <t>840409-08-5778</t>
  </si>
  <si>
    <t>Mar_Dec26</t>
  </si>
  <si>
    <t>Sep26_Jun27</t>
  </si>
  <si>
    <t>CHE0001373</t>
  </si>
  <si>
    <t>CHE0001374</t>
  </si>
  <si>
    <t>CHE0001375</t>
  </si>
  <si>
    <t>CHE0001376</t>
  </si>
  <si>
    <t>CHE0001377</t>
  </si>
  <si>
    <t>CHE0001378</t>
  </si>
  <si>
    <t>CHE0001379</t>
  </si>
  <si>
    <t>CHE0001380</t>
  </si>
  <si>
    <t>CHE0001381</t>
  </si>
  <si>
    <t>CHE0001382</t>
  </si>
  <si>
    <t>CHE0001383</t>
  </si>
  <si>
    <t>CHE0001384</t>
  </si>
  <si>
    <t>CHE0001385</t>
  </si>
  <si>
    <t>CHE0001386</t>
  </si>
  <si>
    <t>CHE0001387</t>
  </si>
  <si>
    <t>CHE0001388</t>
  </si>
  <si>
    <t>CHE0001389</t>
  </si>
  <si>
    <t>CHE0001390</t>
  </si>
  <si>
    <t>CHE0001391</t>
  </si>
  <si>
    <t>CHE0001392</t>
  </si>
  <si>
    <t>CHE0001393</t>
  </si>
  <si>
    <t>CHE0001394</t>
  </si>
  <si>
    <t>CHE0001395</t>
  </si>
  <si>
    <t>CHE0001396</t>
  </si>
  <si>
    <t>CHE0001397</t>
  </si>
  <si>
    <t>CHE0001398</t>
  </si>
  <si>
    <t>CHE0001399</t>
  </si>
  <si>
    <t>CHE0001400</t>
  </si>
  <si>
    <t>Book No.31</t>
  </si>
  <si>
    <t>CHE0001501</t>
  </si>
  <si>
    <t>CHE0001502</t>
  </si>
  <si>
    <t>CHE0001503</t>
  </si>
  <si>
    <t>CHE0001504</t>
  </si>
  <si>
    <t>CHE0001505</t>
  </si>
  <si>
    <t>CHE0001506</t>
  </si>
  <si>
    <t>CHE0001507</t>
  </si>
  <si>
    <t>CHE0001508</t>
  </si>
  <si>
    <t>CHE0001509</t>
  </si>
  <si>
    <t>CHE0001510</t>
  </si>
  <si>
    <t>CHE0001511</t>
  </si>
  <si>
    <t>CHE0001512</t>
  </si>
  <si>
    <t>CHE0001513</t>
  </si>
  <si>
    <t>CHE0001514</t>
  </si>
  <si>
    <t>CHE0001515</t>
  </si>
  <si>
    <t>CHE0001516</t>
  </si>
  <si>
    <t>CHE0001517</t>
  </si>
  <si>
    <t>CHE0001518</t>
  </si>
  <si>
    <t>CHE0001519</t>
  </si>
  <si>
    <t>CHE0001520</t>
  </si>
  <si>
    <t>CHE0001521</t>
  </si>
  <si>
    <t>May_Jul26</t>
  </si>
  <si>
    <t>26.05.2026</t>
  </si>
  <si>
    <t>18.05.2026</t>
  </si>
  <si>
    <t>CHE 0001552</t>
  </si>
  <si>
    <t>CHE 0001553</t>
  </si>
  <si>
    <t>CHE 0001554</t>
  </si>
  <si>
    <t>CHE 0001555</t>
  </si>
  <si>
    <t>CHE 0001556</t>
  </si>
  <si>
    <t>CHE 0001557</t>
  </si>
  <si>
    <t>CHE 0001558</t>
  </si>
  <si>
    <t>CHE 0001559</t>
  </si>
  <si>
    <t>CHE 0001560</t>
  </si>
  <si>
    <t>CHE 0001561</t>
  </si>
  <si>
    <t>CHE 0001562</t>
  </si>
  <si>
    <t>黄国齐</t>
  </si>
  <si>
    <t>Apr_Jul26</t>
  </si>
  <si>
    <t>Chai Si Ting</t>
  </si>
  <si>
    <t>081031-10-2614</t>
  </si>
  <si>
    <t>蔡慧玲</t>
  </si>
  <si>
    <t>Chai Hui Lin</t>
  </si>
  <si>
    <t>060121-10-1026</t>
  </si>
  <si>
    <t>08.06.2026</t>
  </si>
  <si>
    <t>CHE 0001563</t>
  </si>
  <si>
    <t>CHE 0001564</t>
  </si>
  <si>
    <t>CHE 0001565</t>
  </si>
  <si>
    <t>CHE 0001566</t>
  </si>
  <si>
    <t>Jun_Jul26</t>
  </si>
  <si>
    <t>Jul_Sep26</t>
  </si>
  <si>
    <t>Stop from May-2021</t>
  </si>
  <si>
    <t>Florence Chong Nyok  Moi</t>
  </si>
  <si>
    <t>Sep_Oct26</t>
  </si>
  <si>
    <t>06.07.26</t>
  </si>
  <si>
    <t>Nov_Dec26</t>
    <phoneticPr fontId="35" type="noConversion"/>
  </si>
  <si>
    <t>Mar_Dec26</t>
    <phoneticPr fontId="35" type="noConversion"/>
  </si>
  <si>
    <t>Hoo Mei Sing (MS)</t>
    <phoneticPr fontId="35" type="noConversion"/>
  </si>
  <si>
    <t>Chong Yik How</t>
    <phoneticPr fontId="35" type="noConversion"/>
  </si>
  <si>
    <t>May_Jun26</t>
    <phoneticPr fontId="35" type="noConversion"/>
  </si>
  <si>
    <t>Wong Lee Ken</t>
    <phoneticPr fontId="35" type="noConversion"/>
  </si>
  <si>
    <t>Lai Mei Chin</t>
    <phoneticPr fontId="35" type="noConversion"/>
  </si>
  <si>
    <t>Jul_Sep26</t>
    <phoneticPr fontId="35" type="noConversion"/>
  </si>
  <si>
    <t>Wee Mun Kuan/Lee Poh Choo</t>
    <phoneticPr fontId="35" type="noConversion"/>
  </si>
  <si>
    <t>Wong Su Fong</t>
    <phoneticPr fontId="35" type="noConversion"/>
  </si>
  <si>
    <t>Jan_Jun26</t>
    <phoneticPr fontId="77" type="noConversion"/>
  </si>
  <si>
    <t>Lian Jia Yin</t>
    <phoneticPr fontId="77" type="noConversion"/>
  </si>
  <si>
    <t>12.07.26</t>
    <phoneticPr fontId="35" type="noConversion"/>
  </si>
  <si>
    <t>ATM</t>
    <phoneticPr fontId="35" type="noConversion"/>
  </si>
  <si>
    <t>Ng Shyh Sia</t>
    <phoneticPr fontId="35" type="noConversion"/>
  </si>
  <si>
    <t>Jul_Jun27</t>
    <phoneticPr fontId="77" type="noConversion"/>
  </si>
  <si>
    <t>钟镒壕</t>
  </si>
  <si>
    <t>Dec_Jan26</t>
    <phoneticPr fontId="35" type="noConversion"/>
  </si>
  <si>
    <t xml:space="preserve">     年   月份 - HLB 05500129613</t>
    <phoneticPr fontId="7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</si>
</sst>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[$-409]d\-mmm\-yyyy;@"/>
    <numFmt numFmtId="178" formatCode="[$-14409]dd/mm/yyyy;@"/>
    <numFmt numFmtId="179" formatCode="_(* #,##0.000_);_(* \(#,##0.000\);_(* &quot;-&quot;??_);_(@_)"/>
  </numFmts>
  <fonts count="80"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sz val="12"/>
      <color theme="1"/>
      <name val="宋体"/>
      <family val="2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宋体"/>
      <family val="2"/>
      <scheme val="minor"/>
    </font>
    <font>
      <sz val="11"/>
      <color rgb="FF000000"/>
      <name val="Times New Roman"/>
      <family val="1"/>
    </font>
    <font>
      <sz val="8"/>
      <name val="Calibri"/>
      <family val="2"/>
    </font>
    <font>
      <sz val="11"/>
      <color rgb="FF000000"/>
      <name val="Calibri"/>
      <family val="2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10"/>
      <color theme="1"/>
      <name val="FangSong"/>
      <family val="3"/>
    </font>
    <font>
      <b/>
      <sz val="8"/>
      <color theme="1"/>
      <name val="FangSong"/>
      <family val="3"/>
    </font>
    <font>
      <sz val="11"/>
      <name val="宋体"/>
      <family val="2"/>
      <scheme val="minor"/>
    </font>
    <font>
      <sz val="11"/>
      <color indexed="8"/>
      <name val="宋体"/>
      <family val="2"/>
      <scheme val="minor"/>
    </font>
    <font>
      <b/>
      <sz val="10"/>
      <color indexed="8"/>
      <name val="FangSong"/>
      <family val="3"/>
    </font>
    <font>
      <b/>
      <sz val="20"/>
      <color indexed="8"/>
      <name val="宋体"/>
      <family val="2"/>
      <charset val="134"/>
    </font>
    <font>
      <b/>
      <sz val="8"/>
      <color indexed="8"/>
      <name val="Calibri"/>
      <family val="2"/>
      <charset val="134"/>
    </font>
    <font>
      <sz val="11"/>
      <name val="Calibri"/>
      <family val="2"/>
    </font>
    <font>
      <i/>
      <sz val="11"/>
      <color indexed="8"/>
      <name val="Calibri"/>
      <family val="2"/>
    </font>
    <font>
      <sz val="11"/>
      <color indexed="8"/>
      <name val="FangSong"/>
      <family val="3"/>
    </font>
    <font>
      <b/>
      <sz val="12"/>
      <color rgb="FF000000"/>
      <name val="FangSong"/>
      <family val="3"/>
    </font>
    <font>
      <b/>
      <sz val="12"/>
      <color theme="1"/>
      <name val="FangSong"/>
      <family val="3"/>
    </font>
    <font>
      <b/>
      <sz val="12"/>
      <color indexed="8"/>
      <name val="FangSong"/>
      <family val="3"/>
    </font>
    <font>
      <b/>
      <sz val="11"/>
      <color rgb="FFFF0000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2"/>
      <color theme="1"/>
      <name val="FangSong"/>
      <family val="3"/>
    </font>
    <font>
      <sz val="12"/>
      <color indexed="8"/>
      <name val="FangSong"/>
      <family val="3"/>
    </font>
    <font>
      <sz val="16"/>
      <color theme="1"/>
      <name val="FangSong"/>
      <family val="3"/>
    </font>
    <font>
      <sz val="16"/>
      <color indexed="8"/>
      <name val="FangSong"/>
      <family val="3"/>
    </font>
    <font>
      <sz val="12"/>
      <color indexed="8"/>
      <name val="Calibri"/>
      <family val="2"/>
    </font>
    <font>
      <sz val="14"/>
      <color theme="1"/>
      <name val="宋体"/>
      <family val="2"/>
      <scheme val="minor"/>
    </font>
    <font>
      <sz val="14"/>
      <color indexed="8"/>
      <name val="Calibri"/>
      <family val="2"/>
    </font>
    <font>
      <b/>
      <sz val="14"/>
      <color rgb="FFFF0000"/>
      <name val="Calibri"/>
      <family val="2"/>
    </font>
    <font>
      <sz val="12"/>
      <color rgb="FF000000"/>
      <name val="Calibri"/>
      <family val="2"/>
    </font>
    <font>
      <sz val="12"/>
      <color rgb="FF000000"/>
      <name val="FangSong"/>
      <family val="3"/>
    </font>
    <font>
      <sz val="11"/>
      <color rgb="FFFF0000"/>
      <name val="宋体"/>
      <family val="2"/>
      <scheme val="minor"/>
    </font>
    <font>
      <b/>
      <sz val="11"/>
      <color indexed="8"/>
      <name val="宋体"/>
      <family val="2"/>
      <scheme val="minor"/>
    </font>
    <font>
      <sz val="14"/>
      <color rgb="FF000000"/>
      <name val="FangSong"/>
      <family val="3"/>
    </font>
    <font>
      <sz val="14"/>
      <color theme="1"/>
      <name val="FangSong"/>
      <family val="3"/>
    </font>
    <font>
      <sz val="14"/>
      <color indexed="8"/>
      <name val="FangSong"/>
      <family val="3"/>
    </font>
    <font>
      <b/>
      <sz val="12"/>
      <color indexed="8"/>
      <name val="Calibri"/>
      <family val="2"/>
    </font>
    <font>
      <sz val="12"/>
      <name val="FangSong"/>
      <family val="3"/>
    </font>
    <font>
      <b/>
      <sz val="12"/>
      <color rgb="FFFF0000"/>
      <name val="FangSong"/>
      <family val="3"/>
    </font>
    <font>
      <b/>
      <sz val="10"/>
      <color rgb="FFFF0000"/>
      <name val="FangSong"/>
      <family val="3"/>
    </font>
    <font>
      <b/>
      <sz val="10"/>
      <color rgb="FFFF0000"/>
      <name val="宋体"/>
      <family val="2"/>
      <scheme val="minor"/>
    </font>
    <font>
      <sz val="9"/>
      <name val="DengXian"/>
      <family val="3"/>
      <charset val="134"/>
    </font>
    <font>
      <sz val="10"/>
      <name val="宋体"/>
      <family val="2"/>
      <scheme val="minor"/>
    </font>
    <font>
      <b/>
      <sz val="10"/>
      <name val="FangSong"/>
      <family val="3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B2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Trellis"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5E2AB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</borders>
  <cellStyleXfs count="117">
    <xf numFmtId="0" fontId="0" fillId="0" borderId="0"/>
    <xf numFmtId="176" fontId="25" fillId="0" borderId="0" applyFont="0" applyFill="0" applyBorder="0" applyAlignment="0" applyProtection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>
      <alignment vertical="center"/>
    </xf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8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6" fillId="0" borderId="0"/>
    <xf numFmtId="0" fontId="24" fillId="0" borderId="0">
      <alignment vertical="center"/>
    </xf>
    <xf numFmtId="0" fontId="23" fillId="0" borderId="0">
      <alignment vertical="center"/>
    </xf>
    <xf numFmtId="176" fontId="23" fillId="0" borderId="0" applyFont="0" applyFill="0" applyBorder="0" applyAlignment="0" applyProtection="0"/>
    <xf numFmtId="0" fontId="22" fillId="0" borderId="0">
      <alignment vertical="center"/>
    </xf>
    <xf numFmtId="176" fontId="22" fillId="0" borderId="0" applyFont="0" applyFill="0" applyBorder="0" applyAlignment="0" applyProtection="0"/>
    <xf numFmtId="0" fontId="22" fillId="0" borderId="0">
      <alignment vertical="center"/>
    </xf>
    <xf numFmtId="176" fontId="21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19" fillId="0" borderId="0"/>
    <xf numFmtId="0" fontId="26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/>
    <xf numFmtId="0" fontId="19" fillId="0" borderId="0">
      <alignment vertical="center"/>
    </xf>
    <xf numFmtId="176" fontId="19" fillId="0" borderId="0" applyFont="0" applyFill="0" applyBorder="0" applyAlignment="0" applyProtection="0"/>
    <xf numFmtId="0" fontId="19" fillId="0" borderId="0">
      <alignment vertical="center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/>
    <xf numFmtId="0" fontId="18" fillId="0" borderId="0">
      <alignment vertical="center"/>
    </xf>
    <xf numFmtId="176" fontId="18" fillId="0" borderId="0" applyFont="0" applyFill="0" applyBorder="0" applyAlignment="0" applyProtection="0"/>
    <xf numFmtId="0" fontId="18" fillId="0" borderId="0">
      <alignment vertical="center"/>
    </xf>
    <xf numFmtId="176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7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7" fillId="0" borderId="0"/>
    <xf numFmtId="0" fontId="17" fillId="0" borderId="0">
      <alignment vertical="center"/>
    </xf>
    <xf numFmtId="0" fontId="16" fillId="0" borderId="0"/>
    <xf numFmtId="176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925">
    <xf numFmtId="0" fontId="0" fillId="0" borderId="0" xfId="0"/>
    <xf numFmtId="0" fontId="29" fillId="0" borderId="0" xfId="0" applyFont="1" applyAlignment="1">
      <alignment horizontal="center"/>
    </xf>
    <xf numFmtId="176" fontId="29" fillId="0" borderId="0" xfId="1" applyFont="1" applyAlignment="1">
      <alignment horizontal="center"/>
    </xf>
    <xf numFmtId="0" fontId="29" fillId="0" borderId="0" xfId="0" applyFont="1"/>
    <xf numFmtId="0" fontId="30" fillId="0" borderId="0" xfId="0" applyFont="1"/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76" fontId="32" fillId="2" borderId="1" xfId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3" fillId="0" borderId="1" xfId="2" applyFont="1" applyBorder="1" applyAlignment="1">
      <alignment horizontal="center" vertical="center" wrapText="1"/>
    </xf>
    <xf numFmtId="0" fontId="33" fillId="0" borderId="0" xfId="2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4" fillId="0" borderId="0" xfId="4" applyFont="1" applyProtection="1">
      <protection locked="0"/>
    </xf>
    <xf numFmtId="0" fontId="0" fillId="0" borderId="7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vertical="center" wrapText="1"/>
    </xf>
    <xf numFmtId="0" fontId="26" fillId="0" borderId="9" xfId="0" quotePrefix="1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0" xfId="0" quotePrefix="1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36" fillId="0" borderId="21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26" fillId="0" borderId="0" xfId="0" applyFont="1" applyAlignment="1">
      <alignment horizontal="center"/>
    </xf>
    <xf numFmtId="176" fontId="26" fillId="0" borderId="0" xfId="1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6" xfId="0" quotePrefix="1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176" fontId="26" fillId="0" borderId="9" xfId="0" applyNumberFormat="1" applyFont="1" applyBorder="1" applyAlignment="1">
      <alignment horizontal="center"/>
    </xf>
    <xf numFmtId="14" fontId="26" fillId="0" borderId="9" xfId="0" applyNumberFormat="1" applyFont="1" applyBorder="1" applyAlignment="1">
      <alignment horizontal="center"/>
    </xf>
    <xf numFmtId="3" fontId="26" fillId="0" borderId="9" xfId="0" quotePrefix="1" applyNumberFormat="1" applyFont="1" applyBorder="1" applyAlignment="1">
      <alignment horizontal="center"/>
    </xf>
    <xf numFmtId="0" fontId="26" fillId="0" borderId="11" xfId="0" quotePrefix="1" applyFont="1" applyBorder="1" applyAlignment="1">
      <alignment horizontal="center"/>
    </xf>
    <xf numFmtId="176" fontId="26" fillId="2" borderId="8" xfId="1" applyFont="1" applyFill="1" applyBorder="1" applyAlignment="1">
      <alignment horizontal="center"/>
    </xf>
    <xf numFmtId="176" fontId="26" fillId="2" borderId="2" xfId="1" applyFont="1" applyFill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19" xfId="0" applyFont="1" applyBorder="1" applyAlignment="1">
      <alignment horizontal="center"/>
    </xf>
    <xf numFmtId="14" fontId="26" fillId="0" borderId="15" xfId="0" applyNumberFormat="1" applyFont="1" applyBorder="1" applyAlignment="1">
      <alignment horizontal="center"/>
    </xf>
    <xf numFmtId="176" fontId="26" fillId="0" borderId="0" xfId="1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76" fontId="26" fillId="2" borderId="17" xfId="1" applyFont="1" applyFill="1" applyBorder="1" applyAlignment="1">
      <alignment horizontal="center"/>
    </xf>
    <xf numFmtId="0" fontId="26" fillId="0" borderId="0" xfId="0" quotePrefix="1" applyFont="1" applyAlignment="1">
      <alignment horizontal="center"/>
    </xf>
    <xf numFmtId="0" fontId="26" fillId="0" borderId="7" xfId="0" applyFont="1" applyBorder="1" applyAlignment="1">
      <alignment horizontal="center"/>
    </xf>
    <xf numFmtId="14" fontId="26" fillId="0" borderId="22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176" fontId="26" fillId="2" borderId="9" xfId="1" applyFont="1" applyFill="1" applyBorder="1" applyAlignment="1">
      <alignment horizontal="center"/>
    </xf>
    <xf numFmtId="176" fontId="26" fillId="2" borderId="7" xfId="1" applyFont="1" applyFill="1" applyBorder="1" applyAlignment="1">
      <alignment horizontal="center"/>
    </xf>
    <xf numFmtId="18" fontId="0" fillId="0" borderId="0" xfId="0" applyNumberFormat="1" applyAlignment="1">
      <alignment horizontal="center"/>
    </xf>
    <xf numFmtId="176" fontId="0" fillId="0" borderId="0" xfId="1" applyFont="1" applyFill="1" applyAlignment="1">
      <alignment horizontal="center"/>
    </xf>
    <xf numFmtId="176" fontId="26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18" fontId="0" fillId="0" borderId="0" xfId="0" applyNumberFormat="1"/>
    <xf numFmtId="176" fontId="32" fillId="2" borderId="12" xfId="1" applyFont="1" applyFill="1" applyBorder="1" applyAlignment="1">
      <alignment horizontal="center" vertical="center" wrapText="1"/>
    </xf>
    <xf numFmtId="176" fontId="26" fillId="6" borderId="9" xfId="0" applyNumberFormat="1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176" fontId="26" fillId="3" borderId="9" xfId="0" applyNumberFormat="1" applyFont="1" applyFill="1" applyBorder="1" applyAlignment="1">
      <alignment horizontal="center"/>
    </xf>
    <xf numFmtId="176" fontId="26" fillId="8" borderId="9" xfId="0" applyNumberFormat="1" applyFont="1" applyFill="1" applyBorder="1" applyAlignment="1">
      <alignment horizontal="center"/>
    </xf>
    <xf numFmtId="176" fontId="26" fillId="7" borderId="9" xfId="0" applyNumberFormat="1" applyFont="1" applyFill="1" applyBorder="1" applyAlignment="1">
      <alignment horizontal="center"/>
    </xf>
    <xf numFmtId="176" fontId="26" fillId="4" borderId="9" xfId="0" applyNumberFormat="1" applyFont="1" applyFill="1" applyBorder="1" applyAlignment="1">
      <alignment horizontal="center"/>
    </xf>
    <xf numFmtId="14" fontId="26" fillId="4" borderId="9" xfId="0" applyNumberFormat="1" applyFont="1" applyFill="1" applyBorder="1" applyAlignment="1">
      <alignment horizontal="center"/>
    </xf>
    <xf numFmtId="176" fontId="26" fillId="0" borderId="0" xfId="0" applyNumberFormat="1" applyFont="1"/>
    <xf numFmtId="0" fontId="0" fillId="9" borderId="7" xfId="0" quotePrefix="1" applyFill="1" applyBorder="1" applyAlignment="1">
      <alignment horizontal="center"/>
    </xf>
    <xf numFmtId="3" fontId="26" fillId="9" borderId="9" xfId="0" quotePrefix="1" applyNumberFormat="1" applyFont="1" applyFill="1" applyBorder="1" applyAlignment="1">
      <alignment horizontal="center"/>
    </xf>
    <xf numFmtId="176" fontId="26" fillId="9" borderId="9" xfId="1" applyFont="1" applyFill="1" applyBorder="1" applyAlignment="1">
      <alignment horizontal="center"/>
    </xf>
    <xf numFmtId="0" fontId="26" fillId="9" borderId="9" xfId="0" applyFont="1" applyFill="1" applyBorder="1" applyAlignment="1">
      <alignment horizontal="center"/>
    </xf>
    <xf numFmtId="0" fontId="0" fillId="9" borderId="0" xfId="0" applyFill="1"/>
    <xf numFmtId="17" fontId="0" fillId="0" borderId="11" xfId="0" applyNumberFormat="1" applyBorder="1" applyAlignment="1">
      <alignment horizontal="center"/>
    </xf>
    <xf numFmtId="176" fontId="26" fillId="10" borderId="9" xfId="0" applyNumberFormat="1" applyFont="1" applyFill="1" applyBorder="1" applyAlignment="1">
      <alignment horizontal="center"/>
    </xf>
    <xf numFmtId="176" fontId="26" fillId="5" borderId="9" xfId="0" applyNumberFormat="1" applyFont="1" applyFill="1" applyBorder="1" applyAlignment="1">
      <alignment horizontal="center"/>
    </xf>
    <xf numFmtId="0" fontId="0" fillId="4" borderId="7" xfId="0" applyFill="1" applyBorder="1"/>
    <xf numFmtId="176" fontId="26" fillId="11" borderId="9" xfId="0" applyNumberFormat="1" applyFont="1" applyFill="1" applyBorder="1" applyAlignment="1">
      <alignment horizontal="center"/>
    </xf>
    <xf numFmtId="176" fontId="26" fillId="0" borderId="15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0" fillId="0" borderId="0" xfId="0" applyAlignment="1">
      <alignment horizontal="left"/>
    </xf>
    <xf numFmtId="176" fontId="26" fillId="5" borderId="15" xfId="0" applyNumberFormat="1" applyFont="1" applyFill="1" applyBorder="1" applyAlignment="1">
      <alignment horizontal="center"/>
    </xf>
    <xf numFmtId="176" fontId="26" fillId="12" borderId="15" xfId="0" applyNumberFormat="1" applyFont="1" applyFill="1" applyBorder="1" applyAlignment="1">
      <alignment horizontal="center"/>
    </xf>
    <xf numFmtId="0" fontId="26" fillId="0" borderId="0" xfId="100" applyFont="1"/>
    <xf numFmtId="0" fontId="26" fillId="0" borderId="0" xfId="100" applyFont="1" applyAlignment="1">
      <alignment horizontal="left" vertical="center"/>
    </xf>
    <xf numFmtId="176" fontId="26" fillId="0" borderId="0" xfId="101" applyFont="1"/>
    <xf numFmtId="0" fontId="17" fillId="0" borderId="0" xfId="100" applyAlignment="1">
      <alignment horizontal="center"/>
    </xf>
    <xf numFmtId="0" fontId="26" fillId="0" borderId="0" xfId="100" applyFont="1" applyAlignment="1">
      <alignment horizontal="center"/>
    </xf>
    <xf numFmtId="176" fontId="26" fillId="0" borderId="0" xfId="101" applyFont="1" applyAlignment="1">
      <alignment horizontal="center"/>
    </xf>
    <xf numFmtId="0" fontId="38" fillId="0" borderId="0" xfId="100" applyFont="1" applyAlignment="1">
      <alignment horizontal="center" vertical="center" wrapText="1"/>
    </xf>
    <xf numFmtId="176" fontId="26" fillId="0" borderId="0" xfId="102" applyFont="1" applyAlignment="1">
      <alignment horizontal="center"/>
    </xf>
    <xf numFmtId="0" fontId="39" fillId="0" borderId="1" xfId="100" applyFont="1" applyBorder="1" applyAlignment="1">
      <alignment horizontal="center" vertical="center" wrapText="1"/>
    </xf>
    <xf numFmtId="17" fontId="40" fillId="0" borderId="1" xfId="100" applyNumberFormat="1" applyFont="1" applyBorder="1" applyAlignment="1">
      <alignment horizontal="center" vertical="center" wrapText="1"/>
    </xf>
    <xf numFmtId="176" fontId="40" fillId="0" borderId="1" xfId="101" applyFont="1" applyBorder="1" applyAlignment="1">
      <alignment horizontal="center" vertical="center" wrapText="1"/>
    </xf>
    <xf numFmtId="0" fontId="39" fillId="2" borderId="1" xfId="100" applyFont="1" applyFill="1" applyBorder="1" applyAlignment="1">
      <alignment horizontal="center" vertical="center" wrapText="1"/>
    </xf>
    <xf numFmtId="14" fontId="17" fillId="0" borderId="9" xfId="104" applyNumberFormat="1" applyBorder="1" applyAlignment="1">
      <alignment horizontal="center"/>
    </xf>
    <xf numFmtId="0" fontId="17" fillId="0" borderId="7" xfId="100" quotePrefix="1" applyBorder="1" applyAlignment="1">
      <alignment horizontal="center"/>
    </xf>
    <xf numFmtId="0" fontId="17" fillId="0" borderId="15" xfId="100" quotePrefix="1" applyBorder="1" applyAlignment="1">
      <alignment horizontal="center"/>
    </xf>
    <xf numFmtId="0" fontId="31" fillId="0" borderId="18" xfId="100" applyFont="1" applyBorder="1" applyAlignment="1">
      <alignment horizontal="center"/>
    </xf>
    <xf numFmtId="0" fontId="26" fillId="0" borderId="18" xfId="100" applyFont="1" applyBorder="1" applyAlignment="1">
      <alignment horizontal="left" vertical="center"/>
    </xf>
    <xf numFmtId="0" fontId="26" fillId="0" borderId="18" xfId="100" applyFont="1" applyBorder="1" applyAlignment="1">
      <alignment horizontal="center"/>
    </xf>
    <xf numFmtId="176" fontId="26" fillId="0" borderId="18" xfId="101" applyFont="1" applyBorder="1" applyAlignment="1">
      <alignment horizontal="center"/>
    </xf>
    <xf numFmtId="176" fontId="31" fillId="2" borderId="6" xfId="11" applyFont="1" applyFill="1" applyBorder="1" applyAlignment="1">
      <alignment horizontal="center"/>
    </xf>
    <xf numFmtId="0" fontId="31" fillId="0" borderId="6" xfId="11" applyNumberFormat="1" applyFont="1" applyFill="1" applyBorder="1" applyAlignment="1">
      <alignment horizontal="center"/>
    </xf>
    <xf numFmtId="0" fontId="26" fillId="0" borderId="6" xfId="100" applyFont="1" applyBorder="1" applyAlignment="1">
      <alignment horizontal="center"/>
    </xf>
    <xf numFmtId="0" fontId="26" fillId="0" borderId="16" xfId="100" applyFont="1" applyBorder="1" applyAlignment="1">
      <alignment horizontal="center"/>
    </xf>
    <xf numFmtId="0" fontId="39" fillId="0" borderId="15" xfId="100" applyFont="1" applyBorder="1" applyAlignment="1">
      <alignment horizontal="center"/>
    </xf>
    <xf numFmtId="17" fontId="17" fillId="0" borderId="9" xfId="104" applyNumberFormat="1" applyBorder="1" applyAlignment="1">
      <alignment horizontal="center"/>
    </xf>
    <xf numFmtId="0" fontId="41" fillId="0" borderId="0" xfId="100" applyFont="1" applyAlignment="1">
      <alignment horizontal="center"/>
    </xf>
    <xf numFmtId="176" fontId="17" fillId="0" borderId="9" xfId="101" applyBorder="1" applyAlignment="1">
      <alignment horizontal="center"/>
    </xf>
    <xf numFmtId="176" fontId="26" fillId="2" borderId="9" xfId="11" applyFill="1" applyBorder="1" applyAlignment="1">
      <alignment horizontal="center"/>
    </xf>
    <xf numFmtId="0" fontId="26" fillId="0" borderId="9" xfId="11" applyNumberFormat="1" applyFill="1" applyBorder="1" applyAlignment="1">
      <alignment horizontal="center"/>
    </xf>
    <xf numFmtId="176" fontId="26" fillId="0" borderId="9" xfId="100" applyNumberFormat="1" applyFont="1" applyBorder="1" applyAlignment="1">
      <alignment horizontal="center"/>
    </xf>
    <xf numFmtId="0" fontId="26" fillId="0" borderId="7" xfId="100" applyFont="1" applyBorder="1" applyAlignment="1">
      <alignment horizontal="center"/>
    </xf>
    <xf numFmtId="2" fontId="26" fillId="0" borderId="0" xfId="100" applyNumberFormat="1" applyFont="1"/>
    <xf numFmtId="0" fontId="17" fillId="0" borderId="9" xfId="104" applyBorder="1" applyAlignment="1">
      <alignment horizontal="center"/>
    </xf>
    <xf numFmtId="0" fontId="26" fillId="0" borderId="9" xfId="100" applyFont="1" applyBorder="1" applyAlignment="1">
      <alignment horizontal="center"/>
    </xf>
    <xf numFmtId="0" fontId="26" fillId="0" borderId="23" xfId="100" applyFont="1" applyBorder="1" applyAlignment="1">
      <alignment horizontal="center"/>
    </xf>
    <xf numFmtId="17" fontId="17" fillId="0" borderId="15" xfId="104" applyNumberFormat="1" applyBorder="1" applyAlignment="1">
      <alignment horizontal="center"/>
    </xf>
    <xf numFmtId="176" fontId="17" fillId="0" borderId="15" xfId="101" applyBorder="1" applyAlignment="1">
      <alignment horizontal="center"/>
    </xf>
    <xf numFmtId="0" fontId="17" fillId="0" borderId="15" xfId="100" applyBorder="1" applyAlignment="1">
      <alignment horizontal="center"/>
    </xf>
    <xf numFmtId="176" fontId="0" fillId="0" borderId="15" xfId="101" applyFont="1" applyBorder="1" applyAlignment="1">
      <alignment horizontal="center"/>
    </xf>
    <xf numFmtId="16" fontId="26" fillId="0" borderId="9" xfId="100" applyNumberFormat="1" applyFont="1" applyBorder="1" applyAlignment="1">
      <alignment horizontal="center"/>
    </xf>
    <xf numFmtId="0" fontId="26" fillId="0" borderId="13" xfId="100" applyFont="1" applyBorder="1" applyAlignment="1">
      <alignment horizontal="center"/>
    </xf>
    <xf numFmtId="0" fontId="43" fillId="0" borderId="19" xfId="100" applyFont="1" applyBorder="1" applyAlignment="1">
      <alignment horizontal="center"/>
    </xf>
    <xf numFmtId="0" fontId="26" fillId="0" borderId="19" xfId="100" applyFont="1" applyBorder="1" applyAlignment="1">
      <alignment horizontal="center"/>
    </xf>
    <xf numFmtId="176" fontId="26" fillId="0" borderId="19" xfId="101" applyFont="1" applyBorder="1" applyAlignment="1">
      <alignment horizontal="center"/>
    </xf>
    <xf numFmtId="176" fontId="26" fillId="2" borderId="8" xfId="11" applyFill="1" applyBorder="1" applyAlignment="1">
      <alignment horizontal="center"/>
    </xf>
    <xf numFmtId="0" fontId="26" fillId="0" borderId="8" xfId="11" applyNumberFormat="1" applyFill="1" applyBorder="1" applyAlignment="1">
      <alignment horizontal="center"/>
    </xf>
    <xf numFmtId="0" fontId="26" fillId="0" borderId="8" xfId="100" applyFont="1" applyBorder="1" applyAlignment="1">
      <alignment horizontal="center"/>
    </xf>
    <xf numFmtId="0" fontId="17" fillId="0" borderId="0" xfId="100" quotePrefix="1" applyAlignment="1">
      <alignment horizontal="center"/>
    </xf>
    <xf numFmtId="176" fontId="26" fillId="2" borderId="0" xfId="11" applyFill="1" applyAlignment="1">
      <alignment horizontal="center"/>
    </xf>
    <xf numFmtId="0" fontId="26" fillId="0" borderId="0" xfId="11" applyNumberFormat="1" applyFill="1" applyAlignment="1">
      <alignment horizontal="center"/>
    </xf>
    <xf numFmtId="176" fontId="26" fillId="2" borderId="2" xfId="11" applyFill="1" applyBorder="1" applyAlignment="1">
      <alignment horizontal="center"/>
    </xf>
    <xf numFmtId="0" fontId="26" fillId="0" borderId="2" xfId="11" applyNumberFormat="1" applyFill="1" applyBorder="1" applyAlignment="1">
      <alignment horizontal="center"/>
    </xf>
    <xf numFmtId="176" fontId="26" fillId="0" borderId="2" xfId="11" applyFill="1" applyBorder="1" applyAlignment="1">
      <alignment horizontal="center"/>
    </xf>
    <xf numFmtId="176" fontId="26" fillId="0" borderId="0" xfId="11" applyAlignment="1">
      <alignment horizontal="center"/>
    </xf>
    <xf numFmtId="176" fontId="26" fillId="0" borderId="0" xfId="100" applyNumberFormat="1" applyFont="1" applyAlignment="1">
      <alignment horizontal="center"/>
    </xf>
    <xf numFmtId="0" fontId="44" fillId="0" borderId="0" xfId="0" applyFont="1"/>
    <xf numFmtId="0" fontId="44" fillId="0" borderId="0" xfId="0" applyFont="1" applyAlignment="1">
      <alignment horizontal="center"/>
    </xf>
    <xf numFmtId="177" fontId="26" fillId="0" borderId="0" xfId="0" applyNumberFormat="1" applyFont="1" applyAlignment="1">
      <alignment horizontal="center"/>
    </xf>
    <xf numFmtId="0" fontId="45" fillId="0" borderId="1" xfId="0" applyFont="1" applyBorder="1" applyAlignment="1">
      <alignment horizontal="center"/>
    </xf>
    <xf numFmtId="177" fontId="45" fillId="0" borderId="1" xfId="0" applyNumberFormat="1" applyFont="1" applyBorder="1" applyAlignment="1">
      <alignment horizontal="center"/>
    </xf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177" fontId="26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6" fillId="4" borderId="1" xfId="0" applyFont="1" applyFill="1" applyBorder="1"/>
    <xf numFmtId="0" fontId="0" fillId="4" borderId="1" xfId="0" applyFill="1" applyBorder="1"/>
    <xf numFmtId="0" fontId="2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7" fontId="26" fillId="4" borderId="1" xfId="0" applyNumberFormat="1" applyFont="1" applyFill="1" applyBorder="1" applyAlignment="1">
      <alignment horizontal="center"/>
    </xf>
    <xf numFmtId="178" fontId="26" fillId="0" borderId="1" xfId="0" applyNumberFormat="1" applyFont="1" applyBorder="1" applyAlignment="1">
      <alignment horizontal="center"/>
    </xf>
    <xf numFmtId="0" fontId="26" fillId="2" borderId="1" xfId="0" applyFont="1" applyFill="1" applyBorder="1"/>
    <xf numFmtId="178" fontId="26" fillId="4" borderId="1" xfId="0" applyNumberFormat="1" applyFont="1" applyFill="1" applyBorder="1" applyAlignment="1">
      <alignment horizontal="center"/>
    </xf>
    <xf numFmtId="0" fontId="26" fillId="0" borderId="1" xfId="0" quotePrefix="1" applyFont="1" applyBorder="1"/>
    <xf numFmtId="0" fontId="26" fillId="0" borderId="1" xfId="0" quotePrefix="1" applyFont="1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26" fillId="3" borderId="1" xfId="0" applyFont="1" applyFill="1" applyBorder="1"/>
    <xf numFmtId="1" fontId="26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1" fontId="26" fillId="4" borderId="1" xfId="0" applyNumberFormat="1" applyFont="1" applyFill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6" fillId="4" borderId="1" xfId="0" applyFont="1" applyFill="1" applyBorder="1" applyAlignment="1">
      <alignment horizontal="center"/>
    </xf>
    <xf numFmtId="178" fontId="46" fillId="0" borderId="1" xfId="0" applyNumberFormat="1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6" fillId="13" borderId="1" xfId="0" applyFont="1" applyFill="1" applyBorder="1"/>
    <xf numFmtId="0" fontId="45" fillId="14" borderId="1" xfId="0" applyFont="1" applyFill="1" applyBorder="1" applyAlignment="1">
      <alignment horizontal="center"/>
    </xf>
    <xf numFmtId="0" fontId="26" fillId="14" borderId="1" xfId="0" applyFont="1" applyFill="1" applyBorder="1"/>
    <xf numFmtId="0" fontId="0" fillId="14" borderId="1" xfId="0" applyFill="1" applyBorder="1"/>
    <xf numFmtId="0" fontId="26" fillId="14" borderId="1" xfId="0" quotePrefix="1" applyFont="1" applyFill="1" applyBorder="1"/>
    <xf numFmtId="0" fontId="0" fillId="14" borderId="1" xfId="0" quotePrefix="1" applyFill="1" applyBorder="1"/>
    <xf numFmtId="17" fontId="17" fillId="0" borderId="9" xfId="104" applyNumberFormat="1" applyBorder="1" applyAlignment="1">
      <alignment horizontal="left" vertical="center"/>
    </xf>
    <xf numFmtId="17" fontId="17" fillId="0" borderId="15" xfId="104" applyNumberFormat="1" applyBorder="1" applyAlignment="1">
      <alignment horizontal="left" vertical="center"/>
    </xf>
    <xf numFmtId="0" fontId="17" fillId="0" borderId="15" xfId="100" applyBorder="1" applyAlignment="1">
      <alignment horizontal="left" vertical="center"/>
    </xf>
    <xf numFmtId="0" fontId="42" fillId="0" borderId="19" xfId="100" applyFont="1" applyBorder="1" applyAlignment="1">
      <alignment horizontal="left" vertical="center"/>
    </xf>
    <xf numFmtId="0" fontId="42" fillId="0" borderId="7" xfId="0" quotePrefix="1" applyFont="1" applyBorder="1" applyAlignment="1">
      <alignment horizontal="center"/>
    </xf>
    <xf numFmtId="0" fontId="33" fillId="0" borderId="15" xfId="100" quotePrefix="1" applyFont="1" applyBorder="1" applyAlignment="1">
      <alignment horizontal="center"/>
    </xf>
    <xf numFmtId="0" fontId="33" fillId="12" borderId="7" xfId="100" quotePrefix="1" applyFont="1" applyFill="1" applyBorder="1" applyAlignment="1">
      <alignment horizontal="center"/>
    </xf>
    <xf numFmtId="0" fontId="33" fillId="0" borderId="7" xfId="100" quotePrefix="1" applyFont="1" applyBorder="1" applyAlignment="1">
      <alignment horizontal="center"/>
    </xf>
    <xf numFmtId="0" fontId="33" fillId="0" borderId="8" xfId="100" quotePrefix="1" applyFont="1" applyBorder="1" applyAlignment="1">
      <alignment horizontal="center"/>
    </xf>
    <xf numFmtId="0" fontId="33" fillId="0" borderId="19" xfId="100" quotePrefix="1" applyFont="1" applyBorder="1" applyAlignment="1">
      <alignment horizontal="center"/>
    </xf>
    <xf numFmtId="176" fontId="43" fillId="2" borderId="12" xfId="1" applyFont="1" applyFill="1" applyBorder="1" applyAlignment="1">
      <alignment horizontal="center" vertical="center" wrapText="1"/>
    </xf>
    <xf numFmtId="176" fontId="26" fillId="15" borderId="9" xfId="11" applyFill="1" applyBorder="1" applyAlignment="1">
      <alignment horizontal="center"/>
    </xf>
    <xf numFmtId="176" fontId="47" fillId="0" borderId="0" xfId="102" applyFont="1" applyAlignment="1">
      <alignment vertical="center"/>
    </xf>
    <xf numFmtId="0" fontId="26" fillId="0" borderId="0" xfId="100" applyFont="1" applyAlignment="1">
      <alignment horizontal="left"/>
    </xf>
    <xf numFmtId="0" fontId="33" fillId="0" borderId="0" xfId="103" applyFont="1" applyAlignment="1">
      <alignment horizontal="left" vertical="top" wrapText="1"/>
    </xf>
    <xf numFmtId="0" fontId="26" fillId="0" borderId="24" xfId="100" applyFont="1" applyBorder="1" applyAlignment="1">
      <alignment horizontal="left"/>
    </xf>
    <xf numFmtId="2" fontId="42" fillId="0" borderId="24" xfId="100" applyNumberFormat="1" applyFont="1" applyBorder="1" applyAlignment="1">
      <alignment horizontal="left"/>
    </xf>
    <xf numFmtId="2" fontId="17" fillId="0" borderId="24" xfId="100" applyNumberFormat="1" applyBorder="1" applyAlignment="1">
      <alignment horizontal="left"/>
    </xf>
    <xf numFmtId="2" fontId="17" fillId="0" borderId="0" xfId="100" applyNumberFormat="1" applyAlignment="1">
      <alignment horizontal="left"/>
    </xf>
    <xf numFmtId="0" fontId="48" fillId="0" borderId="0" xfId="0" applyFont="1" applyAlignment="1">
      <alignment horizontal="center"/>
    </xf>
    <xf numFmtId="0" fontId="48" fillId="0" borderId="0" xfId="0" quotePrefix="1" applyFont="1" applyAlignment="1">
      <alignment horizontal="center"/>
    </xf>
    <xf numFmtId="176" fontId="48" fillId="0" borderId="0" xfId="1" applyFont="1" applyAlignment="1">
      <alignment horizontal="center"/>
    </xf>
    <xf numFmtId="0" fontId="49" fillId="0" borderId="12" xfId="4" applyFont="1" applyBorder="1" applyAlignment="1" applyProtection="1">
      <alignment horizontal="center"/>
      <protection locked="0"/>
    </xf>
    <xf numFmtId="0" fontId="50" fillId="0" borderId="7" xfId="3" applyFont="1" applyBorder="1" applyAlignment="1">
      <alignment horizontal="center"/>
    </xf>
    <xf numFmtId="0" fontId="50" fillId="9" borderId="14" xfId="3" applyFont="1" applyFill="1" applyBorder="1" applyAlignment="1">
      <alignment horizontal="center"/>
    </xf>
    <xf numFmtId="0" fontId="51" fillId="0" borderId="8" xfId="0" applyFont="1" applyBorder="1" applyAlignment="1">
      <alignment horizontal="center"/>
    </xf>
    <xf numFmtId="17" fontId="40" fillId="5" borderId="1" xfId="100" applyNumberFormat="1" applyFont="1" applyFill="1" applyBorder="1" applyAlignment="1">
      <alignment horizontal="center" vertical="center" wrapText="1"/>
    </xf>
    <xf numFmtId="17" fontId="40" fillId="14" borderId="1" xfId="100" applyNumberFormat="1" applyFont="1" applyFill="1" applyBorder="1" applyAlignment="1">
      <alignment horizontal="center" vertical="center" wrapText="1"/>
    </xf>
    <xf numFmtId="49" fontId="26" fillId="0" borderId="0" xfId="100" applyNumberFormat="1" applyFont="1" applyAlignment="1">
      <alignment horizontal="center"/>
    </xf>
    <xf numFmtId="17" fontId="40" fillId="16" borderId="1" xfId="100" applyNumberFormat="1" applyFont="1" applyFill="1" applyBorder="1" applyAlignment="1">
      <alignment horizontal="center" vertical="center" wrapText="1"/>
    </xf>
    <xf numFmtId="0" fontId="26" fillId="16" borderId="18" xfId="100" applyFont="1" applyFill="1" applyBorder="1" applyAlignment="1">
      <alignment horizontal="center"/>
    </xf>
    <xf numFmtId="17" fontId="17" fillId="16" borderId="9" xfId="104" applyNumberFormat="1" applyFill="1" applyBorder="1" applyAlignment="1">
      <alignment horizontal="center"/>
    </xf>
    <xf numFmtId="17" fontId="0" fillId="16" borderId="9" xfId="104" applyNumberFormat="1" applyFont="1" applyFill="1" applyBorder="1" applyAlignment="1">
      <alignment horizontal="center"/>
    </xf>
    <xf numFmtId="17" fontId="17" fillId="16" borderId="15" xfId="104" applyNumberFormat="1" applyFill="1" applyBorder="1" applyAlignment="1">
      <alignment horizontal="center"/>
    </xf>
    <xf numFmtId="0" fontId="17" fillId="16" borderId="15" xfId="100" applyFill="1" applyBorder="1" applyAlignment="1">
      <alignment horizontal="center"/>
    </xf>
    <xf numFmtId="0" fontId="26" fillId="16" borderId="19" xfId="100" applyFont="1" applyFill="1" applyBorder="1" applyAlignment="1">
      <alignment horizontal="center"/>
    </xf>
    <xf numFmtId="0" fontId="39" fillId="0" borderId="1" xfId="0" applyFont="1" applyBorder="1" applyAlignment="1">
      <alignment horizontal="center" vertical="center" wrapText="1"/>
    </xf>
    <xf numFmtId="178" fontId="26" fillId="0" borderId="0" xfId="100" applyNumberFormat="1" applyFont="1" applyAlignment="1">
      <alignment horizontal="center"/>
    </xf>
    <xf numFmtId="0" fontId="33" fillId="12" borderId="15" xfId="100" quotePrefix="1" applyFont="1" applyFill="1" applyBorder="1" applyAlignment="1">
      <alignment horizontal="center"/>
    </xf>
    <xf numFmtId="0" fontId="39" fillId="12" borderId="15" xfId="100" applyFont="1" applyFill="1" applyBorder="1" applyAlignment="1">
      <alignment horizontal="center"/>
    </xf>
    <xf numFmtId="17" fontId="17" fillId="12" borderId="9" xfId="104" applyNumberFormat="1" applyFill="1" applyBorder="1" applyAlignment="1">
      <alignment horizontal="left" vertical="center"/>
    </xf>
    <xf numFmtId="2" fontId="42" fillId="0" borderId="0" xfId="100" applyNumberFormat="1" applyFont="1" applyAlignment="1">
      <alignment horizontal="left"/>
    </xf>
    <xf numFmtId="0" fontId="26" fillId="0" borderId="11" xfId="100" applyFont="1" applyBorder="1" applyAlignment="1">
      <alignment horizontal="center"/>
    </xf>
    <xf numFmtId="17" fontId="52" fillId="0" borderId="9" xfId="3" applyNumberFormat="1" applyFont="1" applyBorder="1" applyAlignment="1">
      <alignment horizontal="center"/>
    </xf>
    <xf numFmtId="176" fontId="52" fillId="2" borderId="9" xfId="1" applyFont="1" applyFill="1" applyBorder="1" applyAlignment="1">
      <alignment horizontal="center"/>
    </xf>
    <xf numFmtId="0" fontId="55" fillId="0" borderId="7" xfId="0" quotePrefix="1" applyFont="1" applyBorder="1" applyAlignment="1">
      <alignment horizontal="center"/>
    </xf>
    <xf numFmtId="0" fontId="55" fillId="3" borderId="7" xfId="0" applyFont="1" applyFill="1" applyBorder="1" applyAlignment="1">
      <alignment horizontal="center"/>
    </xf>
    <xf numFmtId="0" fontId="55" fillId="3" borderId="11" xfId="0" quotePrefix="1" applyFont="1" applyFill="1" applyBorder="1" applyAlignment="1">
      <alignment horizontal="center"/>
    </xf>
    <xf numFmtId="0" fontId="55" fillId="0" borderId="11" xfId="0" quotePrefix="1" applyFont="1" applyBorder="1" applyAlignment="1">
      <alignment horizontal="center"/>
    </xf>
    <xf numFmtId="14" fontId="52" fillId="0" borderId="9" xfId="3" applyNumberFormat="1" applyFont="1" applyBorder="1" applyAlignment="1">
      <alignment horizontal="center"/>
    </xf>
    <xf numFmtId="0" fontId="55" fillId="0" borderId="7" xfId="0" applyFont="1" applyBorder="1" applyAlignment="1">
      <alignment horizontal="center"/>
    </xf>
    <xf numFmtId="176" fontId="55" fillId="2" borderId="9" xfId="1" applyFont="1" applyFill="1" applyBorder="1" applyAlignment="1">
      <alignment horizontal="center"/>
    </xf>
    <xf numFmtId="0" fontId="55" fillId="0" borderId="21" xfId="0" applyFont="1" applyBorder="1" applyAlignment="1">
      <alignment horizontal="center" vertical="center" wrapText="1"/>
    </xf>
    <xf numFmtId="0" fontId="55" fillId="0" borderId="9" xfId="0" quotePrefix="1" applyFont="1" applyBorder="1" applyAlignment="1">
      <alignment horizontal="center"/>
    </xf>
    <xf numFmtId="17" fontId="55" fillId="0" borderId="7" xfId="0" applyNumberFormat="1" applyFont="1" applyBorder="1" applyAlignment="1">
      <alignment horizontal="center"/>
    </xf>
    <xf numFmtId="0" fontId="32" fillId="0" borderId="0" xfId="0" quotePrefix="1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14" borderId="1" xfId="0" applyFont="1" applyFill="1" applyBorder="1" applyAlignment="1">
      <alignment horizontal="left" vertical="center"/>
    </xf>
    <xf numFmtId="0" fontId="26" fillId="0" borderId="25" xfId="100" applyFont="1" applyBorder="1" applyAlignment="1">
      <alignment horizontal="center"/>
    </xf>
    <xf numFmtId="0" fontId="26" fillId="0" borderId="26" xfId="100" applyFont="1" applyBorder="1" applyAlignment="1">
      <alignment horizontal="center"/>
    </xf>
    <xf numFmtId="0" fontId="26" fillId="0" borderId="27" xfId="100" applyFont="1" applyBorder="1" applyAlignment="1">
      <alignment horizontal="center"/>
    </xf>
    <xf numFmtId="176" fontId="26" fillId="0" borderId="27" xfId="11" applyFill="1" applyBorder="1" applyAlignment="1">
      <alignment horizontal="center"/>
    </xf>
    <xf numFmtId="0" fontId="26" fillId="0" borderId="27" xfId="11" applyNumberFormat="1" applyFill="1" applyBorder="1" applyAlignment="1">
      <alignment horizontal="center"/>
    </xf>
    <xf numFmtId="0" fontId="26" fillId="0" borderId="28" xfId="100" applyFont="1" applyBorder="1" applyAlignment="1">
      <alignment horizontal="center"/>
    </xf>
    <xf numFmtId="17" fontId="0" fillId="0" borderId="0" xfId="0" applyNumberFormat="1" applyAlignment="1">
      <alignment vertical="center"/>
    </xf>
    <xf numFmtId="17" fontId="0" fillId="0" borderId="11" xfId="0" applyNumberFormat="1" applyBorder="1" applyAlignment="1">
      <alignment horizontal="center" vertical="center"/>
    </xf>
    <xf numFmtId="17" fontId="0" fillId="0" borderId="0" xfId="0" applyNumberFormat="1" applyAlignment="1">
      <alignment vertical="center" wrapText="1"/>
    </xf>
    <xf numFmtId="17" fontId="26" fillId="0" borderId="0" xfId="0" applyNumberFormat="1" applyFont="1"/>
    <xf numFmtId="17" fontId="50" fillId="0" borderId="9" xfId="3" applyNumberFormat="1" applyFont="1" applyBorder="1" applyAlignment="1">
      <alignment horizontal="center"/>
    </xf>
    <xf numFmtId="17" fontId="51" fillId="0" borderId="9" xfId="0" quotePrefix="1" applyNumberFormat="1" applyFont="1" applyBorder="1" applyAlignment="1">
      <alignment horizontal="center"/>
    </xf>
    <xf numFmtId="17" fontId="50" fillId="0" borderId="14" xfId="3" applyNumberFormat="1" applyFont="1" applyBorder="1" applyAlignment="1">
      <alignment horizontal="center"/>
    </xf>
    <xf numFmtId="17" fontId="50" fillId="0" borderId="7" xfId="3" applyNumberFormat="1" applyFont="1" applyBorder="1" applyAlignment="1">
      <alignment horizontal="center"/>
    </xf>
    <xf numFmtId="17" fontId="51" fillId="0" borderId="11" xfId="0" applyNumberFormat="1" applyFont="1" applyBorder="1" applyAlignment="1">
      <alignment horizontal="center"/>
    </xf>
    <xf numFmtId="17" fontId="51" fillId="0" borderId="9" xfId="0" applyNumberFormat="1" applyFont="1" applyBorder="1" applyAlignment="1">
      <alignment horizontal="center"/>
    </xf>
    <xf numFmtId="17" fontId="50" fillId="0" borderId="11" xfId="3" applyNumberFormat="1" applyFont="1" applyBorder="1" applyAlignment="1">
      <alignment horizontal="center"/>
    </xf>
    <xf numFmtId="17" fontId="50" fillId="3" borderId="9" xfId="3" applyNumberFormat="1" applyFont="1" applyFill="1" applyBorder="1" applyAlignment="1">
      <alignment horizontal="center"/>
    </xf>
    <xf numFmtId="17" fontId="39" fillId="0" borderId="15" xfId="100" applyNumberFormat="1" applyFont="1" applyBorder="1" applyAlignment="1">
      <alignment horizontal="center"/>
    </xf>
    <xf numFmtId="17" fontId="50" fillId="9" borderId="14" xfId="3" applyNumberFormat="1" applyFont="1" applyFill="1" applyBorder="1" applyAlignment="1">
      <alignment horizontal="center"/>
    </xf>
    <xf numFmtId="17" fontId="51" fillId="0" borderId="8" xfId="0" applyNumberFormat="1" applyFont="1" applyBorder="1" applyAlignment="1">
      <alignment horizontal="center"/>
    </xf>
    <xf numFmtId="17" fontId="52" fillId="0" borderId="7" xfId="3" applyNumberFormat="1" applyFont="1" applyBorder="1" applyAlignment="1">
      <alignment horizontal="center"/>
    </xf>
    <xf numFmtId="0" fontId="26" fillId="0" borderId="9" xfId="0" applyFont="1" applyBorder="1" applyAlignment="1">
      <alignment horizontal="left"/>
    </xf>
    <xf numFmtId="17" fontId="52" fillId="17" borderId="9" xfId="3" applyNumberFormat="1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57" fillId="0" borderId="9" xfId="3" applyFont="1" applyBorder="1" applyAlignment="1">
      <alignment horizontal="center"/>
    </xf>
    <xf numFmtId="0" fontId="58" fillId="0" borderId="9" xfId="0" quotePrefix="1" applyFont="1" applyBorder="1" applyAlignment="1">
      <alignment horizontal="center"/>
    </xf>
    <xf numFmtId="0" fontId="57" fillId="0" borderId="7" xfId="3" applyFont="1" applyBorder="1" applyAlignment="1">
      <alignment horizontal="center"/>
    </xf>
    <xf numFmtId="0" fontId="57" fillId="0" borderId="14" xfId="3" applyFont="1" applyBorder="1" applyAlignment="1">
      <alignment horizontal="center"/>
    </xf>
    <xf numFmtId="0" fontId="58" fillId="0" borderId="9" xfId="0" applyFont="1" applyBorder="1" applyAlignment="1">
      <alignment horizontal="center"/>
    </xf>
    <xf numFmtId="0" fontId="57" fillId="3" borderId="9" xfId="3" applyFont="1" applyFill="1" applyBorder="1" applyAlignment="1">
      <alignment horizontal="center"/>
    </xf>
    <xf numFmtId="0" fontId="59" fillId="0" borderId="9" xfId="3" applyFont="1" applyBorder="1" applyAlignment="1">
      <alignment horizontal="center"/>
    </xf>
    <xf numFmtId="0" fontId="60" fillId="0" borderId="9" xfId="0" quotePrefix="1" applyFont="1" applyBorder="1" applyAlignment="1">
      <alignment horizontal="center"/>
    </xf>
    <xf numFmtId="0" fontId="59" fillId="0" borderId="7" xfId="3" applyFont="1" applyBorder="1" applyAlignment="1">
      <alignment horizontal="center"/>
    </xf>
    <xf numFmtId="0" fontId="59" fillId="0" borderId="14" xfId="3" applyFont="1" applyBorder="1" applyAlignment="1">
      <alignment horizontal="center"/>
    </xf>
    <xf numFmtId="0" fontId="60" fillId="0" borderId="7" xfId="0" applyFont="1" applyBorder="1" applyAlignment="1">
      <alignment horizontal="center"/>
    </xf>
    <xf numFmtId="0" fontId="60" fillId="0" borderId="9" xfId="0" applyFont="1" applyBorder="1" applyAlignment="1">
      <alignment horizontal="center"/>
    </xf>
    <xf numFmtId="0" fontId="59" fillId="3" borderId="9" xfId="3" applyFont="1" applyFill="1" applyBorder="1" applyAlignment="1">
      <alignment horizontal="center"/>
    </xf>
    <xf numFmtId="0" fontId="59" fillId="0" borderId="15" xfId="100" applyFont="1" applyBorder="1" applyAlignment="1">
      <alignment horizontal="center"/>
    </xf>
    <xf numFmtId="14" fontId="30" fillId="0" borderId="9" xfId="3" applyNumberFormat="1" applyFont="1" applyBorder="1" applyAlignment="1">
      <alignment horizontal="center"/>
    </xf>
    <xf numFmtId="0" fontId="61" fillId="0" borderId="7" xfId="0" quotePrefix="1" applyFont="1" applyBorder="1" applyAlignment="1">
      <alignment horizontal="center"/>
    </xf>
    <xf numFmtId="0" fontId="61" fillId="0" borderId="9" xfId="0" quotePrefix="1" applyFont="1" applyBorder="1" applyAlignment="1">
      <alignment horizontal="center"/>
    </xf>
    <xf numFmtId="3" fontId="61" fillId="0" borderId="9" xfId="0" quotePrefix="1" applyNumberFormat="1" applyFont="1" applyBorder="1" applyAlignment="1">
      <alignment horizontal="center"/>
    </xf>
    <xf numFmtId="0" fontId="61" fillId="0" borderId="7" xfId="0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1" fillId="3" borderId="7" xfId="0" applyFont="1" applyFill="1" applyBorder="1" applyAlignment="1">
      <alignment horizontal="center"/>
    </xf>
    <xf numFmtId="0" fontId="61" fillId="3" borderId="11" xfId="0" quotePrefix="1" applyFont="1" applyFill="1" applyBorder="1" applyAlignment="1">
      <alignment horizontal="center"/>
    </xf>
    <xf numFmtId="14" fontId="62" fillId="0" borderId="9" xfId="3" applyNumberFormat="1" applyFont="1" applyBorder="1" applyAlignment="1">
      <alignment horizontal="center"/>
    </xf>
    <xf numFmtId="0" fontId="63" fillId="0" borderId="7" xfId="0" quotePrefix="1" applyFont="1" applyBorder="1" applyAlignment="1">
      <alignment horizontal="center"/>
    </xf>
    <xf numFmtId="0" fontId="63" fillId="0" borderId="9" xfId="0" quotePrefix="1" applyFont="1" applyBorder="1" applyAlignment="1">
      <alignment horizontal="center"/>
    </xf>
    <xf numFmtId="3" fontId="63" fillId="0" borderId="9" xfId="0" quotePrefix="1" applyNumberFormat="1" applyFont="1" applyBorder="1" applyAlignment="1">
      <alignment horizontal="center"/>
    </xf>
    <xf numFmtId="14" fontId="62" fillId="0" borderId="7" xfId="3" applyNumberFormat="1" applyFont="1" applyBorder="1" applyAlignment="1">
      <alignment horizontal="center"/>
    </xf>
    <xf numFmtId="0" fontId="63" fillId="0" borderId="11" xfId="0" quotePrefix="1" applyFont="1" applyBorder="1" applyAlignment="1">
      <alignment horizontal="center"/>
    </xf>
    <xf numFmtId="14" fontId="62" fillId="0" borderId="23" xfId="3" applyNumberFormat="1" applyFont="1" applyBorder="1" applyAlignment="1">
      <alignment horizontal="center"/>
    </xf>
    <xf numFmtId="14" fontId="63" fillId="0" borderId="23" xfId="0" applyNumberFormat="1" applyFont="1" applyBorder="1" applyAlignment="1">
      <alignment horizontal="center"/>
    </xf>
    <xf numFmtId="14" fontId="63" fillId="0" borderId="14" xfId="0" applyNumberFormat="1" applyFont="1" applyBorder="1" applyAlignment="1">
      <alignment horizontal="center"/>
    </xf>
    <xf numFmtId="0" fontId="63" fillId="0" borderId="7" xfId="0" applyFont="1" applyBorder="1" applyAlignment="1">
      <alignment horizontal="center"/>
    </xf>
    <xf numFmtId="0" fontId="63" fillId="0" borderId="9" xfId="0" applyFont="1" applyBorder="1" applyAlignment="1">
      <alignment horizontal="center"/>
    </xf>
    <xf numFmtId="0" fontId="63" fillId="0" borderId="13" xfId="0" applyFont="1" applyBorder="1" applyAlignment="1">
      <alignment horizontal="center"/>
    </xf>
    <xf numFmtId="14" fontId="63" fillId="0" borderId="22" xfId="0" applyNumberFormat="1" applyFont="1" applyBorder="1" applyAlignment="1">
      <alignment horizontal="center"/>
    </xf>
    <xf numFmtId="0" fontId="63" fillId="3" borderId="7" xfId="0" applyFont="1" applyFill="1" applyBorder="1" applyAlignment="1">
      <alignment horizontal="center"/>
    </xf>
    <xf numFmtId="0" fontId="63" fillId="3" borderId="11" xfId="0" quotePrefix="1" applyFont="1" applyFill="1" applyBorder="1" applyAlignment="1">
      <alignment horizontal="center"/>
    </xf>
    <xf numFmtId="14" fontId="64" fillId="0" borderId="22" xfId="0" applyNumberFormat="1" applyFont="1" applyBorder="1" applyAlignment="1">
      <alignment horizontal="center"/>
    </xf>
    <xf numFmtId="0" fontId="64" fillId="3" borderId="7" xfId="0" applyFont="1" applyFill="1" applyBorder="1" applyAlignment="1">
      <alignment horizontal="center"/>
    </xf>
    <xf numFmtId="0" fontId="64" fillId="3" borderId="11" xfId="0" quotePrefix="1" applyFont="1" applyFill="1" applyBorder="1" applyAlignment="1">
      <alignment horizontal="center"/>
    </xf>
    <xf numFmtId="0" fontId="64" fillId="0" borderId="11" xfId="0" quotePrefix="1" applyFont="1" applyBorder="1" applyAlignment="1">
      <alignment horizontal="center"/>
    </xf>
    <xf numFmtId="14" fontId="30" fillId="4" borderId="9" xfId="3" applyNumberFormat="1" applyFont="1" applyFill="1" applyBorder="1" applyAlignment="1">
      <alignment horizontal="center"/>
    </xf>
    <xf numFmtId="0" fontId="61" fillId="4" borderId="7" xfId="0" quotePrefix="1" applyFont="1" applyFill="1" applyBorder="1" applyAlignment="1">
      <alignment horizontal="center"/>
    </xf>
    <xf numFmtId="0" fontId="61" fillId="4" borderId="9" xfId="0" quotePrefix="1" applyFont="1" applyFill="1" applyBorder="1" applyAlignment="1">
      <alignment horizontal="center"/>
    </xf>
    <xf numFmtId="0" fontId="65" fillId="0" borderId="21" xfId="0" applyFont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57" fillId="4" borderId="9" xfId="3" applyFont="1" applyFill="1" applyBorder="1" applyAlignment="1">
      <alignment horizontal="center"/>
    </xf>
    <xf numFmtId="0" fontId="66" fillId="0" borderId="9" xfId="0" applyFont="1" applyBorder="1" applyAlignment="1">
      <alignment horizontal="center"/>
    </xf>
    <xf numFmtId="0" fontId="58" fillId="0" borderId="7" xfId="0" applyFont="1" applyBorder="1" applyAlignment="1">
      <alignment horizontal="center" vertical="center"/>
    </xf>
    <xf numFmtId="0" fontId="42" fillId="18" borderId="7" xfId="0" quotePrefix="1" applyFont="1" applyFill="1" applyBorder="1" applyAlignment="1">
      <alignment horizontal="center"/>
    </xf>
    <xf numFmtId="0" fontId="33" fillId="18" borderId="15" xfId="100" quotePrefix="1" applyFont="1" applyFill="1" applyBorder="1" applyAlignment="1">
      <alignment horizontal="center"/>
    </xf>
    <xf numFmtId="0" fontId="39" fillId="18" borderId="15" xfId="100" applyFont="1" applyFill="1" applyBorder="1" applyAlignment="1">
      <alignment horizontal="center"/>
    </xf>
    <xf numFmtId="17" fontId="17" fillId="18" borderId="9" xfId="104" applyNumberFormat="1" applyFill="1" applyBorder="1" applyAlignment="1">
      <alignment horizontal="center"/>
    </xf>
    <xf numFmtId="17" fontId="67" fillId="0" borderId="9" xfId="104" applyNumberFormat="1" applyFont="1" applyBorder="1" applyAlignment="1">
      <alignment horizontal="center"/>
    </xf>
    <xf numFmtId="17" fontId="41" fillId="0" borderId="9" xfId="104" applyNumberFormat="1" applyFont="1" applyBorder="1" applyAlignment="1">
      <alignment horizontal="left" vertical="center"/>
    </xf>
    <xf numFmtId="17" fontId="41" fillId="0" borderId="9" xfId="104" applyNumberFormat="1" applyFont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3" fontId="26" fillId="0" borderId="8" xfId="0" applyNumberFormat="1" applyFont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17" fontId="57" fillId="0" borderId="9" xfId="3" applyNumberFormat="1" applyFont="1" applyBorder="1" applyAlignment="1">
      <alignment horizontal="center"/>
    </xf>
    <xf numFmtId="17" fontId="57" fillId="4" borderId="9" xfId="3" applyNumberFormat="1" applyFont="1" applyFill="1" applyBorder="1" applyAlignment="1">
      <alignment horizontal="center"/>
    </xf>
    <xf numFmtId="17" fontId="57" fillId="3" borderId="9" xfId="3" applyNumberFormat="1" applyFont="1" applyFill="1" applyBorder="1" applyAlignment="1">
      <alignment horizontal="center"/>
    </xf>
    <xf numFmtId="17" fontId="57" fillId="9" borderId="9" xfId="3" applyNumberFormat="1" applyFont="1" applyFill="1" applyBorder="1" applyAlignment="1">
      <alignment horizontal="center"/>
    </xf>
    <xf numFmtId="17" fontId="57" fillId="0" borderId="8" xfId="3" applyNumberFormat="1" applyFont="1" applyBorder="1" applyAlignment="1">
      <alignment horizontal="center"/>
    </xf>
    <xf numFmtId="0" fontId="63" fillId="0" borderId="13" xfId="0" quotePrefix="1" applyFont="1" applyBorder="1" applyAlignment="1">
      <alignment horizontal="center"/>
    </xf>
    <xf numFmtId="0" fontId="59" fillId="0" borderId="11" xfId="3" applyFont="1" applyBorder="1" applyAlignment="1">
      <alignment horizontal="center"/>
    </xf>
    <xf numFmtId="14" fontId="62" fillId="0" borderId="11" xfId="3" applyNumberFormat="1" applyFont="1" applyBorder="1" applyAlignment="1">
      <alignment horizontal="center"/>
    </xf>
    <xf numFmtId="14" fontId="62" fillId="0" borderId="14" xfId="3" applyNumberFormat="1" applyFont="1" applyBorder="1" applyAlignment="1">
      <alignment horizontal="center"/>
    </xf>
    <xf numFmtId="14" fontId="62" fillId="0" borderId="15" xfId="3" applyNumberFormat="1" applyFont="1" applyBorder="1" applyAlignment="1">
      <alignment horizontal="center"/>
    </xf>
    <xf numFmtId="0" fontId="0" fillId="0" borderId="11" xfId="0" applyBorder="1"/>
    <xf numFmtId="0" fontId="49" fillId="6" borderId="12" xfId="4" applyFont="1" applyFill="1" applyBorder="1" applyAlignment="1" applyProtection="1">
      <alignment horizontal="center"/>
      <protection locked="0"/>
    </xf>
    <xf numFmtId="17" fontId="50" fillId="6" borderId="11" xfId="3" applyNumberFormat="1" applyFont="1" applyFill="1" applyBorder="1" applyAlignment="1">
      <alignment horizontal="center"/>
    </xf>
    <xf numFmtId="17" fontId="50" fillId="6" borderId="9" xfId="3" applyNumberFormat="1" applyFont="1" applyFill="1" applyBorder="1" applyAlignment="1">
      <alignment horizontal="center"/>
    </xf>
    <xf numFmtId="17" fontId="51" fillId="6" borderId="9" xfId="0" quotePrefix="1" applyNumberFormat="1" applyFont="1" applyFill="1" applyBorder="1" applyAlignment="1">
      <alignment horizontal="center"/>
    </xf>
    <xf numFmtId="0" fontId="31" fillId="19" borderId="7" xfId="100" applyFont="1" applyFill="1" applyBorder="1" applyAlignment="1">
      <alignment horizontal="center"/>
    </xf>
    <xf numFmtId="17" fontId="41" fillId="0" borderId="7" xfId="3" applyNumberFormat="1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36" fillId="0" borderId="27" xfId="0" applyFont="1" applyBorder="1" applyAlignment="1">
      <alignment horizontal="center" vertical="center" wrapText="1"/>
    </xf>
    <xf numFmtId="17" fontId="57" fillId="0" borderId="27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6" fillId="0" borderId="27" xfId="0" quotePrefix="1" applyFont="1" applyBorder="1" applyAlignment="1">
      <alignment horizontal="center"/>
    </xf>
    <xf numFmtId="14" fontId="0" fillId="0" borderId="27" xfId="0" applyNumberFormat="1" applyBorder="1" applyAlignment="1">
      <alignment horizontal="center" vertical="center" wrapText="1"/>
    </xf>
    <xf numFmtId="0" fontId="26" fillId="0" borderId="30" xfId="0" applyFont="1" applyBorder="1" applyAlignment="1">
      <alignment horizontal="center"/>
    </xf>
    <xf numFmtId="17" fontId="57" fillId="0" borderId="30" xfId="3" applyNumberFormat="1" applyFont="1" applyBorder="1" applyAlignment="1">
      <alignment horizontal="center"/>
    </xf>
    <xf numFmtId="40" fontId="26" fillId="0" borderId="8" xfId="0" applyNumberFormat="1" applyFont="1" applyBorder="1" applyAlignment="1">
      <alignment horizontal="center"/>
    </xf>
    <xf numFmtId="40" fontId="26" fillId="0" borderId="8" xfId="0" applyNumberFormat="1" applyFont="1" applyBorder="1" applyAlignment="1">
      <alignment horizontal="right"/>
    </xf>
    <xf numFmtId="0" fontId="26" fillId="0" borderId="0" xfId="105" applyFont="1" applyAlignment="1">
      <alignment horizontal="center"/>
    </xf>
    <xf numFmtId="0" fontId="26" fillId="0" borderId="0" xfId="105" applyFont="1" applyAlignment="1">
      <alignment horizontal="left" vertical="center"/>
    </xf>
    <xf numFmtId="176" fontId="26" fillId="0" borderId="0" xfId="106" applyFont="1" applyAlignment="1">
      <alignment horizontal="center"/>
    </xf>
    <xf numFmtId="0" fontId="26" fillId="0" borderId="0" xfId="105" applyFont="1" applyAlignment="1">
      <alignment horizontal="left"/>
    </xf>
    <xf numFmtId="0" fontId="26" fillId="0" borderId="0" xfId="105" applyFont="1"/>
    <xf numFmtId="176" fontId="26" fillId="0" borderId="0" xfId="106" applyFont="1"/>
    <xf numFmtId="0" fontId="16" fillId="0" borderId="0" xfId="105" applyAlignment="1">
      <alignment horizontal="center"/>
    </xf>
    <xf numFmtId="0" fontId="38" fillId="0" borderId="0" xfId="105" applyFont="1" applyAlignment="1">
      <alignment horizontal="center" vertical="center" wrapText="1"/>
    </xf>
    <xf numFmtId="176" fontId="47" fillId="0" borderId="0" xfId="107" applyFont="1" applyAlignment="1">
      <alignment vertical="center"/>
    </xf>
    <xf numFmtId="176" fontId="26" fillId="0" borderId="0" xfId="107" applyFont="1" applyAlignment="1">
      <alignment horizontal="center"/>
    </xf>
    <xf numFmtId="0" fontId="39" fillId="0" borderId="1" xfId="105" applyFont="1" applyBorder="1" applyAlignment="1">
      <alignment horizontal="center" vertical="center" wrapText="1"/>
    </xf>
    <xf numFmtId="17" fontId="40" fillId="0" borderId="1" xfId="105" applyNumberFormat="1" applyFont="1" applyBorder="1" applyAlignment="1">
      <alignment horizontal="center" vertical="center" wrapText="1"/>
    </xf>
    <xf numFmtId="176" fontId="40" fillId="0" borderId="1" xfId="106" applyFont="1" applyBorder="1" applyAlignment="1">
      <alignment horizontal="center" vertical="center" wrapText="1"/>
    </xf>
    <xf numFmtId="0" fontId="39" fillId="2" borderId="1" xfId="105" applyFont="1" applyFill="1" applyBorder="1" applyAlignment="1">
      <alignment horizontal="center" vertical="center" wrapText="1"/>
    </xf>
    <xf numFmtId="176" fontId="43" fillId="2" borderId="12" xfId="106" applyFont="1" applyFill="1" applyBorder="1" applyAlignment="1">
      <alignment horizontal="center" vertical="center" wrapText="1"/>
    </xf>
    <xf numFmtId="0" fontId="33" fillId="0" borderId="0" xfId="108" applyFont="1" applyAlignment="1">
      <alignment horizontal="left" vertical="top" wrapText="1"/>
    </xf>
    <xf numFmtId="0" fontId="33" fillId="0" borderId="15" xfId="105" quotePrefix="1" applyFont="1" applyBorder="1" applyAlignment="1">
      <alignment horizontal="center"/>
    </xf>
    <xf numFmtId="0" fontId="26" fillId="0" borderId="7" xfId="105" applyFont="1" applyBorder="1" applyAlignment="1">
      <alignment horizontal="center"/>
    </xf>
    <xf numFmtId="0" fontId="26" fillId="0" borderId="23" xfId="105" applyFont="1" applyBorder="1" applyAlignment="1">
      <alignment horizontal="center"/>
    </xf>
    <xf numFmtId="0" fontId="16" fillId="0" borderId="15" xfId="105" applyBorder="1" applyAlignment="1">
      <alignment horizontal="left" vertical="center"/>
    </xf>
    <xf numFmtId="0" fontId="26" fillId="0" borderId="0" xfId="111" applyFont="1" applyAlignment="1">
      <alignment horizontal="center"/>
    </xf>
    <xf numFmtId="0" fontId="26" fillId="0" borderId="0" xfId="111" applyFont="1" applyAlignment="1">
      <alignment horizontal="left" vertical="center"/>
    </xf>
    <xf numFmtId="176" fontId="26" fillId="0" borderId="0" xfId="112" applyFont="1" applyAlignment="1">
      <alignment horizontal="center"/>
    </xf>
    <xf numFmtId="0" fontId="26" fillId="0" borderId="0" xfId="111" applyFont="1" applyAlignment="1">
      <alignment horizontal="left"/>
    </xf>
    <xf numFmtId="0" fontId="26" fillId="0" borderId="0" xfId="111" applyFont="1"/>
    <xf numFmtId="176" fontId="26" fillId="0" borderId="0" xfId="112" applyFont="1"/>
    <xf numFmtId="0" fontId="15" fillId="0" borderId="0" xfId="111" applyAlignment="1">
      <alignment horizontal="center"/>
    </xf>
    <xf numFmtId="0" fontId="38" fillId="0" borderId="0" xfId="111" applyFont="1" applyAlignment="1">
      <alignment horizontal="center" vertical="center" wrapText="1"/>
    </xf>
    <xf numFmtId="176" fontId="47" fillId="0" borderId="0" xfId="113" applyFont="1" applyAlignment="1">
      <alignment vertical="center"/>
    </xf>
    <xf numFmtId="176" fontId="26" fillId="0" borderId="0" xfId="113" applyFont="1" applyAlignment="1">
      <alignment horizontal="center"/>
    </xf>
    <xf numFmtId="0" fontId="39" fillId="0" borderId="1" xfId="111" applyFont="1" applyBorder="1" applyAlignment="1">
      <alignment horizontal="center" vertical="center" wrapText="1"/>
    </xf>
    <xf numFmtId="17" fontId="40" fillId="0" borderId="1" xfId="111" applyNumberFormat="1" applyFont="1" applyBorder="1" applyAlignment="1">
      <alignment horizontal="center" vertical="center" wrapText="1"/>
    </xf>
    <xf numFmtId="176" fontId="40" fillId="0" borderId="1" xfId="112" applyFont="1" applyBorder="1" applyAlignment="1">
      <alignment horizontal="center" vertical="center" wrapText="1"/>
    </xf>
    <xf numFmtId="0" fontId="39" fillId="2" borderId="1" xfId="111" applyFont="1" applyFill="1" applyBorder="1" applyAlignment="1">
      <alignment horizontal="center" vertical="center" wrapText="1"/>
    </xf>
    <xf numFmtId="176" fontId="43" fillId="2" borderId="12" xfId="112" applyFont="1" applyFill="1" applyBorder="1" applyAlignment="1">
      <alignment horizontal="center" vertical="center" wrapText="1"/>
    </xf>
    <xf numFmtId="0" fontId="33" fillId="0" borderId="0" xfId="114" applyFont="1" applyAlignment="1">
      <alignment horizontal="left" vertical="top" wrapText="1"/>
    </xf>
    <xf numFmtId="14" fontId="15" fillId="0" borderId="9" xfId="115" applyNumberFormat="1" applyBorder="1" applyAlignment="1">
      <alignment horizontal="center"/>
    </xf>
    <xf numFmtId="0" fontId="15" fillId="0" borderId="7" xfId="111" quotePrefix="1" applyBorder="1" applyAlignment="1">
      <alignment horizontal="center"/>
    </xf>
    <xf numFmtId="0" fontId="15" fillId="0" borderId="15" xfId="111" quotePrefix="1" applyBorder="1" applyAlignment="1">
      <alignment horizontal="center"/>
    </xf>
    <xf numFmtId="0" fontId="31" fillId="0" borderId="18" xfId="111" applyFont="1" applyBorder="1" applyAlignment="1">
      <alignment horizontal="center"/>
    </xf>
    <xf numFmtId="0" fontId="26" fillId="0" borderId="18" xfId="111" applyFont="1" applyBorder="1" applyAlignment="1">
      <alignment horizontal="left" vertical="center"/>
    </xf>
    <xf numFmtId="0" fontId="26" fillId="0" borderId="18" xfId="111" applyFont="1" applyBorder="1" applyAlignment="1">
      <alignment horizontal="center"/>
    </xf>
    <xf numFmtId="176" fontId="26" fillId="0" borderId="18" xfId="112" applyFont="1" applyBorder="1" applyAlignment="1">
      <alignment horizontal="center"/>
    </xf>
    <xf numFmtId="0" fontId="26" fillId="0" borderId="6" xfId="111" applyFont="1" applyBorder="1" applyAlignment="1">
      <alignment horizontal="center"/>
    </xf>
    <xf numFmtId="0" fontId="26" fillId="0" borderId="16" xfId="111" applyFont="1" applyBorder="1" applyAlignment="1">
      <alignment horizontal="center"/>
    </xf>
    <xf numFmtId="0" fontId="26" fillId="0" borderId="24" xfId="111" applyFont="1" applyBorder="1" applyAlignment="1">
      <alignment horizontal="left"/>
    </xf>
    <xf numFmtId="0" fontId="33" fillId="0" borderId="15" xfId="111" quotePrefix="1" applyFont="1" applyBorder="1" applyAlignment="1">
      <alignment horizontal="center"/>
    </xf>
    <xf numFmtId="0" fontId="39" fillId="0" borderId="15" xfId="111" applyFont="1" applyBorder="1" applyAlignment="1">
      <alignment horizontal="center"/>
    </xf>
    <xf numFmtId="17" fontId="15" fillId="0" borderId="9" xfId="115" applyNumberFormat="1" applyBorder="1" applyAlignment="1">
      <alignment horizontal="left" vertical="center"/>
    </xf>
    <xf numFmtId="176" fontId="15" fillId="0" borderId="9" xfId="112" applyBorder="1" applyAlignment="1">
      <alignment horizontal="center"/>
    </xf>
    <xf numFmtId="176" fontId="26" fillId="0" borderId="9" xfId="111" applyNumberFormat="1" applyFont="1" applyBorder="1" applyAlignment="1">
      <alignment horizontal="center"/>
    </xf>
    <xf numFmtId="0" fontId="26" fillId="0" borderId="7" xfId="111" applyFont="1" applyBorder="1" applyAlignment="1">
      <alignment horizontal="center"/>
    </xf>
    <xf numFmtId="2" fontId="42" fillId="0" borderId="24" xfId="111" applyNumberFormat="1" applyFont="1" applyBorder="1" applyAlignment="1">
      <alignment horizontal="left"/>
    </xf>
    <xf numFmtId="2" fontId="26" fillId="0" borderId="0" xfId="111" applyNumberFormat="1" applyFont="1"/>
    <xf numFmtId="0" fontId="26" fillId="0" borderId="9" xfId="111" applyFont="1" applyBorder="1" applyAlignment="1">
      <alignment horizontal="center"/>
    </xf>
    <xf numFmtId="0" fontId="26" fillId="0" borderId="23" xfId="111" applyFont="1" applyBorder="1" applyAlignment="1">
      <alignment horizontal="center"/>
    </xf>
    <xf numFmtId="2" fontId="15" fillId="0" borderId="24" xfId="111" applyNumberFormat="1" applyBorder="1" applyAlignment="1">
      <alignment horizontal="left"/>
    </xf>
    <xf numFmtId="17" fontId="15" fillId="0" borderId="0" xfId="116" applyNumberFormat="1" applyAlignment="1"/>
    <xf numFmtId="17" fontId="15" fillId="0" borderId="15" xfId="115" applyNumberFormat="1" applyBorder="1" applyAlignment="1">
      <alignment horizontal="left" vertical="center"/>
    </xf>
    <xf numFmtId="0" fontId="15" fillId="0" borderId="15" xfId="111" applyBorder="1" applyAlignment="1">
      <alignment horizontal="left" vertical="center"/>
    </xf>
    <xf numFmtId="0" fontId="15" fillId="0" borderId="15" xfId="111" applyBorder="1" applyAlignment="1">
      <alignment horizontal="center"/>
    </xf>
    <xf numFmtId="176" fontId="0" fillId="0" borderId="15" xfId="112" applyFont="1" applyBorder="1" applyAlignment="1">
      <alignment horizontal="center"/>
    </xf>
    <xf numFmtId="0" fontId="33" fillId="12" borderId="7" xfId="111" quotePrefix="1" applyFont="1" applyFill="1" applyBorder="1" applyAlignment="1">
      <alignment horizontal="center"/>
    </xf>
    <xf numFmtId="17" fontId="15" fillId="0" borderId="9" xfId="115" applyNumberFormat="1" applyBorder="1" applyAlignment="1">
      <alignment horizontal="center"/>
    </xf>
    <xf numFmtId="0" fontId="33" fillId="0" borderId="7" xfId="111" quotePrefix="1" applyFont="1" applyBorder="1" applyAlignment="1">
      <alignment horizontal="center"/>
    </xf>
    <xf numFmtId="16" fontId="26" fillId="0" borderId="9" xfId="111" applyNumberFormat="1" applyFont="1" applyBorder="1" applyAlignment="1">
      <alignment horizontal="center"/>
    </xf>
    <xf numFmtId="2" fontId="15" fillId="0" borderId="0" xfId="111" applyNumberFormat="1" applyAlignment="1">
      <alignment horizontal="left"/>
    </xf>
    <xf numFmtId="0" fontId="26" fillId="0" borderId="13" xfId="111" applyFont="1" applyBorder="1" applyAlignment="1">
      <alignment horizontal="center"/>
    </xf>
    <xf numFmtId="0" fontId="33" fillId="0" borderId="8" xfId="111" quotePrefix="1" applyFont="1" applyBorder="1" applyAlignment="1">
      <alignment horizontal="center"/>
    </xf>
    <xf numFmtId="0" fontId="33" fillId="0" borderId="19" xfId="111" quotePrefix="1" applyFont="1" applyBorder="1" applyAlignment="1">
      <alignment horizontal="center"/>
    </xf>
    <xf numFmtId="0" fontId="43" fillId="0" borderId="19" xfId="111" applyFont="1" applyBorder="1" applyAlignment="1">
      <alignment horizontal="center"/>
    </xf>
    <xf numFmtId="0" fontId="42" fillId="0" borderId="19" xfId="111" applyFont="1" applyBorder="1" applyAlignment="1">
      <alignment horizontal="left" vertical="center"/>
    </xf>
    <xf numFmtId="0" fontId="26" fillId="0" borderId="19" xfId="111" applyFont="1" applyBorder="1" applyAlignment="1">
      <alignment horizontal="center"/>
    </xf>
    <xf numFmtId="176" fontId="26" fillId="0" borderId="19" xfId="112" applyFont="1" applyBorder="1" applyAlignment="1">
      <alignment horizontal="center"/>
    </xf>
    <xf numFmtId="0" fontId="26" fillId="0" borderId="8" xfId="111" applyFont="1" applyBorder="1" applyAlignment="1">
      <alignment horizontal="center"/>
    </xf>
    <xf numFmtId="0" fontId="15" fillId="0" borderId="0" xfId="111" quotePrefix="1" applyAlignment="1">
      <alignment horizontal="center"/>
    </xf>
    <xf numFmtId="176" fontId="26" fillId="0" borderId="0" xfId="111" applyNumberFormat="1" applyFont="1" applyAlignment="1">
      <alignment horizontal="center"/>
    </xf>
    <xf numFmtId="17" fontId="39" fillId="0" borderId="15" xfId="111" applyNumberFormat="1" applyFont="1" applyBorder="1" applyAlignment="1">
      <alignment horizontal="center"/>
    </xf>
    <xf numFmtId="17" fontId="43" fillId="0" borderId="19" xfId="111" applyNumberFormat="1" applyFont="1" applyBorder="1" applyAlignment="1">
      <alignment horizontal="center"/>
    </xf>
    <xf numFmtId="3" fontId="41" fillId="0" borderId="0" xfId="111" applyNumberFormat="1" applyFont="1" applyAlignment="1">
      <alignment horizontal="center"/>
    </xf>
    <xf numFmtId="176" fontId="26" fillId="0" borderId="7" xfId="100" applyNumberFormat="1" applyFont="1" applyBorder="1" applyAlignment="1">
      <alignment horizontal="center"/>
    </xf>
    <xf numFmtId="0" fontId="26" fillId="0" borderId="20" xfId="100" applyFont="1" applyBorder="1" applyAlignment="1">
      <alignment horizontal="center"/>
    </xf>
    <xf numFmtId="16" fontId="26" fillId="0" borderId="7" xfId="111" applyNumberFormat="1" applyFont="1" applyBorder="1" applyAlignment="1">
      <alignment horizontal="center"/>
    </xf>
    <xf numFmtId="176" fontId="43" fillId="2" borderId="12" xfId="113" applyFont="1" applyFill="1" applyBorder="1" applyAlignment="1">
      <alignment horizontal="center" vertical="center" wrapText="1"/>
    </xf>
    <xf numFmtId="14" fontId="15" fillId="18" borderId="9" xfId="115" applyNumberFormat="1" applyFill="1" applyBorder="1" applyAlignment="1">
      <alignment horizontal="center"/>
    </xf>
    <xf numFmtId="0" fontId="33" fillId="18" borderId="15" xfId="105" quotePrefix="1" applyFont="1" applyFill="1" applyBorder="1" applyAlignment="1">
      <alignment horizontal="center"/>
    </xf>
    <xf numFmtId="17" fontId="15" fillId="18" borderId="9" xfId="115" applyNumberFormat="1" applyFill="1" applyBorder="1" applyAlignment="1">
      <alignment horizontal="left" vertical="center"/>
    </xf>
    <xf numFmtId="17" fontId="16" fillId="0" borderId="15" xfId="105" applyNumberFormat="1" applyBorder="1" applyAlignment="1">
      <alignment horizontal="left" vertical="center"/>
    </xf>
    <xf numFmtId="0" fontId="31" fillId="19" borderId="7" xfId="105" applyFont="1" applyFill="1" applyBorder="1" applyAlignment="1">
      <alignment horizontal="center"/>
    </xf>
    <xf numFmtId="0" fontId="26" fillId="0" borderId="7" xfId="11" applyNumberFormat="1" applyFill="1" applyBorder="1" applyAlignment="1">
      <alignment horizontal="center"/>
    </xf>
    <xf numFmtId="176" fontId="26" fillId="0" borderId="7" xfId="105" applyNumberFormat="1" applyFont="1" applyBorder="1" applyAlignment="1">
      <alignment horizontal="center"/>
    </xf>
    <xf numFmtId="0" fontId="26" fillId="0" borderId="31" xfId="105" applyFont="1" applyBorder="1" applyAlignment="1">
      <alignment horizontal="center"/>
    </xf>
    <xf numFmtId="0" fontId="32" fillId="0" borderId="1" xfId="0" applyFont="1" applyBorder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45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56" fillId="2" borderId="1" xfId="0" applyFont="1" applyFill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8" fillId="19" borderId="7" xfId="0" quotePrefix="1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48" fillId="0" borderId="0" xfId="0" applyFont="1" applyAlignment="1">
      <alignment horizontal="left"/>
    </xf>
    <xf numFmtId="176" fontId="48" fillId="0" borderId="0" xfId="1" applyFont="1" applyAlignment="1">
      <alignment horizontal="left"/>
    </xf>
    <xf numFmtId="0" fontId="48" fillId="0" borderId="0" xfId="0" quotePrefix="1" applyFont="1" applyAlignment="1">
      <alignment horizontal="left"/>
    </xf>
    <xf numFmtId="176" fontId="26" fillId="0" borderId="0" xfId="1" applyFont="1" applyAlignment="1">
      <alignment horizontal="left"/>
    </xf>
    <xf numFmtId="176" fontId="26" fillId="0" borderId="0" xfId="1" applyFont="1" applyFill="1" applyAlignment="1">
      <alignment horizontal="left"/>
    </xf>
    <xf numFmtId="0" fontId="63" fillId="0" borderId="0" xfId="0" applyFont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69" fillId="0" borderId="12" xfId="4" applyFont="1" applyBorder="1" applyAlignment="1" applyProtection="1">
      <alignment horizontal="center"/>
      <protection locked="0"/>
    </xf>
    <xf numFmtId="0" fontId="70" fillId="0" borderId="9" xfId="3" applyFont="1" applyBorder="1" applyAlignment="1">
      <alignment horizontal="center"/>
    </xf>
    <xf numFmtId="0" fontId="70" fillId="0" borderId="7" xfId="3" applyFont="1" applyBorder="1" applyAlignment="1">
      <alignment horizontal="center"/>
    </xf>
    <xf numFmtId="0" fontId="70" fillId="0" borderId="14" xfId="3" applyFont="1" applyBorder="1" applyAlignment="1">
      <alignment horizontal="center"/>
    </xf>
    <xf numFmtId="0" fontId="70" fillId="3" borderId="9" xfId="3" applyFont="1" applyFill="1" applyBorder="1" applyAlignment="1">
      <alignment horizontal="center"/>
    </xf>
    <xf numFmtId="0" fontId="70" fillId="0" borderId="27" xfId="3" applyFont="1" applyBorder="1" applyAlignment="1">
      <alignment horizontal="center"/>
    </xf>
    <xf numFmtId="0" fontId="71" fillId="0" borderId="30" xfId="0" applyFont="1" applyBorder="1" applyAlignment="1">
      <alignment horizontal="center"/>
    </xf>
    <xf numFmtId="0" fontId="50" fillId="0" borderId="1" xfId="100" applyFont="1" applyBorder="1" applyAlignment="1">
      <alignment horizontal="center" vertical="center" wrapText="1"/>
    </xf>
    <xf numFmtId="0" fontId="50" fillId="0" borderId="15" xfId="100" applyFont="1" applyBorder="1" applyAlignment="1">
      <alignment horizontal="center"/>
    </xf>
    <xf numFmtId="0" fontId="51" fillId="0" borderId="19" xfId="100" applyFont="1" applyBorder="1" applyAlignment="1">
      <alignment horizontal="center"/>
    </xf>
    <xf numFmtId="0" fontId="72" fillId="0" borderId="0" xfId="100" applyFont="1" applyAlignment="1">
      <alignment horizontal="center"/>
    </xf>
    <xf numFmtId="0" fontId="72" fillId="0" borderId="0" xfId="100" applyFont="1"/>
    <xf numFmtId="0" fontId="57" fillId="0" borderId="15" xfId="100" applyFont="1" applyBorder="1" applyAlignment="1">
      <alignment horizontal="center"/>
    </xf>
    <xf numFmtId="0" fontId="58" fillId="0" borderId="19" xfId="100" applyFont="1" applyBorder="1" applyAlignment="1">
      <alignment horizontal="center"/>
    </xf>
    <xf numFmtId="0" fontId="31" fillId="0" borderId="0" xfId="100" applyFont="1" applyAlignment="1">
      <alignment horizontal="center"/>
    </xf>
    <xf numFmtId="0" fontId="31" fillId="0" borderId="0" xfId="100" applyFont="1"/>
    <xf numFmtId="0" fontId="51" fillId="0" borderId="18" xfId="100" applyFont="1" applyBorder="1" applyAlignment="1">
      <alignment horizontal="center"/>
    </xf>
    <xf numFmtId="0" fontId="51" fillId="0" borderId="0" xfId="100" applyFont="1" applyAlignment="1">
      <alignment horizontal="center"/>
    </xf>
    <xf numFmtId="0" fontId="58" fillId="0" borderId="1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17" fontId="50" fillId="0" borderId="1" xfId="100" applyNumberFormat="1" applyFont="1" applyBorder="1" applyAlignment="1">
      <alignment horizontal="center" vertical="center" wrapText="1"/>
    </xf>
    <xf numFmtId="176" fontId="50" fillId="0" borderId="1" xfId="101" applyFont="1" applyBorder="1" applyAlignment="1">
      <alignment horizontal="center" vertical="center" wrapText="1"/>
    </xf>
    <xf numFmtId="17" fontId="50" fillId="5" borderId="1" xfId="100" applyNumberFormat="1" applyFont="1" applyFill="1" applyBorder="1" applyAlignment="1">
      <alignment horizontal="center" vertical="center" wrapText="1"/>
    </xf>
    <xf numFmtId="17" fontId="50" fillId="16" borderId="1" xfId="100" applyNumberFormat="1" applyFont="1" applyFill="1" applyBorder="1" applyAlignment="1">
      <alignment horizontal="center" vertical="center" wrapText="1"/>
    </xf>
    <xf numFmtId="17" fontId="50" fillId="14" borderId="1" xfId="100" applyNumberFormat="1" applyFont="1" applyFill="1" applyBorder="1" applyAlignment="1">
      <alignment horizontal="center" vertical="center" wrapText="1"/>
    </xf>
    <xf numFmtId="0" fontId="50" fillId="2" borderId="1" xfId="100" applyFont="1" applyFill="1" applyBorder="1" applyAlignment="1">
      <alignment horizontal="center" vertical="center" wrapText="1"/>
    </xf>
    <xf numFmtId="176" fontId="51" fillId="2" borderId="12" xfId="1" applyFont="1" applyFill="1" applyBorder="1" applyAlignment="1">
      <alignment horizontal="center" vertical="center" wrapText="1"/>
    </xf>
    <xf numFmtId="0" fontId="57" fillId="0" borderId="0" xfId="103" applyFont="1" applyAlignment="1">
      <alignment horizontal="left" vertical="top" wrapText="1"/>
    </xf>
    <xf numFmtId="0" fontId="58" fillId="0" borderId="0" xfId="100" applyFont="1"/>
    <xf numFmtId="0" fontId="58" fillId="0" borderId="0" xfId="100" applyFont="1" applyAlignment="1">
      <alignment horizontal="center"/>
    </xf>
    <xf numFmtId="14" fontId="57" fillId="0" borderId="9" xfId="104" applyNumberFormat="1" applyFont="1" applyBorder="1" applyAlignment="1">
      <alignment horizontal="center"/>
    </xf>
    <xf numFmtId="0" fontId="57" fillId="0" borderId="7" xfId="100" quotePrefix="1" applyFont="1" applyBorder="1" applyAlignment="1">
      <alignment horizontal="center"/>
    </xf>
    <xf numFmtId="0" fontId="57" fillId="0" borderId="15" xfId="100" quotePrefix="1" applyFont="1" applyBorder="1" applyAlignment="1">
      <alignment horizontal="center"/>
    </xf>
    <xf numFmtId="0" fontId="58" fillId="0" borderId="18" xfId="100" applyFont="1" applyBorder="1" applyAlignment="1">
      <alignment horizontal="left" vertical="center"/>
    </xf>
    <xf numFmtId="40" fontId="58" fillId="0" borderId="18" xfId="100" applyNumberFormat="1" applyFont="1" applyBorder="1" applyAlignment="1">
      <alignment horizontal="right" vertical="center"/>
    </xf>
    <xf numFmtId="0" fontId="58" fillId="0" borderId="18" xfId="100" applyFont="1" applyBorder="1" applyAlignment="1">
      <alignment horizontal="center"/>
    </xf>
    <xf numFmtId="0" fontId="58" fillId="16" borderId="18" xfId="100" applyFont="1" applyFill="1" applyBorder="1" applyAlignment="1">
      <alignment horizontal="center"/>
    </xf>
    <xf numFmtId="176" fontId="58" fillId="0" borderId="18" xfId="101" applyFont="1" applyBorder="1" applyAlignment="1">
      <alignment horizontal="center"/>
    </xf>
    <xf numFmtId="176" fontId="51" fillId="2" borderId="6" xfId="11" applyFont="1" applyFill="1" applyBorder="1" applyAlignment="1">
      <alignment horizontal="center"/>
    </xf>
    <xf numFmtId="0" fontId="51" fillId="0" borderId="6" xfId="11" applyNumberFormat="1" applyFont="1" applyFill="1" applyBorder="1" applyAlignment="1">
      <alignment horizontal="center"/>
    </xf>
    <xf numFmtId="0" fontId="58" fillId="0" borderId="6" xfId="100" applyFont="1" applyBorder="1" applyAlignment="1">
      <alignment horizontal="center"/>
    </xf>
    <xf numFmtId="0" fontId="58" fillId="0" borderId="16" xfId="100" applyFont="1" applyBorder="1" applyAlignment="1">
      <alignment horizontal="center"/>
    </xf>
    <xf numFmtId="0" fontId="58" fillId="0" borderId="24" xfId="100" applyFont="1" applyBorder="1" applyAlignment="1">
      <alignment horizontal="left"/>
    </xf>
    <xf numFmtId="14" fontId="57" fillId="0" borderId="9" xfId="3" applyNumberFormat="1" applyFont="1" applyBorder="1" applyAlignment="1">
      <alignment horizontal="center"/>
    </xf>
    <xf numFmtId="0" fontId="58" fillId="0" borderId="7" xfId="0" quotePrefix="1" applyFont="1" applyBorder="1" applyAlignment="1">
      <alignment horizontal="center"/>
    </xf>
    <xf numFmtId="17" fontId="50" fillId="0" borderId="9" xfId="100" applyNumberFormat="1" applyFont="1" applyBorder="1" applyAlignment="1">
      <alignment horizontal="center"/>
    </xf>
    <xf numFmtId="17" fontId="50" fillId="0" borderId="15" xfId="100" applyNumberFormat="1" applyFont="1" applyBorder="1" applyAlignment="1">
      <alignment horizontal="center"/>
    </xf>
    <xf numFmtId="17" fontId="57" fillId="0" borderId="9" xfId="3" applyNumberFormat="1" applyFont="1" applyBorder="1" applyAlignment="1">
      <alignment horizontal="left" vertical="center"/>
    </xf>
    <xf numFmtId="3" fontId="57" fillId="0" borderId="9" xfId="3" applyNumberFormat="1" applyFont="1" applyBorder="1" applyAlignment="1">
      <alignment horizontal="center"/>
    </xf>
    <xf numFmtId="40" fontId="57" fillId="0" borderId="9" xfId="3" applyNumberFormat="1" applyFont="1" applyBorder="1" applyAlignment="1">
      <alignment horizontal="right" vertical="center"/>
    </xf>
    <xf numFmtId="17" fontId="57" fillId="0" borderId="9" xfId="104" applyNumberFormat="1" applyFont="1" applyBorder="1" applyAlignment="1">
      <alignment horizontal="center"/>
    </xf>
    <xf numFmtId="17" fontId="57" fillId="16" borderId="9" xfId="104" applyNumberFormat="1" applyFont="1" applyFill="1" applyBorder="1" applyAlignment="1">
      <alignment horizontal="center"/>
    </xf>
    <xf numFmtId="17" fontId="58" fillId="16" borderId="9" xfId="104" applyNumberFormat="1" applyFont="1" applyFill="1" applyBorder="1" applyAlignment="1">
      <alignment horizontal="center"/>
    </xf>
    <xf numFmtId="0" fontId="73" fillId="0" borderId="0" xfId="100" applyFont="1" applyAlignment="1">
      <alignment horizontal="center"/>
    </xf>
    <xf numFmtId="176" fontId="57" fillId="0" borderId="9" xfId="101" applyFont="1" applyBorder="1" applyAlignment="1">
      <alignment horizontal="center"/>
    </xf>
    <xf numFmtId="176" fontId="58" fillId="2" borderId="9" xfId="11" applyFont="1" applyFill="1" applyBorder="1" applyAlignment="1">
      <alignment horizontal="center"/>
    </xf>
    <xf numFmtId="176" fontId="58" fillId="15" borderId="9" xfId="11" applyFont="1" applyFill="1" applyBorder="1" applyAlignment="1">
      <alignment horizontal="center"/>
    </xf>
    <xf numFmtId="0" fontId="58" fillId="0" borderId="9" xfId="11" applyNumberFormat="1" applyFont="1" applyFill="1" applyBorder="1" applyAlignment="1">
      <alignment horizontal="center"/>
    </xf>
    <xf numFmtId="176" fontId="57" fillId="0" borderId="9" xfId="101" applyFont="1" applyFill="1" applyBorder="1" applyAlignment="1">
      <alignment horizontal="center"/>
    </xf>
    <xf numFmtId="176" fontId="58" fillId="0" borderId="9" xfId="100" applyNumberFormat="1" applyFont="1" applyBorder="1" applyAlignment="1">
      <alignment horizontal="center"/>
    </xf>
    <xf numFmtId="0" fontId="58" fillId="0" borderId="7" xfId="100" applyFont="1" applyBorder="1" applyAlignment="1">
      <alignment horizontal="center"/>
    </xf>
    <xf numFmtId="2" fontId="58" fillId="0" borderId="24" xfId="100" applyNumberFormat="1" applyFont="1" applyBorder="1" applyAlignment="1">
      <alignment horizontal="left"/>
    </xf>
    <xf numFmtId="2" fontId="58" fillId="0" borderId="0" xfId="100" applyNumberFormat="1" applyFont="1"/>
    <xf numFmtId="40" fontId="57" fillId="0" borderId="9" xfId="3" applyNumberFormat="1" applyFont="1" applyBorder="1" applyAlignment="1">
      <alignment horizontal="right"/>
    </xf>
    <xf numFmtId="0" fontId="58" fillId="0" borderId="9" xfId="100" applyFont="1" applyBorder="1" applyAlignment="1">
      <alignment horizontal="center"/>
    </xf>
    <xf numFmtId="0" fontId="58" fillId="0" borderId="23" xfId="100" applyFont="1" applyBorder="1" applyAlignment="1">
      <alignment horizontal="center"/>
    </xf>
    <xf numFmtId="2" fontId="57" fillId="0" borderId="24" xfId="100" applyNumberFormat="1" applyFont="1" applyBorder="1" applyAlignment="1">
      <alignment horizontal="left"/>
    </xf>
    <xf numFmtId="17" fontId="57" fillId="0" borderId="9" xfId="104" applyNumberFormat="1" applyFont="1" applyBorder="1" applyAlignment="1">
      <alignment horizontal="left" vertical="center"/>
    </xf>
    <xf numFmtId="3" fontId="57" fillId="0" borderId="9" xfId="104" applyNumberFormat="1" applyFont="1" applyBorder="1" applyAlignment="1">
      <alignment horizontal="center"/>
    </xf>
    <xf numFmtId="40" fontId="57" fillId="0" borderId="9" xfId="104" applyNumberFormat="1" applyFont="1" applyBorder="1" applyAlignment="1">
      <alignment horizontal="right" vertical="center"/>
    </xf>
    <xf numFmtId="17" fontId="58" fillId="0" borderId="0" xfId="0" applyNumberFormat="1" applyFont="1"/>
    <xf numFmtId="17" fontId="50" fillId="0" borderId="7" xfId="100" applyNumberFormat="1" applyFont="1" applyBorder="1" applyAlignment="1">
      <alignment horizontal="center"/>
    </xf>
    <xf numFmtId="17" fontId="57" fillId="0" borderId="0" xfId="26" applyNumberFormat="1" applyFont="1" applyAlignment="1"/>
    <xf numFmtId="17" fontId="57" fillId="0" borderId="15" xfId="104" applyNumberFormat="1" applyFont="1" applyBorder="1" applyAlignment="1">
      <alignment horizontal="left" vertical="center"/>
    </xf>
    <xf numFmtId="3" fontId="57" fillId="0" borderId="15" xfId="104" applyNumberFormat="1" applyFont="1" applyBorder="1" applyAlignment="1">
      <alignment horizontal="center"/>
    </xf>
    <xf numFmtId="40" fontId="57" fillId="0" borderId="15" xfId="104" applyNumberFormat="1" applyFont="1" applyBorder="1" applyAlignment="1">
      <alignment horizontal="right" vertical="center"/>
    </xf>
    <xf numFmtId="17" fontId="57" fillId="0" borderId="15" xfId="104" applyNumberFormat="1" applyFont="1" applyBorder="1" applyAlignment="1">
      <alignment horizontal="center"/>
    </xf>
    <xf numFmtId="17" fontId="57" fillId="16" borderId="15" xfId="104" applyNumberFormat="1" applyFont="1" applyFill="1" applyBorder="1" applyAlignment="1">
      <alignment horizontal="center"/>
    </xf>
    <xf numFmtId="176" fontId="57" fillId="0" borderId="15" xfId="101" applyFont="1" applyBorder="1" applyAlignment="1">
      <alignment horizontal="center"/>
    </xf>
    <xf numFmtId="0" fontId="57" fillId="0" borderId="15" xfId="100" applyFont="1" applyBorder="1" applyAlignment="1">
      <alignment horizontal="left" vertical="center"/>
    </xf>
    <xf numFmtId="3" fontId="57" fillId="0" borderId="15" xfId="100" applyNumberFormat="1" applyFont="1" applyBorder="1" applyAlignment="1">
      <alignment horizontal="center"/>
    </xf>
    <xf numFmtId="40" fontId="57" fillId="0" borderId="15" xfId="100" applyNumberFormat="1" applyFont="1" applyBorder="1" applyAlignment="1">
      <alignment horizontal="right" vertical="center"/>
    </xf>
    <xf numFmtId="0" fontId="57" fillId="16" borderId="15" xfId="100" applyFont="1" applyFill="1" applyBorder="1" applyAlignment="1">
      <alignment horizontal="center"/>
    </xf>
    <xf numFmtId="176" fontId="58" fillId="0" borderId="15" xfId="101" applyFont="1" applyBorder="1" applyAlignment="1">
      <alignment horizontal="center"/>
    </xf>
    <xf numFmtId="0" fontId="57" fillId="12" borderId="7" xfId="100" quotePrefix="1" applyFont="1" applyFill="1" applyBorder="1" applyAlignment="1">
      <alignment horizontal="center"/>
    </xf>
    <xf numFmtId="0" fontId="57" fillId="0" borderId="9" xfId="104" applyFont="1" applyBorder="1" applyAlignment="1">
      <alignment horizontal="center"/>
    </xf>
    <xf numFmtId="0" fontId="58" fillId="0" borderId="0" xfId="0" applyFont="1" applyAlignment="1">
      <alignment horizontal="center"/>
    </xf>
    <xf numFmtId="16" fontId="58" fillId="0" borderId="9" xfId="100" applyNumberFormat="1" applyFont="1" applyBorder="1" applyAlignment="1">
      <alignment horizontal="center"/>
    </xf>
    <xf numFmtId="14" fontId="74" fillId="0" borderId="9" xfId="3" applyNumberFormat="1" applyFont="1" applyBorder="1" applyAlignment="1">
      <alignment horizontal="center"/>
    </xf>
    <xf numFmtId="0" fontId="74" fillId="0" borderId="15" xfId="100" quotePrefix="1" applyFont="1" applyBorder="1" applyAlignment="1">
      <alignment horizontal="center"/>
    </xf>
    <xf numFmtId="17" fontId="74" fillId="0" borderId="9" xfId="104" applyNumberFormat="1" applyFont="1" applyBorder="1" applyAlignment="1">
      <alignment horizontal="left" vertical="center"/>
    </xf>
    <xf numFmtId="3" fontId="74" fillId="0" borderId="9" xfId="104" applyNumberFormat="1" applyFont="1" applyBorder="1" applyAlignment="1">
      <alignment horizontal="center"/>
    </xf>
    <xf numFmtId="40" fontId="74" fillId="0" borderId="9" xfId="104" applyNumberFormat="1" applyFont="1" applyBorder="1" applyAlignment="1">
      <alignment horizontal="right" vertical="center"/>
    </xf>
    <xf numFmtId="2" fontId="57" fillId="0" borderId="0" xfId="100" applyNumberFormat="1" applyFont="1" applyAlignment="1">
      <alignment horizontal="left"/>
    </xf>
    <xf numFmtId="2" fontId="57" fillId="0" borderId="12" xfId="100" applyNumberFormat="1" applyFont="1" applyBorder="1" applyAlignment="1">
      <alignment horizontal="left"/>
    </xf>
    <xf numFmtId="0" fontId="58" fillId="0" borderId="8" xfId="100" applyFont="1" applyBorder="1" applyAlignment="1">
      <alignment horizontal="center"/>
    </xf>
    <xf numFmtId="2" fontId="57" fillId="0" borderId="29" xfId="100" applyNumberFormat="1" applyFont="1" applyBorder="1" applyAlignment="1">
      <alignment horizontal="left"/>
    </xf>
    <xf numFmtId="0" fontId="58" fillId="0" borderId="13" xfId="100" applyFont="1" applyBorder="1" applyAlignment="1">
      <alignment horizontal="center"/>
    </xf>
    <xf numFmtId="0" fontId="57" fillId="0" borderId="8" xfId="100" quotePrefix="1" applyFont="1" applyBorder="1" applyAlignment="1">
      <alignment horizontal="center"/>
    </xf>
    <xf numFmtId="0" fontId="57" fillId="0" borderId="19" xfId="100" quotePrefix="1" applyFont="1" applyBorder="1" applyAlignment="1">
      <alignment horizontal="center"/>
    </xf>
    <xf numFmtId="17" fontId="51" fillId="0" borderId="19" xfId="100" applyNumberFormat="1" applyFont="1" applyBorder="1" applyAlignment="1">
      <alignment horizontal="center"/>
    </xf>
    <xf numFmtId="0" fontId="58" fillId="0" borderId="19" xfId="100" applyFont="1" applyBorder="1" applyAlignment="1">
      <alignment horizontal="left" vertical="center"/>
    </xf>
    <xf numFmtId="40" fontId="58" fillId="0" borderId="19" xfId="100" applyNumberFormat="1" applyFont="1" applyBorder="1" applyAlignment="1">
      <alignment horizontal="right" vertical="center"/>
    </xf>
    <xf numFmtId="0" fontId="58" fillId="16" borderId="19" xfId="100" applyFont="1" applyFill="1" applyBorder="1" applyAlignment="1">
      <alignment horizontal="center"/>
    </xf>
    <xf numFmtId="176" fontId="58" fillId="0" borderId="19" xfId="101" applyFont="1" applyBorder="1" applyAlignment="1">
      <alignment horizontal="center"/>
    </xf>
    <xf numFmtId="176" fontId="58" fillId="2" borderId="8" xfId="11" applyFont="1" applyFill="1" applyBorder="1" applyAlignment="1">
      <alignment horizontal="center"/>
    </xf>
    <xf numFmtId="0" fontId="58" fillId="0" borderId="8" xfId="11" applyNumberFormat="1" applyFont="1" applyFill="1" applyBorder="1" applyAlignment="1">
      <alignment horizontal="center"/>
    </xf>
    <xf numFmtId="0" fontId="58" fillId="0" borderId="0" xfId="100" applyFont="1" applyAlignment="1">
      <alignment horizontal="left"/>
    </xf>
    <xf numFmtId="0" fontId="57" fillId="0" borderId="0" xfId="100" quotePrefix="1" applyFont="1" applyAlignment="1">
      <alignment horizontal="center"/>
    </xf>
    <xf numFmtId="0" fontId="58" fillId="0" borderId="0" xfId="100" applyFont="1" applyAlignment="1">
      <alignment horizontal="left" vertical="center"/>
    </xf>
    <xf numFmtId="176" fontId="58" fillId="0" borderId="0" xfId="101" applyFont="1" applyAlignment="1">
      <alignment horizontal="center"/>
    </xf>
    <xf numFmtId="176" fontId="58" fillId="2" borderId="0" xfId="11" applyFont="1" applyFill="1" applyAlignment="1">
      <alignment horizontal="center"/>
    </xf>
    <xf numFmtId="0" fontId="58" fillId="0" borderId="0" xfId="11" applyNumberFormat="1" applyFont="1" applyFill="1" applyAlignment="1">
      <alignment horizontal="center"/>
    </xf>
    <xf numFmtId="176" fontId="58" fillId="2" borderId="2" xfId="11" applyFont="1" applyFill="1" applyBorder="1" applyAlignment="1">
      <alignment horizontal="center"/>
    </xf>
    <xf numFmtId="0" fontId="58" fillId="0" borderId="2" xfId="11" applyNumberFormat="1" applyFont="1" applyFill="1" applyBorder="1" applyAlignment="1">
      <alignment horizontal="center"/>
    </xf>
    <xf numFmtId="176" fontId="58" fillId="0" borderId="2" xfId="11" applyFont="1" applyFill="1" applyBorder="1" applyAlignment="1">
      <alignment horizontal="center"/>
    </xf>
    <xf numFmtId="176" fontId="58" fillId="0" borderId="0" xfId="11" applyFont="1" applyAlignment="1">
      <alignment horizontal="center"/>
    </xf>
    <xf numFmtId="176" fontId="58" fillId="0" borderId="0" xfId="100" applyNumberFormat="1" applyFont="1" applyAlignment="1">
      <alignment horizontal="center"/>
    </xf>
    <xf numFmtId="14" fontId="57" fillId="0" borderId="9" xfId="109" applyNumberFormat="1" applyFont="1" applyBorder="1" applyAlignment="1">
      <alignment horizontal="center"/>
    </xf>
    <xf numFmtId="0" fontId="57" fillId="0" borderId="7" xfId="105" quotePrefix="1" applyFont="1" applyBorder="1" applyAlignment="1">
      <alignment horizontal="center"/>
    </xf>
    <xf numFmtId="0" fontId="57" fillId="0" borderId="15" xfId="105" quotePrefix="1" applyFont="1" applyBorder="1" applyAlignment="1">
      <alignment horizontal="center"/>
    </xf>
    <xf numFmtId="0" fontId="51" fillId="0" borderId="18" xfId="105" applyFont="1" applyBorder="1" applyAlignment="1">
      <alignment horizontal="center"/>
    </xf>
    <xf numFmtId="0" fontId="58" fillId="0" borderId="18" xfId="105" applyFont="1" applyBorder="1" applyAlignment="1">
      <alignment horizontal="left" vertical="center"/>
    </xf>
    <xf numFmtId="0" fontId="58" fillId="0" borderId="18" xfId="105" applyFont="1" applyBorder="1" applyAlignment="1">
      <alignment horizontal="center"/>
    </xf>
    <xf numFmtId="176" fontId="58" fillId="0" borderId="18" xfId="106" applyFont="1" applyBorder="1" applyAlignment="1">
      <alignment horizontal="center"/>
    </xf>
    <xf numFmtId="0" fontId="58" fillId="0" borderId="6" xfId="105" applyFont="1" applyBorder="1" applyAlignment="1">
      <alignment horizontal="center"/>
    </xf>
    <xf numFmtId="0" fontId="58" fillId="0" borderId="16" xfId="105" applyFont="1" applyBorder="1" applyAlignment="1">
      <alignment horizontal="center"/>
    </xf>
    <xf numFmtId="0" fontId="58" fillId="0" borderId="24" xfId="105" applyFont="1" applyBorder="1" applyAlignment="1">
      <alignment horizontal="left"/>
    </xf>
    <xf numFmtId="0" fontId="58" fillId="0" borderId="0" xfId="105" applyFont="1"/>
    <xf numFmtId="0" fontId="50" fillId="0" borderId="15" xfId="105" applyFont="1" applyBorder="1" applyAlignment="1">
      <alignment horizontal="center"/>
    </xf>
    <xf numFmtId="17" fontId="50" fillId="0" borderId="15" xfId="105" applyNumberFormat="1" applyFont="1" applyBorder="1" applyAlignment="1">
      <alignment horizontal="center"/>
    </xf>
    <xf numFmtId="17" fontId="57" fillId="0" borderId="9" xfId="109" applyNumberFormat="1" applyFont="1" applyBorder="1" applyAlignment="1">
      <alignment horizontal="left" vertical="center"/>
    </xf>
    <xf numFmtId="176" fontId="57" fillId="0" borderId="9" xfId="106" applyFont="1" applyBorder="1" applyAlignment="1">
      <alignment horizontal="center"/>
    </xf>
    <xf numFmtId="176" fontId="57" fillId="0" borderId="9" xfId="106" applyFont="1" applyFill="1" applyBorder="1" applyAlignment="1">
      <alignment horizontal="center"/>
    </xf>
    <xf numFmtId="176" fontId="58" fillId="0" borderId="9" xfId="105" applyNumberFormat="1" applyFont="1" applyBorder="1" applyAlignment="1">
      <alignment horizontal="center"/>
    </xf>
    <xf numFmtId="0" fontId="58" fillId="0" borderId="7" xfId="105" applyFont="1" applyBorder="1" applyAlignment="1">
      <alignment horizontal="center"/>
    </xf>
    <xf numFmtId="2" fontId="58" fillId="0" borderId="24" xfId="105" applyNumberFormat="1" applyFont="1" applyBorder="1" applyAlignment="1">
      <alignment horizontal="left"/>
    </xf>
    <xf numFmtId="2" fontId="58" fillId="0" borderId="0" xfId="105" applyNumberFormat="1" applyFont="1"/>
    <xf numFmtId="176" fontId="57" fillId="0" borderId="25" xfId="106" applyFont="1" applyFill="1" applyBorder="1" applyAlignment="1">
      <alignment horizontal="center"/>
    </xf>
    <xf numFmtId="0" fontId="58" fillId="0" borderId="25" xfId="105" applyFont="1" applyBorder="1" applyAlignment="1">
      <alignment horizontal="center"/>
    </xf>
    <xf numFmtId="2" fontId="57" fillId="0" borderId="24" xfId="105" applyNumberFormat="1" applyFont="1" applyBorder="1" applyAlignment="1">
      <alignment horizontal="left"/>
    </xf>
    <xf numFmtId="0" fontId="58" fillId="0" borderId="26" xfId="105" applyFont="1" applyBorder="1" applyAlignment="1">
      <alignment horizontal="center"/>
    </xf>
    <xf numFmtId="0" fontId="58" fillId="0" borderId="27" xfId="105" applyFont="1" applyBorder="1" applyAlignment="1">
      <alignment horizontal="center"/>
    </xf>
    <xf numFmtId="176" fontId="57" fillId="0" borderId="27" xfId="106" applyFont="1" applyFill="1" applyBorder="1" applyAlignment="1">
      <alignment horizontal="center"/>
    </xf>
    <xf numFmtId="178" fontId="58" fillId="0" borderId="0" xfId="105" applyNumberFormat="1" applyFont="1" applyAlignment="1">
      <alignment horizontal="center"/>
    </xf>
    <xf numFmtId="17" fontId="57" fillId="0" borderId="0" xfId="110" applyNumberFormat="1" applyFont="1" applyAlignment="1"/>
    <xf numFmtId="176" fontId="58" fillId="0" borderId="27" xfId="11" applyFont="1" applyFill="1" applyBorder="1" applyAlignment="1">
      <alignment horizontal="center"/>
    </xf>
    <xf numFmtId="0" fontId="58" fillId="0" borderId="27" xfId="11" applyNumberFormat="1" applyFont="1" applyFill="1" applyBorder="1" applyAlignment="1">
      <alignment horizontal="center"/>
    </xf>
    <xf numFmtId="176" fontId="57" fillId="0" borderId="28" xfId="106" applyFont="1" applyFill="1" applyBorder="1" applyAlignment="1">
      <alignment horizontal="center"/>
    </xf>
    <xf numFmtId="0" fontId="58" fillId="0" borderId="28" xfId="105" applyFont="1" applyBorder="1" applyAlignment="1">
      <alignment horizontal="center"/>
    </xf>
    <xf numFmtId="17" fontId="57" fillId="0" borderId="15" xfId="109" applyNumberFormat="1" applyFont="1" applyBorder="1" applyAlignment="1">
      <alignment horizontal="left" vertical="center"/>
    </xf>
    <xf numFmtId="0" fontId="58" fillId="0" borderId="9" xfId="105" applyFont="1" applyBorder="1" applyAlignment="1">
      <alignment horizontal="center"/>
    </xf>
    <xf numFmtId="0" fontId="58" fillId="0" borderId="23" xfId="105" applyFont="1" applyBorder="1" applyAlignment="1">
      <alignment horizontal="center"/>
    </xf>
    <xf numFmtId="0" fontId="57" fillId="0" borderId="15" xfId="105" applyFont="1" applyBorder="1" applyAlignment="1">
      <alignment horizontal="left" vertical="center"/>
    </xf>
    <xf numFmtId="0" fontId="57" fillId="0" borderId="15" xfId="105" applyFont="1" applyBorder="1" applyAlignment="1">
      <alignment horizontal="center"/>
    </xf>
    <xf numFmtId="176" fontId="58" fillId="0" borderId="15" xfId="106" applyFont="1" applyBorder="1" applyAlignment="1">
      <alignment horizontal="center"/>
    </xf>
    <xf numFmtId="0" fontId="57" fillId="12" borderId="7" xfId="105" quotePrefix="1" applyFont="1" applyFill="1" applyBorder="1" applyAlignment="1">
      <alignment horizontal="center"/>
    </xf>
    <xf numFmtId="17" fontId="57" fillId="0" borderId="9" xfId="109" applyNumberFormat="1" applyFont="1" applyBorder="1" applyAlignment="1">
      <alignment horizontal="center"/>
    </xf>
    <xf numFmtId="0" fontId="58" fillId="0" borderId="11" xfId="100" applyFont="1" applyBorder="1" applyAlignment="1">
      <alignment horizontal="center"/>
    </xf>
    <xf numFmtId="16" fontId="58" fillId="0" borderId="9" xfId="105" applyNumberFormat="1" applyFont="1" applyBorder="1" applyAlignment="1">
      <alignment horizontal="center"/>
    </xf>
    <xf numFmtId="0" fontId="58" fillId="0" borderId="0" xfId="0" applyFont="1"/>
    <xf numFmtId="2" fontId="57" fillId="0" borderId="0" xfId="105" applyNumberFormat="1" applyFont="1" applyAlignment="1">
      <alignment horizontal="left"/>
    </xf>
    <xf numFmtId="0" fontId="58" fillId="0" borderId="13" xfId="105" applyFont="1" applyBorder="1" applyAlignment="1">
      <alignment horizontal="center"/>
    </xf>
    <xf numFmtId="0" fontId="57" fillId="0" borderId="8" xfId="105" quotePrefix="1" applyFont="1" applyBorder="1" applyAlignment="1">
      <alignment horizontal="center"/>
    </xf>
    <xf numFmtId="0" fontId="57" fillId="0" borderId="19" xfId="105" quotePrefix="1" applyFont="1" applyBorder="1" applyAlignment="1">
      <alignment horizontal="center"/>
    </xf>
    <xf numFmtId="0" fontId="51" fillId="0" borderId="19" xfId="105" applyFont="1" applyBorder="1" applyAlignment="1">
      <alignment horizontal="center"/>
    </xf>
    <xf numFmtId="17" fontId="51" fillId="0" borderId="19" xfId="105" applyNumberFormat="1" applyFont="1" applyBorder="1" applyAlignment="1">
      <alignment horizontal="center"/>
    </xf>
    <xf numFmtId="0" fontId="58" fillId="0" borderId="19" xfId="105" applyFont="1" applyBorder="1" applyAlignment="1">
      <alignment horizontal="left" vertical="center"/>
    </xf>
    <xf numFmtId="0" fontId="58" fillId="0" borderId="19" xfId="105" applyFont="1" applyBorder="1" applyAlignment="1">
      <alignment horizontal="center"/>
    </xf>
    <xf numFmtId="176" fontId="58" fillId="0" borderId="19" xfId="106" applyFont="1" applyBorder="1" applyAlignment="1">
      <alignment horizontal="center"/>
    </xf>
    <xf numFmtId="0" fontId="58" fillId="0" borderId="8" xfId="105" applyFont="1" applyBorder="1" applyAlignment="1">
      <alignment horizontal="center"/>
    </xf>
    <xf numFmtId="0" fontId="58" fillId="0" borderId="0" xfId="105" applyFont="1" applyAlignment="1">
      <alignment horizontal="left"/>
    </xf>
    <xf numFmtId="0" fontId="58" fillId="0" borderId="0" xfId="105" applyFont="1" applyAlignment="1">
      <alignment horizontal="center"/>
    </xf>
    <xf numFmtId="0" fontId="57" fillId="0" borderId="0" xfId="105" quotePrefix="1" applyFont="1" applyAlignment="1">
      <alignment horizontal="center"/>
    </xf>
    <xf numFmtId="0" fontId="58" fillId="0" borderId="0" xfId="105" applyFont="1" applyAlignment="1">
      <alignment horizontal="left" vertical="center"/>
    </xf>
    <xf numFmtId="176" fontId="58" fillId="0" borderId="0" xfId="106" applyFont="1" applyAlignment="1">
      <alignment horizontal="center"/>
    </xf>
    <xf numFmtId="176" fontId="58" fillId="0" borderId="0" xfId="105" applyNumberFormat="1" applyFont="1" applyAlignment="1">
      <alignment horizontal="center"/>
    </xf>
    <xf numFmtId="0" fontId="26" fillId="0" borderId="25" xfId="111" applyFont="1" applyBorder="1" applyAlignment="1">
      <alignment horizontal="center"/>
    </xf>
    <xf numFmtId="0" fontId="26" fillId="0" borderId="27" xfId="111" applyFont="1" applyBorder="1" applyAlignment="1">
      <alignment horizontal="center"/>
    </xf>
    <xf numFmtId="0" fontId="26" fillId="0" borderId="28" xfId="111" applyFont="1" applyBorder="1" applyAlignment="1">
      <alignment horizontal="center"/>
    </xf>
    <xf numFmtId="0" fontId="61" fillId="0" borderId="0" xfId="111" applyFont="1"/>
    <xf numFmtId="0" fontId="31" fillId="0" borderId="0" xfId="0" applyFont="1"/>
    <xf numFmtId="0" fontId="31" fillId="14" borderId="1" xfId="0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Alignment="1">
      <alignment horizontal="left" vertical="center"/>
    </xf>
    <xf numFmtId="0" fontId="31" fillId="5" borderId="7" xfId="105" applyFont="1" applyFill="1" applyBorder="1" applyAlignment="1">
      <alignment horizontal="center"/>
    </xf>
    <xf numFmtId="0" fontId="31" fillId="20" borderId="9" xfId="11" applyNumberFormat="1" applyFont="1" applyFill="1" applyBorder="1" applyAlignment="1">
      <alignment horizontal="center"/>
    </xf>
    <xf numFmtId="0" fontId="15" fillId="0" borderId="7" xfId="111" applyBorder="1" applyAlignment="1">
      <alignment horizontal="center"/>
    </xf>
    <xf numFmtId="0" fontId="33" fillId="0" borderId="32" xfId="111" quotePrefix="1" applyFont="1" applyBorder="1" applyAlignment="1">
      <alignment horizontal="center"/>
    </xf>
    <xf numFmtId="17" fontId="39" fillId="0" borderId="32" xfId="111" applyNumberFormat="1" applyFont="1" applyBorder="1" applyAlignment="1">
      <alignment horizontal="center"/>
    </xf>
    <xf numFmtId="0" fontId="33" fillId="0" borderId="33" xfId="111" quotePrefix="1" applyFont="1" applyBorder="1" applyAlignment="1">
      <alignment horizontal="center"/>
    </xf>
    <xf numFmtId="17" fontId="39" fillId="0" borderId="33" xfId="111" applyNumberFormat="1" applyFont="1" applyBorder="1" applyAlignment="1">
      <alignment horizontal="center"/>
    </xf>
    <xf numFmtId="0" fontId="42" fillId="0" borderId="28" xfId="0" quotePrefix="1" applyFont="1" applyBorder="1" applyAlignment="1">
      <alignment horizontal="center"/>
    </xf>
    <xf numFmtId="0" fontId="33" fillId="0" borderId="34" xfId="111" quotePrefix="1" applyFont="1" applyBorder="1" applyAlignment="1">
      <alignment horizontal="center"/>
    </xf>
    <xf numFmtId="0" fontId="39" fillId="0" borderId="34" xfId="111" applyFont="1" applyBorder="1" applyAlignment="1">
      <alignment horizontal="center"/>
    </xf>
    <xf numFmtId="17" fontId="39" fillId="0" borderId="34" xfId="111" applyNumberFormat="1" applyFont="1" applyBorder="1" applyAlignment="1">
      <alignment horizontal="center"/>
    </xf>
    <xf numFmtId="3" fontId="41" fillId="0" borderId="28" xfId="111" applyNumberFormat="1" applyFont="1" applyBorder="1" applyAlignment="1">
      <alignment horizontal="center"/>
    </xf>
    <xf numFmtId="176" fontId="15" fillId="0" borderId="34" xfId="112" applyBorder="1" applyAlignment="1">
      <alignment horizontal="center"/>
    </xf>
    <xf numFmtId="176" fontId="26" fillId="2" borderId="28" xfId="11" applyFill="1" applyBorder="1" applyAlignment="1">
      <alignment horizontal="center"/>
    </xf>
    <xf numFmtId="49" fontId="33" fillId="0" borderId="7" xfId="111" quotePrefix="1" applyNumberFormat="1" applyFont="1" applyBorder="1" applyAlignment="1">
      <alignment horizontal="center"/>
    </xf>
    <xf numFmtId="176" fontId="15" fillId="0" borderId="15" xfId="112" applyBorder="1" applyAlignment="1">
      <alignment horizontal="center"/>
    </xf>
    <xf numFmtId="3" fontId="41" fillId="0" borderId="11" xfId="111" applyNumberFormat="1" applyFont="1" applyBorder="1" applyAlignment="1">
      <alignment horizontal="center"/>
    </xf>
    <xf numFmtId="0" fontId="51" fillId="20" borderId="0" xfId="0" applyFont="1" applyFill="1" applyAlignment="1">
      <alignment horizontal="center"/>
    </xf>
    <xf numFmtId="0" fontId="50" fillId="20" borderId="7" xfId="100" quotePrefix="1" applyFont="1" applyFill="1" applyBorder="1" applyAlignment="1">
      <alignment horizontal="center"/>
    </xf>
    <xf numFmtId="0" fontId="31" fillId="20" borderId="9" xfId="111" applyFont="1" applyFill="1" applyBorder="1" applyAlignment="1">
      <alignment horizontal="center"/>
    </xf>
    <xf numFmtId="0" fontId="38" fillId="20" borderId="7" xfId="111" quotePrefix="1" applyFont="1" applyFill="1" applyBorder="1" applyAlignment="1">
      <alignment horizontal="center"/>
    </xf>
    <xf numFmtId="2" fontId="67" fillId="0" borderId="24" xfId="100" applyNumberFormat="1" applyFont="1" applyBorder="1" applyAlignment="1">
      <alignment horizontal="left"/>
    </xf>
    <xf numFmtId="14" fontId="52" fillId="8" borderId="9" xfId="115" applyNumberFormat="1" applyFont="1" applyFill="1" applyBorder="1" applyAlignment="1">
      <alignment horizontal="center"/>
    </xf>
    <xf numFmtId="0" fontId="76" fillId="8" borderId="7" xfId="111" quotePrefix="1" applyFont="1" applyFill="1" applyBorder="1" applyAlignment="1">
      <alignment horizontal="center"/>
    </xf>
    <xf numFmtId="0" fontId="76" fillId="8" borderId="15" xfId="111" quotePrefix="1" applyFont="1" applyFill="1" applyBorder="1" applyAlignment="1">
      <alignment horizontal="center"/>
    </xf>
    <xf numFmtId="0" fontId="75" fillId="8" borderId="15" xfId="111" applyFont="1" applyFill="1" applyBorder="1" applyAlignment="1">
      <alignment horizontal="center"/>
    </xf>
    <xf numFmtId="17" fontId="75" fillId="8" borderId="15" xfId="111" applyNumberFormat="1" applyFont="1" applyFill="1" applyBorder="1" applyAlignment="1">
      <alignment horizontal="center"/>
    </xf>
    <xf numFmtId="17" fontId="52" fillId="8" borderId="9" xfId="115" applyNumberFormat="1" applyFont="1" applyFill="1" applyBorder="1" applyAlignment="1">
      <alignment horizontal="left" vertical="center"/>
    </xf>
    <xf numFmtId="3" fontId="52" fillId="8" borderId="0" xfId="111" applyNumberFormat="1" applyFont="1" applyFill="1" applyAlignment="1">
      <alignment horizontal="center"/>
    </xf>
    <xf numFmtId="176" fontId="52" fillId="8" borderId="9" xfId="112" applyFont="1" applyFill="1" applyBorder="1" applyAlignment="1">
      <alignment horizontal="center"/>
    </xf>
    <xf numFmtId="0" fontId="0" fillId="14" borderId="0" xfId="0" applyFill="1"/>
    <xf numFmtId="0" fontId="0" fillId="14" borderId="11" xfId="0" applyFill="1" applyBorder="1"/>
    <xf numFmtId="0" fontId="26" fillId="0" borderId="9" xfId="11" applyNumberFormat="1" applyFont="1" applyFill="1" applyBorder="1" applyAlignment="1">
      <alignment horizontal="center"/>
    </xf>
    <xf numFmtId="0" fontId="31" fillId="0" borderId="7" xfId="105" applyFont="1" applyBorder="1" applyAlignment="1">
      <alignment horizontal="center"/>
    </xf>
    <xf numFmtId="0" fontId="26" fillId="21" borderId="9" xfId="11" applyNumberForma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left"/>
    </xf>
    <xf numFmtId="0" fontId="31" fillId="14" borderId="1" xfId="0" applyFont="1" applyFill="1" applyBorder="1"/>
    <xf numFmtId="0" fontId="26" fillId="11" borderId="9" xfId="11" applyNumberFormat="1" applyFill="1" applyBorder="1" applyAlignment="1">
      <alignment horizontal="center"/>
    </xf>
    <xf numFmtId="0" fontId="31" fillId="21" borderId="9" xfId="11" applyNumberFormat="1" applyFont="1" applyFill="1" applyBorder="1" applyAlignment="1">
      <alignment horizontal="center"/>
    </xf>
    <xf numFmtId="0" fontId="31" fillId="11" borderId="9" xfId="11" applyNumberFormat="1" applyFont="1" applyFill="1" applyBorder="1" applyAlignment="1">
      <alignment horizontal="center"/>
    </xf>
    <xf numFmtId="0" fontId="26" fillId="22" borderId="1" xfId="0" applyFont="1" applyFill="1" applyBorder="1"/>
    <xf numFmtId="0" fontId="0" fillId="22" borderId="1" xfId="0" applyFill="1" applyBorder="1"/>
    <xf numFmtId="0" fontId="26" fillId="22" borderId="1" xfId="0" applyFont="1" applyFill="1" applyBorder="1" applyAlignment="1">
      <alignment horizontal="center"/>
    </xf>
    <xf numFmtId="177" fontId="26" fillId="22" borderId="1" xfId="0" applyNumberFormat="1" applyFont="1" applyFill="1" applyBorder="1" applyAlignment="1">
      <alignment horizontal="center"/>
    </xf>
    <xf numFmtId="0" fontId="26" fillId="22" borderId="1" xfId="0" applyFont="1" applyFill="1" applyBorder="1" applyAlignment="1">
      <alignment horizontal="left" vertical="center"/>
    </xf>
    <xf numFmtId="0" fontId="0" fillId="22" borderId="1" xfId="0" applyFill="1" applyBorder="1" applyAlignment="1">
      <alignment horizontal="center"/>
    </xf>
    <xf numFmtId="178" fontId="26" fillId="22" borderId="1" xfId="0" applyNumberFormat="1" applyFont="1" applyFill="1" applyBorder="1" applyAlignment="1">
      <alignment horizontal="center"/>
    </xf>
    <xf numFmtId="0" fontId="0" fillId="22" borderId="1" xfId="0" quotePrefix="1" applyFill="1" applyBorder="1"/>
    <xf numFmtId="0" fontId="0" fillId="22" borderId="1" xfId="0" quotePrefix="1" applyFill="1" applyBorder="1" applyAlignment="1">
      <alignment horizontal="center"/>
    </xf>
    <xf numFmtId="1" fontId="26" fillId="22" borderId="1" xfId="0" applyNumberFormat="1" applyFont="1" applyFill="1" applyBorder="1" applyAlignment="1">
      <alignment horizontal="center"/>
    </xf>
    <xf numFmtId="0" fontId="46" fillId="22" borderId="1" xfId="0" applyFont="1" applyFill="1" applyBorder="1" applyAlignment="1">
      <alignment horizontal="center"/>
    </xf>
    <xf numFmtId="0" fontId="46" fillId="22" borderId="1" xfId="0" applyFont="1" applyFill="1" applyBorder="1" applyAlignment="1">
      <alignment horizontal="left" vertical="center"/>
    </xf>
    <xf numFmtId="178" fontId="46" fillId="22" borderId="1" xfId="0" applyNumberFormat="1" applyFont="1" applyFill="1" applyBorder="1" applyAlignment="1">
      <alignment horizontal="center"/>
    </xf>
    <xf numFmtId="0" fontId="26" fillId="22" borderId="3" xfId="0" applyFont="1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32" fillId="23" borderId="1" xfId="0" quotePrefix="1" applyFont="1" applyFill="1" applyBorder="1" applyAlignment="1">
      <alignment horizontal="center" vertical="center"/>
    </xf>
    <xf numFmtId="0" fontId="0" fillId="0" borderId="24" xfId="0" applyBorder="1"/>
    <xf numFmtId="0" fontId="33" fillId="24" borderId="15" xfId="111" quotePrefix="1" applyFont="1" applyFill="1" applyBorder="1" applyAlignment="1">
      <alignment horizontal="center"/>
    </xf>
    <xf numFmtId="0" fontId="39" fillId="24" borderId="15" xfId="111" applyFont="1" applyFill="1" applyBorder="1" applyAlignment="1">
      <alignment horizontal="center"/>
    </xf>
    <xf numFmtId="0" fontId="56" fillId="0" borderId="1" xfId="0" applyFont="1" applyBorder="1" applyAlignment="1">
      <alignment horizontal="left" vertical="center"/>
    </xf>
    <xf numFmtId="0" fontId="56" fillId="0" borderId="1" xfId="0" applyFont="1" applyBorder="1" applyAlignment="1">
      <alignment horizontal="center" vertical="center"/>
    </xf>
    <xf numFmtId="0" fontId="42" fillId="11" borderId="7" xfId="0" quotePrefix="1" applyFont="1" applyFill="1" applyBorder="1" applyAlignment="1">
      <alignment horizontal="center"/>
    </xf>
    <xf numFmtId="14" fontId="15" fillId="11" borderId="9" xfId="115" applyNumberFormat="1" applyFill="1" applyBorder="1" applyAlignment="1">
      <alignment horizontal="center"/>
    </xf>
    <xf numFmtId="0" fontId="33" fillId="11" borderId="15" xfId="111" quotePrefix="1" applyFont="1" applyFill="1" applyBorder="1" applyAlignment="1">
      <alignment horizontal="center"/>
    </xf>
    <xf numFmtId="0" fontId="39" fillId="11" borderId="15" xfId="111" applyFont="1" applyFill="1" applyBorder="1" applyAlignment="1">
      <alignment horizontal="center"/>
    </xf>
    <xf numFmtId="17" fontId="39" fillId="11" borderId="15" xfId="111" applyNumberFormat="1" applyFont="1" applyFill="1" applyBorder="1" applyAlignment="1">
      <alignment horizontal="center"/>
    </xf>
    <xf numFmtId="17" fontId="50" fillId="5" borderId="15" xfId="100" applyNumberFormat="1" applyFont="1" applyFill="1" applyBorder="1" applyAlignment="1">
      <alignment horizontal="center"/>
    </xf>
    <xf numFmtId="17" fontId="39" fillId="5" borderId="15" xfId="111" applyNumberFormat="1" applyFont="1" applyFill="1" applyBorder="1" applyAlignment="1">
      <alignment horizontal="center"/>
    </xf>
    <xf numFmtId="0" fontId="26" fillId="0" borderId="11" xfId="111" applyFont="1" applyBorder="1" applyAlignment="1">
      <alignment horizontal="center"/>
    </xf>
    <xf numFmtId="2" fontId="42" fillId="0" borderId="0" xfId="111" applyNumberFormat="1" applyFont="1" applyAlignment="1">
      <alignment horizontal="left"/>
    </xf>
    <xf numFmtId="177" fontId="26" fillId="22" borderId="1" xfId="0" applyNumberFormat="1" applyFont="1" applyFill="1" applyBorder="1" applyAlignment="1">
      <alignment horizontal="left" vertical="center"/>
    </xf>
    <xf numFmtId="0" fontId="50" fillId="8" borderId="15" xfId="105" applyFont="1" applyFill="1" applyBorder="1" applyAlignment="1">
      <alignment horizontal="center"/>
    </xf>
    <xf numFmtId="17" fontId="50" fillId="8" borderId="15" xfId="105" applyNumberFormat="1" applyFont="1" applyFill="1" applyBorder="1" applyAlignment="1">
      <alignment horizontal="center"/>
    </xf>
    <xf numFmtId="14" fontId="50" fillId="8" borderId="9" xfId="3" applyNumberFormat="1" applyFont="1" applyFill="1" applyBorder="1" applyAlignment="1">
      <alignment horizontal="center"/>
    </xf>
    <xf numFmtId="0" fontId="37" fillId="8" borderId="7" xfId="100" quotePrefix="1" applyFont="1" applyFill="1" applyBorder="1" applyAlignment="1">
      <alignment horizontal="center"/>
    </xf>
    <xf numFmtId="0" fontId="50" fillId="8" borderId="15" xfId="100" quotePrefix="1" applyFont="1" applyFill="1" applyBorder="1" applyAlignment="1">
      <alignment horizontal="center"/>
    </xf>
    <xf numFmtId="17" fontId="50" fillId="8" borderId="9" xfId="104" applyNumberFormat="1" applyFont="1" applyFill="1" applyBorder="1" applyAlignment="1">
      <alignment horizontal="left" vertical="center"/>
    </xf>
    <xf numFmtId="0" fontId="31" fillId="0" borderId="9" xfId="11" applyNumberFormat="1" applyFont="1" applyFill="1" applyBorder="1" applyAlignment="1">
      <alignment horizontal="center"/>
    </xf>
    <xf numFmtId="17" fontId="15" fillId="0" borderId="7" xfId="115" applyNumberFormat="1" applyBorder="1" applyAlignment="1">
      <alignment horizontal="left" vertical="center"/>
    </xf>
    <xf numFmtId="3" fontId="41" fillId="0" borderId="31" xfId="111" applyNumberFormat="1" applyFont="1" applyBorder="1" applyAlignment="1">
      <alignment horizontal="center"/>
    </xf>
    <xf numFmtId="176" fontId="15" fillId="0" borderId="7" xfId="112" applyBorder="1" applyAlignment="1">
      <alignment horizontal="center"/>
    </xf>
    <xf numFmtId="0" fontId="15" fillId="0" borderId="7" xfId="111" applyBorder="1" applyAlignment="1">
      <alignment horizontal="left" vertical="center"/>
    </xf>
    <xf numFmtId="0" fontId="31" fillId="25" borderId="9" xfId="1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17" fontId="14" fillId="0" borderId="9" xfId="115" applyNumberFormat="1" applyFont="1" applyBorder="1" applyAlignment="1">
      <alignment horizontal="left" vertical="center"/>
    </xf>
    <xf numFmtId="17" fontId="14" fillId="0" borderId="15" xfId="115" applyNumberFormat="1" applyFont="1" applyBorder="1" applyAlignment="1">
      <alignment horizontal="left" vertical="center"/>
    </xf>
    <xf numFmtId="17" fontId="14" fillId="0" borderId="7" xfId="115" applyNumberFormat="1" applyFont="1" applyBorder="1" applyAlignment="1">
      <alignment horizontal="left" vertical="center"/>
    </xf>
    <xf numFmtId="0" fontId="68" fillId="25" borderId="7" xfId="0" quotePrefix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4" fontId="14" fillId="0" borderId="6" xfId="3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40" fontId="14" fillId="0" borderId="6" xfId="0" applyNumberFormat="1" applyFont="1" applyBorder="1" applyAlignment="1">
      <alignment horizontal="right"/>
    </xf>
    <xf numFmtId="176" fontId="14" fillId="2" borderId="6" xfId="1" applyFont="1" applyFill="1" applyBorder="1" applyAlignment="1">
      <alignment horizontal="center"/>
    </xf>
    <xf numFmtId="17" fontId="14" fillId="0" borderId="11" xfId="3" applyNumberFormat="1" applyFont="1" applyBorder="1" applyAlignment="1">
      <alignment horizontal="center"/>
    </xf>
    <xf numFmtId="3" fontId="14" fillId="0" borderId="11" xfId="3" applyNumberFormat="1" applyFont="1" applyBorder="1" applyAlignment="1">
      <alignment horizontal="center"/>
    </xf>
    <xf numFmtId="179" fontId="14" fillId="0" borderId="11" xfId="1" applyNumberFormat="1" applyFont="1" applyBorder="1" applyAlignment="1">
      <alignment horizontal="right"/>
    </xf>
    <xf numFmtId="176" fontId="14" fillId="3" borderId="24" xfId="1" applyFont="1" applyFill="1" applyBorder="1" applyAlignment="1">
      <alignment horizontal="center"/>
    </xf>
    <xf numFmtId="176" fontId="14" fillId="2" borderId="9" xfId="1" applyFont="1" applyFill="1" applyBorder="1" applyAlignment="1">
      <alignment horizontal="center"/>
    </xf>
    <xf numFmtId="17" fontId="14" fillId="0" borderId="9" xfId="3" applyNumberFormat="1" applyFont="1" applyBorder="1" applyAlignment="1">
      <alignment horizontal="center"/>
    </xf>
    <xf numFmtId="3" fontId="14" fillId="6" borderId="9" xfId="3" applyNumberFormat="1" applyFont="1" applyFill="1" applyBorder="1" applyAlignment="1">
      <alignment horizontal="center"/>
    </xf>
    <xf numFmtId="40" fontId="14" fillId="6" borderId="9" xfId="3" applyNumberFormat="1" applyFont="1" applyFill="1" applyBorder="1" applyAlignment="1">
      <alignment horizontal="right"/>
    </xf>
    <xf numFmtId="176" fontId="14" fillId="3" borderId="10" xfId="1" applyFont="1" applyFill="1" applyBorder="1" applyAlignment="1">
      <alignment horizontal="center"/>
    </xf>
    <xf numFmtId="17" fontId="14" fillId="0" borderId="0" xfId="26" applyNumberFormat="1" applyFont="1" applyAlignment="1"/>
    <xf numFmtId="176" fontId="14" fillId="7" borderId="10" xfId="1" applyFont="1" applyFill="1" applyBorder="1" applyAlignment="1">
      <alignment horizontal="center"/>
    </xf>
    <xf numFmtId="176" fontId="14" fillId="6" borderId="10" xfId="1" applyFont="1" applyFill="1" applyBorder="1" applyAlignment="1">
      <alignment horizontal="center"/>
    </xf>
    <xf numFmtId="176" fontId="14" fillId="10" borderId="10" xfId="1" applyFont="1" applyFill="1" applyBorder="1" applyAlignment="1">
      <alignment horizontal="center"/>
    </xf>
    <xf numFmtId="176" fontId="14" fillId="5" borderId="10" xfId="1" applyFont="1" applyFill="1" applyBorder="1" applyAlignment="1">
      <alignment horizontal="center"/>
    </xf>
    <xf numFmtId="0" fontId="14" fillId="0" borderId="0" xfId="26" applyFont="1" applyAlignment="1"/>
    <xf numFmtId="3" fontId="14" fillId="6" borderId="11" xfId="3" applyNumberFormat="1" applyFont="1" applyFill="1" applyBorder="1" applyAlignment="1">
      <alignment horizontal="center"/>
    </xf>
    <xf numFmtId="40" fontId="14" fillId="6" borderId="11" xfId="3" applyNumberFormat="1" applyFont="1" applyFill="1" applyBorder="1" applyAlignment="1">
      <alignment horizontal="right"/>
    </xf>
    <xf numFmtId="176" fontId="14" fillId="5" borderId="11" xfId="1" applyFont="1" applyFill="1" applyBorder="1" applyAlignment="1">
      <alignment horizontal="center"/>
    </xf>
    <xf numFmtId="176" fontId="14" fillId="5" borderId="9" xfId="1" applyFont="1" applyFill="1" applyBorder="1" applyAlignment="1">
      <alignment horizontal="center"/>
    </xf>
    <xf numFmtId="3" fontId="14" fillId="0" borderId="9" xfId="3" applyNumberFormat="1" applyFont="1" applyBorder="1" applyAlignment="1">
      <alignment horizontal="center"/>
    </xf>
    <xf numFmtId="40" fontId="14" fillId="0" borderId="9" xfId="3" applyNumberFormat="1" applyFont="1" applyBorder="1" applyAlignment="1">
      <alignment horizontal="right"/>
    </xf>
    <xf numFmtId="17" fontId="14" fillId="0" borderId="7" xfId="3" applyNumberFormat="1" applyFont="1" applyBorder="1" applyAlignment="1">
      <alignment horizontal="center"/>
    </xf>
    <xf numFmtId="14" fontId="14" fillId="9" borderId="9" xfId="3" applyNumberFormat="1" applyFont="1" applyFill="1" applyBorder="1" applyAlignment="1">
      <alignment horizontal="center"/>
    </xf>
    <xf numFmtId="17" fontId="14" fillId="9" borderId="9" xfId="3" applyNumberFormat="1" applyFont="1" applyFill="1" applyBorder="1" applyAlignment="1">
      <alignment horizontal="center"/>
    </xf>
    <xf numFmtId="3" fontId="14" fillId="9" borderId="9" xfId="3" applyNumberFormat="1" applyFont="1" applyFill="1" applyBorder="1" applyAlignment="1">
      <alignment horizontal="center"/>
    </xf>
    <xf numFmtId="40" fontId="14" fillId="9" borderId="9" xfId="3" applyNumberFormat="1" applyFont="1" applyFill="1" applyBorder="1" applyAlignment="1">
      <alignment horizontal="center"/>
    </xf>
    <xf numFmtId="176" fontId="14" fillId="9" borderId="9" xfId="1" applyFont="1" applyFill="1" applyBorder="1" applyAlignment="1">
      <alignment horizontal="center"/>
    </xf>
    <xf numFmtId="40" fontId="14" fillId="0" borderId="9" xfId="3" applyNumberFormat="1" applyFont="1" applyBorder="1" applyAlignment="1">
      <alignment horizontal="center"/>
    </xf>
    <xf numFmtId="14" fontId="14" fillId="0" borderId="8" xfId="3" applyNumberFormat="1" applyFont="1" applyBorder="1" applyAlignment="1">
      <alignment horizontal="center"/>
    </xf>
    <xf numFmtId="176" fontId="14" fillId="8" borderId="9" xfId="1" applyFont="1" applyFill="1" applyBorder="1" applyAlignment="1">
      <alignment horizontal="center"/>
    </xf>
    <xf numFmtId="17" fontId="14" fillId="4" borderId="9" xfId="3" applyNumberFormat="1" applyFont="1" applyFill="1" applyBorder="1" applyAlignment="1">
      <alignment horizontal="center"/>
    </xf>
    <xf numFmtId="40" fontId="14" fillId="4" borderId="9" xfId="3" applyNumberFormat="1" applyFont="1" applyFill="1" applyBorder="1" applyAlignment="1">
      <alignment horizontal="right"/>
    </xf>
    <xf numFmtId="176" fontId="14" fillId="4" borderId="9" xfId="1" applyFont="1" applyFill="1" applyBorder="1" applyAlignment="1">
      <alignment horizontal="center"/>
    </xf>
    <xf numFmtId="176" fontId="14" fillId="11" borderId="9" xfId="1" applyFont="1" applyFill="1" applyBorder="1" applyAlignment="1">
      <alignment horizontal="center"/>
    </xf>
    <xf numFmtId="176" fontId="14" fillId="6" borderId="9" xfId="1" applyFont="1" applyFill="1" applyBorder="1" applyAlignment="1">
      <alignment horizontal="center"/>
    </xf>
    <xf numFmtId="0" fontId="14" fillId="9" borderId="14" xfId="3" applyFont="1" applyFill="1" applyBorder="1" applyAlignment="1">
      <alignment horizontal="center"/>
    </xf>
    <xf numFmtId="40" fontId="14" fillId="9" borderId="9" xfId="3" applyNumberFormat="1" applyFont="1" applyFill="1" applyBorder="1" applyAlignment="1">
      <alignment horizontal="right"/>
    </xf>
    <xf numFmtId="14" fontId="14" fillId="0" borderId="9" xfId="3" applyNumberFormat="1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14" fontId="14" fillId="0" borderId="0" xfId="3" applyNumberFormat="1" applyFont="1" applyAlignment="1">
      <alignment horizontal="center"/>
    </xf>
    <xf numFmtId="0" fontId="14" fillId="0" borderId="0" xfId="3" applyFont="1" applyAlignment="1">
      <alignment horizontal="center"/>
    </xf>
    <xf numFmtId="17" fontId="14" fillId="0" borderId="0" xfId="3" applyNumberFormat="1" applyFont="1" applyAlignment="1">
      <alignment horizontal="center"/>
    </xf>
    <xf numFmtId="176" fontId="14" fillId="0" borderId="0" xfId="1" applyFont="1" applyFill="1" applyBorder="1" applyAlignment="1">
      <alignment horizontal="center"/>
    </xf>
    <xf numFmtId="176" fontId="14" fillId="0" borderId="6" xfId="1" applyFont="1" applyBorder="1" applyAlignment="1">
      <alignment horizontal="center"/>
    </xf>
    <xf numFmtId="176" fontId="14" fillId="2" borderId="16" xfId="1" applyFont="1" applyFill="1" applyBorder="1" applyAlignment="1">
      <alignment horizontal="center"/>
    </xf>
    <xf numFmtId="176" fontId="14" fillId="0" borderId="9" xfId="1" applyFont="1" applyBorder="1" applyAlignment="1">
      <alignment horizontal="center"/>
    </xf>
    <xf numFmtId="176" fontId="14" fillId="2" borderId="10" xfId="1" applyFont="1" applyFill="1" applyBorder="1" applyAlignment="1">
      <alignment horizontal="center"/>
    </xf>
    <xf numFmtId="176" fontId="14" fillId="2" borderId="20" xfId="1" applyFont="1" applyFill="1" applyBorder="1" applyAlignment="1">
      <alignment horizontal="center"/>
    </xf>
    <xf numFmtId="176" fontId="14" fillId="12" borderId="9" xfId="1" applyFont="1" applyFill="1" applyBorder="1" applyAlignment="1">
      <alignment horizontal="center"/>
    </xf>
    <xf numFmtId="14" fontId="14" fillId="0" borderId="15" xfId="3" applyNumberFormat="1" applyFont="1" applyBorder="1" applyAlignment="1">
      <alignment horizontal="center"/>
    </xf>
    <xf numFmtId="14" fontId="14" fillId="0" borderId="7" xfId="3" applyNumberFormat="1" applyFont="1" applyBorder="1" applyAlignment="1">
      <alignment horizontal="center"/>
    </xf>
    <xf numFmtId="14" fontId="14" fillId="0" borderId="27" xfId="3" applyNumberFormat="1" applyFont="1" applyBorder="1" applyAlignment="1">
      <alignment horizontal="center"/>
    </xf>
    <xf numFmtId="17" fontId="14" fillId="0" borderId="27" xfId="3" applyNumberFormat="1" applyFont="1" applyBorder="1" applyAlignment="1">
      <alignment horizontal="center"/>
    </xf>
    <xf numFmtId="3" fontId="14" fillId="0" borderId="27" xfId="3" applyNumberFormat="1" applyFont="1" applyBorder="1" applyAlignment="1">
      <alignment horizontal="center"/>
    </xf>
    <xf numFmtId="3" fontId="26" fillId="0" borderId="27" xfId="0" applyNumberFormat="1" applyFont="1" applyBorder="1" applyAlignment="1">
      <alignment horizontal="center"/>
    </xf>
    <xf numFmtId="176" fontId="26" fillId="0" borderId="27" xfId="1" applyFont="1" applyBorder="1" applyAlignment="1">
      <alignment horizontal="center"/>
    </xf>
    <xf numFmtId="176" fontId="14" fillId="0" borderId="27" xfId="1" applyFont="1" applyBorder="1" applyAlignment="1">
      <alignment horizontal="center"/>
    </xf>
    <xf numFmtId="14" fontId="14" fillId="0" borderId="30" xfId="3" applyNumberFormat="1" applyFont="1" applyBorder="1" applyAlignment="1">
      <alignment horizontal="center"/>
    </xf>
    <xf numFmtId="3" fontId="14" fillId="0" borderId="30" xfId="3" applyNumberFormat="1" applyFont="1" applyBorder="1" applyAlignment="1">
      <alignment horizontal="center"/>
    </xf>
    <xf numFmtId="3" fontId="26" fillId="0" borderId="30" xfId="0" applyNumberFormat="1" applyFont="1" applyBorder="1" applyAlignment="1">
      <alignment horizontal="center"/>
    </xf>
    <xf numFmtId="176" fontId="26" fillId="0" borderId="30" xfId="1" applyFont="1" applyBorder="1" applyAlignment="1">
      <alignment horizontal="center"/>
    </xf>
    <xf numFmtId="17" fontId="14" fillId="0" borderId="9" xfId="3" applyNumberFormat="1" applyFont="1" applyBorder="1" applyAlignment="1">
      <alignment horizontal="left" vertical="center"/>
    </xf>
    <xf numFmtId="176" fontId="14" fillId="0" borderId="9" xfId="101" applyFont="1" applyFill="1" applyBorder="1" applyAlignment="1">
      <alignment horizontal="center"/>
    </xf>
    <xf numFmtId="17" fontId="14" fillId="16" borderId="9" xfId="104" applyNumberFormat="1" applyFont="1" applyFill="1" applyBorder="1" applyAlignment="1">
      <alignment horizontal="center"/>
    </xf>
    <xf numFmtId="176" fontId="14" fillId="0" borderId="25" xfId="101" applyFont="1" applyFill="1" applyBorder="1" applyAlignment="1">
      <alignment horizontal="center"/>
    </xf>
    <xf numFmtId="17" fontId="14" fillId="0" borderId="9" xfId="104" applyNumberFormat="1" applyFont="1" applyBorder="1" applyAlignment="1">
      <alignment horizontal="left" vertical="center"/>
    </xf>
    <xf numFmtId="176" fontId="14" fillId="0" borderId="27" xfId="101" applyFont="1" applyFill="1" applyBorder="1" applyAlignment="1">
      <alignment horizontal="center"/>
    </xf>
    <xf numFmtId="176" fontId="14" fillId="0" borderId="24" xfId="101" applyFont="1" applyFill="1" applyBorder="1" applyAlignment="1">
      <alignment horizontal="center"/>
    </xf>
    <xf numFmtId="176" fontId="14" fillId="0" borderId="28" xfId="101" applyFont="1" applyFill="1" applyBorder="1" applyAlignment="1">
      <alignment horizontal="center"/>
    </xf>
    <xf numFmtId="17" fontId="14" fillId="0" borderId="15" xfId="104" applyNumberFormat="1" applyFont="1" applyBorder="1" applyAlignment="1">
      <alignment horizontal="left" vertical="center"/>
    </xf>
    <xf numFmtId="17" fontId="14" fillId="16" borderId="15" xfId="104" applyNumberFormat="1" applyFont="1" applyFill="1" applyBorder="1" applyAlignment="1">
      <alignment horizontal="center"/>
    </xf>
    <xf numFmtId="14" fontId="14" fillId="12" borderId="9" xfId="3" applyNumberFormat="1" applyFont="1" applyFill="1" applyBorder="1" applyAlignment="1">
      <alignment horizontal="center"/>
    </xf>
    <xf numFmtId="2" fontId="14" fillId="0" borderId="0" xfId="100" applyNumberFormat="1" applyFont="1" applyAlignment="1">
      <alignment horizontal="left"/>
    </xf>
    <xf numFmtId="17" fontId="14" fillId="0" borderId="9" xfId="104" applyNumberFormat="1" applyFont="1" applyBorder="1" applyAlignment="1">
      <alignment horizontal="center"/>
    </xf>
    <xf numFmtId="2" fontId="14" fillId="0" borderId="24" xfId="100" applyNumberFormat="1" applyFont="1" applyBorder="1" applyAlignment="1">
      <alignment horizontal="left"/>
    </xf>
    <xf numFmtId="0" fontId="14" fillId="0" borderId="7" xfId="100" quotePrefix="1" applyFont="1" applyBorder="1" applyAlignment="1">
      <alignment horizontal="center"/>
    </xf>
    <xf numFmtId="0" fontId="14" fillId="0" borderId="15" xfId="100" applyFont="1" applyBorder="1" applyAlignment="1">
      <alignment horizontal="left" vertical="center"/>
    </xf>
    <xf numFmtId="0" fontId="14" fillId="16" borderId="15" xfId="100" applyFont="1" applyFill="1" applyBorder="1" applyAlignment="1">
      <alignment horizontal="center"/>
    </xf>
    <xf numFmtId="2" fontId="14" fillId="0" borderId="12" xfId="100" applyNumberFormat="1" applyFont="1" applyBorder="1" applyAlignment="1">
      <alignment horizontal="left"/>
    </xf>
    <xf numFmtId="176" fontId="14" fillId="0" borderId="7" xfId="101" applyFont="1" applyFill="1" applyBorder="1" applyAlignment="1">
      <alignment horizontal="center"/>
    </xf>
    <xf numFmtId="176" fontId="14" fillId="0" borderId="7" xfId="112" applyFont="1" applyFill="1" applyBorder="1" applyAlignment="1">
      <alignment horizontal="center"/>
    </xf>
    <xf numFmtId="14" fontId="14" fillId="18" borderId="9" xfId="3" applyNumberFormat="1" applyFont="1" applyFill="1" applyBorder="1" applyAlignment="1">
      <alignment horizontal="center"/>
    </xf>
    <xf numFmtId="17" fontId="14" fillId="18" borderId="9" xfId="3" applyNumberFormat="1" applyFont="1" applyFill="1" applyBorder="1" applyAlignment="1">
      <alignment horizontal="left" vertical="center"/>
    </xf>
    <xf numFmtId="17" fontId="14" fillId="0" borderId="15" xfId="100" applyNumberFormat="1" applyFont="1" applyBorder="1" applyAlignment="1">
      <alignment horizontal="left" vertical="center"/>
    </xf>
    <xf numFmtId="176" fontId="14" fillId="0" borderId="9" xfId="112" applyFont="1" applyFill="1" applyBorder="1" applyAlignment="1">
      <alignment horizontal="center"/>
    </xf>
    <xf numFmtId="176" fontId="14" fillId="0" borderId="7" xfId="106" applyFont="1" applyFill="1" applyBorder="1" applyAlignment="1">
      <alignment horizontal="center"/>
    </xf>
    <xf numFmtId="2" fontId="14" fillId="0" borderId="0" xfId="111" applyNumberFormat="1" applyFont="1" applyAlignment="1">
      <alignment horizontal="left"/>
    </xf>
    <xf numFmtId="0" fontId="14" fillId="0" borderId="15" xfId="111" applyFont="1" applyBorder="1" applyAlignment="1">
      <alignment horizontal="left" vertical="center"/>
    </xf>
    <xf numFmtId="2" fontId="14" fillId="0" borderId="24" xfId="111" applyNumberFormat="1" applyFont="1" applyBorder="1" applyAlignment="1">
      <alignment horizontal="left"/>
    </xf>
    <xf numFmtId="17" fontId="14" fillId="0" borderId="15" xfId="111" applyNumberFormat="1" applyFont="1" applyBorder="1" applyAlignment="1">
      <alignment horizontal="left" vertical="center"/>
    </xf>
    <xf numFmtId="0" fontId="14" fillId="0" borderId="32" xfId="111" applyFont="1" applyBorder="1" applyAlignment="1">
      <alignment horizontal="left" vertical="center"/>
    </xf>
    <xf numFmtId="17" fontId="14" fillId="0" borderId="33" xfId="111" applyNumberFormat="1" applyFont="1" applyBorder="1" applyAlignment="1">
      <alignment horizontal="left" vertical="center"/>
    </xf>
    <xf numFmtId="0" fontId="14" fillId="0" borderId="33" xfId="111" applyFont="1" applyBorder="1" applyAlignment="1">
      <alignment horizontal="left" vertical="center"/>
    </xf>
    <xf numFmtId="0" fontId="14" fillId="0" borderId="34" xfId="111" applyFont="1" applyBorder="1" applyAlignment="1">
      <alignment horizontal="left" vertical="center"/>
    </xf>
    <xf numFmtId="0" fontId="14" fillId="11" borderId="15" xfId="111" applyFont="1" applyFill="1" applyBorder="1" applyAlignment="1">
      <alignment horizontal="left" vertical="center"/>
    </xf>
    <xf numFmtId="16" fontId="14" fillId="0" borderId="15" xfId="111" applyNumberFormat="1" applyFont="1" applyBorder="1" applyAlignment="1">
      <alignment horizontal="left" vertical="center"/>
    </xf>
    <xf numFmtId="17" fontId="13" fillId="0" borderId="7" xfId="115" applyNumberFormat="1" applyFont="1" applyBorder="1" applyAlignment="1">
      <alignment horizontal="left" vertical="center"/>
    </xf>
    <xf numFmtId="0" fontId="26" fillId="22" borderId="0" xfId="0" applyFont="1" applyFill="1" applyAlignment="1">
      <alignment horizontal="center"/>
    </xf>
    <xf numFmtId="0" fontId="56" fillId="0" borderId="0" xfId="0" applyFont="1" applyAlignment="1">
      <alignment horizontal="left"/>
    </xf>
    <xf numFmtId="17" fontId="12" fillId="0" borderId="9" xfId="115" applyNumberFormat="1" applyFont="1" applyBorder="1" applyAlignment="1">
      <alignment horizontal="left" vertical="center"/>
    </xf>
    <xf numFmtId="0" fontId="31" fillId="0" borderId="1" xfId="0" applyFont="1" applyBorder="1" applyAlignment="1">
      <alignment horizontal="center"/>
    </xf>
    <xf numFmtId="0" fontId="44" fillId="0" borderId="0" xfId="0" applyFont="1" applyAlignment="1">
      <alignment horizontal="left"/>
    </xf>
    <xf numFmtId="0" fontId="4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6" fillId="22" borderId="1" xfId="0" applyFont="1" applyFill="1" applyBorder="1" applyAlignment="1">
      <alignment horizontal="left"/>
    </xf>
    <xf numFmtId="0" fontId="0" fillId="22" borderId="1" xfId="0" applyFill="1" applyBorder="1" applyAlignment="1">
      <alignment horizontal="left"/>
    </xf>
    <xf numFmtId="0" fontId="26" fillId="2" borderId="1" xfId="0" applyFont="1" applyFill="1" applyBorder="1" applyAlignment="1">
      <alignment horizontal="left"/>
    </xf>
    <xf numFmtId="0" fontId="26" fillId="0" borderId="1" xfId="0" quotePrefix="1" applyFont="1" applyBorder="1" applyAlignment="1">
      <alignment horizontal="left"/>
    </xf>
    <xf numFmtId="0" fontId="0" fillId="22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31" fillId="0" borderId="1" xfId="0" applyFont="1" applyBorder="1" applyAlignment="1">
      <alignment horizontal="left"/>
    </xf>
    <xf numFmtId="17" fontId="11" fillId="0" borderId="9" xfId="115" applyNumberFormat="1" applyFont="1" applyBorder="1" applyAlignment="1">
      <alignment horizontal="left" vertical="center"/>
    </xf>
    <xf numFmtId="2" fontId="11" fillId="0" borderId="0" xfId="111" applyNumberFormat="1" applyFont="1" applyAlignment="1">
      <alignment horizontal="left"/>
    </xf>
    <xf numFmtId="2" fontId="12" fillId="0" borderId="0" xfId="111" applyNumberFormat="1" applyFont="1" applyAlignment="1">
      <alignment horizontal="left"/>
    </xf>
    <xf numFmtId="17" fontId="10" fillId="0" borderId="9" xfId="115" applyNumberFormat="1" applyFont="1" applyBorder="1" applyAlignment="1">
      <alignment horizontal="left" vertical="center"/>
    </xf>
    <xf numFmtId="0" fontId="38" fillId="11" borderId="7" xfId="111" quotePrefix="1" applyFont="1" applyFill="1" applyBorder="1" applyAlignment="1">
      <alignment horizontal="center"/>
    </xf>
    <xf numFmtId="0" fontId="31" fillId="11" borderId="9" xfId="111" applyFont="1" applyFill="1" applyBorder="1" applyAlignment="1">
      <alignment horizontal="center"/>
    </xf>
    <xf numFmtId="17" fontId="9" fillId="0" borderId="7" xfId="115" applyNumberFormat="1" applyFont="1" applyBorder="1" applyAlignment="1">
      <alignment horizontal="left" vertical="center"/>
    </xf>
    <xf numFmtId="14" fontId="15" fillId="0" borderId="8" xfId="115" applyNumberFormat="1" applyBorder="1" applyAlignment="1">
      <alignment horizontal="center"/>
    </xf>
    <xf numFmtId="14" fontId="15" fillId="0" borderId="11" xfId="115" applyNumberFormat="1" applyBorder="1" applyAlignment="1">
      <alignment horizontal="center"/>
    </xf>
    <xf numFmtId="14" fontId="15" fillId="0" borderId="7" xfId="115" applyNumberFormat="1" applyBorder="1" applyAlignment="1">
      <alignment horizontal="center"/>
    </xf>
    <xf numFmtId="17" fontId="8" fillId="0" borderId="9" xfId="115" applyNumberFormat="1" applyFont="1" applyBorder="1" applyAlignment="1">
      <alignment horizontal="left" vertical="center"/>
    </xf>
    <xf numFmtId="17" fontId="7" fillId="0" borderId="9" xfId="115" applyNumberFormat="1" applyFont="1" applyBorder="1" applyAlignment="1">
      <alignment horizontal="left" vertical="center"/>
    </xf>
    <xf numFmtId="17" fontId="6" fillId="0" borderId="9" xfId="115" applyNumberFormat="1" applyFont="1" applyBorder="1" applyAlignment="1">
      <alignment horizontal="left" vertical="center"/>
    </xf>
    <xf numFmtId="17" fontId="5" fillId="0" borderId="9" xfId="115" applyNumberFormat="1" applyFont="1" applyBorder="1" applyAlignment="1">
      <alignment horizontal="left" vertical="center"/>
    </xf>
    <xf numFmtId="2" fontId="4" fillId="0" borderId="24" xfId="111" applyNumberFormat="1" applyFont="1" applyBorder="1" applyAlignment="1">
      <alignment horizontal="left"/>
    </xf>
    <xf numFmtId="2" fontId="3" fillId="0" borderId="0" xfId="111" applyNumberFormat="1" applyFont="1" applyAlignment="1">
      <alignment horizontal="left"/>
    </xf>
    <xf numFmtId="17" fontId="3" fillId="0" borderId="9" xfId="115" applyNumberFormat="1" applyFont="1" applyBorder="1" applyAlignment="1">
      <alignment horizontal="left" vertical="center"/>
    </xf>
    <xf numFmtId="0" fontId="39" fillId="5" borderId="15" xfId="111" applyFont="1" applyFill="1" applyBorder="1" applyAlignment="1">
      <alignment horizontal="center"/>
    </xf>
    <xf numFmtId="17" fontId="39" fillId="17" borderId="15" xfId="111" applyNumberFormat="1" applyFont="1" applyFill="1" applyBorder="1" applyAlignment="1">
      <alignment horizontal="center"/>
    </xf>
    <xf numFmtId="17" fontId="3" fillId="17" borderId="9" xfId="115" applyNumberFormat="1" applyFont="1" applyFill="1" applyBorder="1" applyAlignment="1">
      <alignment horizontal="left" vertical="center"/>
    </xf>
    <xf numFmtId="17" fontId="3" fillId="17" borderId="15" xfId="115" applyNumberFormat="1" applyFont="1" applyFill="1" applyBorder="1" applyAlignment="1">
      <alignment horizontal="left" vertical="center"/>
    </xf>
    <xf numFmtId="0" fontId="3" fillId="17" borderId="15" xfId="111" applyFont="1" applyFill="1" applyBorder="1" applyAlignment="1">
      <alignment horizontal="left" vertical="center"/>
    </xf>
    <xf numFmtId="17" fontId="2" fillId="0" borderId="15" xfId="115" applyNumberFormat="1" applyFont="1" applyBorder="1" applyAlignment="1">
      <alignment horizontal="left" vertical="center"/>
    </xf>
    <xf numFmtId="2" fontId="2" fillId="0" borderId="24" xfId="111" applyNumberFormat="1" applyFont="1" applyBorder="1" applyAlignment="1">
      <alignment horizontal="left"/>
    </xf>
    <xf numFmtId="14" fontId="15" fillId="12" borderId="9" xfId="115" applyNumberFormat="1" applyFill="1" applyBorder="1" applyAlignment="1">
      <alignment horizontal="center"/>
    </xf>
    <xf numFmtId="0" fontId="33" fillId="12" borderId="15" xfId="111" quotePrefix="1" applyFont="1" applyFill="1" applyBorder="1" applyAlignment="1">
      <alignment horizontal="center"/>
    </xf>
    <xf numFmtId="0" fontId="39" fillId="12" borderId="15" xfId="111" applyFont="1" applyFill="1" applyBorder="1" applyAlignment="1">
      <alignment horizontal="center"/>
    </xf>
    <xf numFmtId="17" fontId="39" fillId="12" borderId="15" xfId="111" applyNumberFormat="1" applyFont="1" applyFill="1" applyBorder="1" applyAlignment="1">
      <alignment horizontal="center"/>
    </xf>
    <xf numFmtId="17" fontId="15" fillId="12" borderId="9" xfId="115" applyNumberFormat="1" applyFill="1" applyBorder="1" applyAlignment="1">
      <alignment horizontal="left" vertical="center"/>
    </xf>
    <xf numFmtId="17" fontId="7" fillId="12" borderId="9" xfId="115" applyNumberFormat="1" applyFont="1" applyFill="1" applyBorder="1" applyAlignment="1">
      <alignment horizontal="left" vertical="center"/>
    </xf>
    <xf numFmtId="176" fontId="26" fillId="12" borderId="9" xfId="11" applyFill="1" applyBorder="1" applyAlignment="1">
      <alignment horizontal="center"/>
    </xf>
    <xf numFmtId="14" fontId="41" fillId="12" borderId="9" xfId="115" applyNumberFormat="1" applyFont="1" applyFill="1" applyBorder="1" applyAlignment="1">
      <alignment horizontal="center"/>
    </xf>
    <xf numFmtId="0" fontId="78" fillId="12" borderId="7" xfId="111" quotePrefix="1" applyFont="1" applyFill="1" applyBorder="1" applyAlignment="1">
      <alignment horizontal="center"/>
    </xf>
    <xf numFmtId="0" fontId="78" fillId="12" borderId="15" xfId="111" quotePrefix="1" applyFont="1" applyFill="1" applyBorder="1" applyAlignment="1">
      <alignment horizontal="center"/>
    </xf>
    <xf numFmtId="0" fontId="79" fillId="12" borderId="15" xfId="111" applyFont="1" applyFill="1" applyBorder="1" applyAlignment="1">
      <alignment horizontal="center"/>
    </xf>
    <xf numFmtId="17" fontId="79" fillId="12" borderId="15" xfId="111" applyNumberFormat="1" applyFont="1" applyFill="1" applyBorder="1" applyAlignment="1">
      <alignment horizontal="center"/>
    </xf>
    <xf numFmtId="17" fontId="41" fillId="12" borderId="9" xfId="115" applyNumberFormat="1" applyFont="1" applyFill="1" applyBorder="1" applyAlignment="1">
      <alignment horizontal="left" vertical="center"/>
    </xf>
    <xf numFmtId="17" fontId="75" fillId="12" borderId="15" xfId="111" applyNumberFormat="1" applyFont="1" applyFill="1" applyBorder="1" applyAlignment="1">
      <alignment horizontal="center"/>
    </xf>
    <xf numFmtId="17" fontId="67" fillId="12" borderId="9" xfId="115" applyNumberFormat="1" applyFont="1" applyFill="1" applyBorder="1" applyAlignment="1">
      <alignment horizontal="left" vertical="center"/>
    </xf>
    <xf numFmtId="17" fontId="3" fillId="12" borderId="9" xfId="115" applyNumberFormat="1" applyFont="1" applyFill="1" applyBorder="1" applyAlignment="1">
      <alignment horizontal="left" vertical="center"/>
    </xf>
    <xf numFmtId="17" fontId="2" fillId="12" borderId="9" xfId="115" applyNumberFormat="1" applyFont="1" applyFill="1" applyBorder="1" applyAlignment="1">
      <alignment horizontal="left" vertical="center"/>
    </xf>
    <xf numFmtId="17" fontId="4" fillId="12" borderId="9" xfId="115" applyNumberFormat="1" applyFont="1" applyFill="1" applyBorder="1" applyAlignment="1">
      <alignment horizontal="left" vertical="center"/>
    </xf>
    <xf numFmtId="2" fontId="2" fillId="0" borderId="0" xfId="111" applyNumberFormat="1" applyFont="1" applyAlignment="1">
      <alignment horizontal="left"/>
    </xf>
    <xf numFmtId="3" fontId="41" fillId="12" borderId="0" xfId="111" applyNumberFormat="1" applyFont="1" applyFill="1" applyAlignment="1">
      <alignment horizontal="center"/>
    </xf>
    <xf numFmtId="176" fontId="15" fillId="12" borderId="9" xfId="112" applyFill="1" applyBorder="1" applyAlignment="1">
      <alignment horizontal="center"/>
    </xf>
    <xf numFmtId="176" fontId="15" fillId="0" borderId="9" xfId="112" applyFill="1" applyBorder="1" applyAlignment="1">
      <alignment horizontal="center"/>
    </xf>
    <xf numFmtId="0" fontId="26" fillId="2" borderId="9" xfId="111" applyFont="1" applyFill="1" applyBorder="1" applyAlignment="1">
      <alignment horizontal="center"/>
    </xf>
    <xf numFmtId="17" fontId="1" fillId="0" borderId="9" xfId="115" applyNumberFormat="1" applyFont="1" applyBorder="1" applyAlignment="1">
      <alignment horizontal="left" vertical="center"/>
    </xf>
    <xf numFmtId="0" fontId="26" fillId="2" borderId="1" xfId="0" applyFont="1" applyFill="1" applyBorder="1" applyAlignment="1">
      <alignment horizontal="center"/>
    </xf>
    <xf numFmtId="176" fontId="31" fillId="2" borderId="3" xfId="113" applyFont="1" applyFill="1" applyBorder="1" applyAlignment="1">
      <alignment horizontal="center" vertical="center" wrapText="1"/>
    </xf>
    <xf numFmtId="176" fontId="31" fillId="2" borderId="4" xfId="113" applyFont="1" applyFill="1" applyBorder="1" applyAlignment="1">
      <alignment horizontal="center" vertical="center"/>
    </xf>
    <xf numFmtId="176" fontId="31" fillId="2" borderId="5" xfId="113" applyFont="1" applyFill="1" applyBorder="1" applyAlignment="1">
      <alignment horizontal="center" vertical="center"/>
    </xf>
    <xf numFmtId="176" fontId="31" fillId="2" borderId="4" xfId="1" applyFont="1" applyFill="1" applyBorder="1" applyAlignment="1">
      <alignment horizontal="center"/>
    </xf>
    <xf numFmtId="176" fontId="31" fillId="2" borderId="5" xfId="1" applyFont="1" applyFill="1" applyBorder="1" applyAlignment="1">
      <alignment horizontal="center"/>
    </xf>
    <xf numFmtId="176" fontId="31" fillId="2" borderId="3" xfId="1" applyFont="1" applyFill="1" applyBorder="1" applyAlignment="1">
      <alignment horizontal="center"/>
    </xf>
    <xf numFmtId="176" fontId="31" fillId="2" borderId="3" xfId="1" applyFont="1" applyFill="1" applyBorder="1" applyAlignment="1">
      <alignment horizontal="center" vertical="center" wrapText="1"/>
    </xf>
    <xf numFmtId="176" fontId="31" fillId="2" borderId="4" xfId="1" applyFont="1" applyFill="1" applyBorder="1" applyAlignment="1">
      <alignment horizontal="center" vertical="center"/>
    </xf>
    <xf numFmtId="176" fontId="31" fillId="2" borderId="5" xfId="1" applyFont="1" applyFill="1" applyBorder="1" applyAlignment="1">
      <alignment horizontal="center" vertical="center"/>
    </xf>
    <xf numFmtId="176" fontId="31" fillId="2" borderId="3" xfId="106" applyFont="1" applyFill="1" applyBorder="1" applyAlignment="1">
      <alignment horizontal="center" vertical="center" wrapText="1"/>
    </xf>
    <xf numFmtId="176" fontId="31" fillId="2" borderId="4" xfId="106" applyFont="1" applyFill="1" applyBorder="1" applyAlignment="1">
      <alignment horizontal="center" vertical="center"/>
    </xf>
    <xf numFmtId="176" fontId="31" fillId="2" borderId="5" xfId="106" applyFont="1" applyFill="1" applyBorder="1" applyAlignment="1">
      <alignment horizontal="center" vertical="center"/>
    </xf>
    <xf numFmtId="176" fontId="31" fillId="2" borderId="3" xfId="112" applyFont="1" applyFill="1" applyBorder="1" applyAlignment="1">
      <alignment horizontal="center" vertical="center" wrapText="1"/>
    </xf>
    <xf numFmtId="176" fontId="31" fillId="2" borderId="4" xfId="112" applyFont="1" applyFill="1" applyBorder="1" applyAlignment="1">
      <alignment horizontal="center" vertical="center"/>
    </xf>
    <xf numFmtId="176" fontId="31" fillId="2" borderId="5" xfId="112" applyFont="1" applyFill="1" applyBorder="1" applyAlignment="1">
      <alignment horizontal="center" vertical="center"/>
    </xf>
    <xf numFmtId="176" fontId="26" fillId="0" borderId="0" xfId="112" applyFont="1" applyAlignment="1">
      <alignment horizontal="center" vertical="center"/>
    </xf>
    <xf numFmtId="176" fontId="26" fillId="0" borderId="0" xfId="112" applyFont="1" applyAlignment="1">
      <alignment vertical="center"/>
    </xf>
    <xf numFmtId="176" fontId="26" fillId="0" borderId="18" xfId="112" applyFont="1" applyBorder="1" applyAlignment="1">
      <alignment horizontal="center" vertical="center"/>
    </xf>
    <xf numFmtId="176" fontId="15" fillId="0" borderId="9" xfId="112" applyBorder="1" applyAlignment="1">
      <alignment horizontal="center" vertical="center"/>
    </xf>
    <xf numFmtId="176" fontId="0" fillId="0" borderId="15" xfId="112" applyFont="1" applyBorder="1" applyAlignment="1">
      <alignment horizontal="center" vertical="center"/>
    </xf>
    <xf numFmtId="176" fontId="26" fillId="0" borderId="19" xfId="112" applyFont="1" applyBorder="1" applyAlignment="1">
      <alignment horizontal="center" vertical="center"/>
    </xf>
    <xf numFmtId="0" fontId="26" fillId="0" borderId="0" xfId="111" applyFont="1" applyAlignment="1">
      <alignment horizontal="center" vertical="center"/>
    </xf>
    <xf numFmtId="0" fontId="26" fillId="0" borderId="0" xfId="111" applyFont="1" applyAlignment="1">
      <alignment vertical="center"/>
    </xf>
    <xf numFmtId="0" fontId="26" fillId="0" borderId="16" xfId="111" applyFont="1" applyBorder="1" applyAlignment="1">
      <alignment horizontal="center" vertical="center"/>
    </xf>
    <xf numFmtId="0" fontId="26" fillId="0" borderId="7" xfId="111" applyFont="1" applyBorder="1" applyAlignment="1">
      <alignment horizontal="center" vertical="center"/>
    </xf>
    <xf numFmtId="0" fontId="26" fillId="0" borderId="23" xfId="111" applyFont="1" applyBorder="1" applyAlignment="1">
      <alignment horizontal="center" vertical="center"/>
    </xf>
    <xf numFmtId="0" fontId="26" fillId="0" borderId="9" xfId="111" applyFont="1" applyBorder="1" applyAlignment="1">
      <alignment horizontal="center" vertical="center"/>
    </xf>
    <xf numFmtId="0" fontId="26" fillId="0" borderId="13" xfId="111" applyFont="1" applyBorder="1" applyAlignment="1">
      <alignment horizontal="center" vertical="center"/>
    </xf>
    <xf numFmtId="0" fontId="26" fillId="0" borderId="8" xfId="111" applyFont="1" applyBorder="1" applyAlignment="1">
      <alignment horizontal="center" vertical="center"/>
    </xf>
  </cellXfs>
  <cellStyles count="117">
    <cellStyle name="Comma 10" xfId="6" xr:uid="{00000000-0005-0000-0000-000001000000}"/>
    <cellStyle name="Comma 13" xfId="7" xr:uid="{00000000-0005-0000-0000-000002000000}"/>
    <cellStyle name="Comma 14" xfId="29" xr:uid="{00000000-0005-0000-0000-000003000000}"/>
    <cellStyle name="Comma 14 2" xfId="61" xr:uid="{00000000-0005-0000-0000-000004000000}"/>
    <cellStyle name="Comma 14 3" xfId="92" xr:uid="{00000000-0005-0000-0000-000005000000}"/>
    <cellStyle name="Comma 15" xfId="8" xr:uid="{00000000-0005-0000-0000-000006000000}"/>
    <cellStyle name="Comma 2" xfId="9" xr:uid="{00000000-0005-0000-0000-000007000000}"/>
    <cellStyle name="Comma 2 2" xfId="43" xr:uid="{00000000-0005-0000-0000-000008000000}"/>
    <cellStyle name="Comma 2 3" xfId="27" xr:uid="{00000000-0005-0000-0000-000009000000}"/>
    <cellStyle name="Comma 2 3 2" xfId="59" xr:uid="{00000000-0005-0000-0000-00000A000000}"/>
    <cellStyle name="Comma 2 3 3" xfId="90" xr:uid="{00000000-0005-0000-0000-00000B000000}"/>
    <cellStyle name="Comma 2 4" xfId="74" xr:uid="{00000000-0005-0000-0000-00000C000000}"/>
    <cellStyle name="Comma 2 5" xfId="102" xr:uid="{030AE0B1-8048-48DF-A985-36F45D17A62E}"/>
    <cellStyle name="Comma 2 5 2" xfId="107" xr:uid="{EDC05AF1-1359-43E4-83E1-DB292397868A}"/>
    <cellStyle name="Comma 2 5 3" xfId="113" xr:uid="{E4D3C624-3120-40A0-9260-C9370FCFA5D8}"/>
    <cellStyle name="Comma 3" xfId="10" xr:uid="{00000000-0005-0000-0000-00000D000000}"/>
    <cellStyle name="Comma 3 2" xfId="44" xr:uid="{00000000-0005-0000-0000-00000E000000}"/>
    <cellStyle name="Comma 3 3" xfId="75" xr:uid="{00000000-0005-0000-0000-00000F000000}"/>
    <cellStyle name="Comma 4" xfId="11" xr:uid="{00000000-0005-0000-0000-000010000000}"/>
    <cellStyle name="Comma 5" xfId="12" xr:uid="{00000000-0005-0000-0000-000011000000}"/>
    <cellStyle name="Comma 5 2" xfId="45" xr:uid="{00000000-0005-0000-0000-000012000000}"/>
    <cellStyle name="Comma 5 3" xfId="76" xr:uid="{00000000-0005-0000-0000-000013000000}"/>
    <cellStyle name="Comma 6" xfId="101" xr:uid="{B3D56D95-BDA4-40E9-BF06-5D295F3D3F15}"/>
    <cellStyle name="Comma 6 2" xfId="106" xr:uid="{6DEBCEEB-7D39-497E-87A6-A192CD0F4273}"/>
    <cellStyle name="Comma 6 3" xfId="112" xr:uid="{7A235407-CE83-44BB-9ED9-8164850A98CD}"/>
    <cellStyle name="Comma 7" xfId="31" xr:uid="{00000000-0005-0000-0000-000014000000}"/>
    <cellStyle name="Comma 7 2" xfId="63" xr:uid="{00000000-0005-0000-0000-000015000000}"/>
    <cellStyle name="Comma 7 3" xfId="94" xr:uid="{00000000-0005-0000-0000-000016000000}"/>
    <cellStyle name="Comma 8 2" xfId="32" xr:uid="{00000000-0005-0000-0000-000017000000}"/>
    <cellStyle name="Comma 8 2 2" xfId="64" xr:uid="{00000000-0005-0000-0000-000018000000}"/>
    <cellStyle name="Comma 8 2 3" xfId="95" xr:uid="{00000000-0005-0000-0000-000019000000}"/>
    <cellStyle name="Normal 10" xfId="37" xr:uid="{00000000-0005-0000-0000-00001B000000}"/>
    <cellStyle name="Normal 11" xfId="69" xr:uid="{00000000-0005-0000-0000-00001C000000}"/>
    <cellStyle name="Normal 12" xfId="100" xr:uid="{9B4D3352-FF52-4C38-84E3-E407891E047A}"/>
    <cellStyle name="Normal 12 2" xfId="105" xr:uid="{2D2D6FA1-0A31-4264-8A91-9704DC1010D4}"/>
    <cellStyle name="Normal 12 3" xfId="111" xr:uid="{7360033C-29FE-40E0-B388-340BD17E2A74}"/>
    <cellStyle name="Normal 2" xfId="13" xr:uid="{00000000-0005-0000-0000-00001D000000}"/>
    <cellStyle name="Normal 2 2" xfId="14" xr:uid="{00000000-0005-0000-0000-00001E000000}"/>
    <cellStyle name="Normal 2 2 2" xfId="15" xr:uid="{00000000-0005-0000-0000-00001F000000}"/>
    <cellStyle name="Normal 2 2 2 2" xfId="48" xr:uid="{00000000-0005-0000-0000-000020000000}"/>
    <cellStyle name="Normal 2 2 2 3" xfId="79" xr:uid="{00000000-0005-0000-0000-000021000000}"/>
    <cellStyle name="Normal 2 2 3" xfId="47" xr:uid="{00000000-0005-0000-0000-000022000000}"/>
    <cellStyle name="Normal 2 2 4" xfId="78" xr:uid="{00000000-0005-0000-0000-000023000000}"/>
    <cellStyle name="Normal 2 3" xfId="16" xr:uid="{00000000-0005-0000-0000-000024000000}"/>
    <cellStyle name="Normal 2 3 2" xfId="2" xr:uid="{00000000-0005-0000-0000-000025000000}"/>
    <cellStyle name="Normal 2 3 2 2" xfId="39" xr:uid="{00000000-0005-0000-0000-000026000000}"/>
    <cellStyle name="Normal 2 3 2 3" xfId="70" xr:uid="{00000000-0005-0000-0000-000027000000}"/>
    <cellStyle name="Normal 2 3 2 4" xfId="103" xr:uid="{6ACF1EC3-1685-483F-A7BC-38F8A64B430F}"/>
    <cellStyle name="Normal 2 3 2 4 2" xfId="33" xr:uid="{00000000-0005-0000-0000-000028000000}"/>
    <cellStyle name="Normal 2 3 2 4 2 2" xfId="65" xr:uid="{00000000-0005-0000-0000-000029000000}"/>
    <cellStyle name="Normal 2 3 2 4 2 3" xfId="96" xr:uid="{00000000-0005-0000-0000-00002A000000}"/>
    <cellStyle name="Normal 2 3 2 4 3" xfId="108" xr:uid="{F6FB55BD-3541-47FC-A025-02D12AF39976}"/>
    <cellStyle name="Normal 2 3 2 4 4" xfId="114" xr:uid="{8558D0CC-F85B-476D-9038-B58568057659}"/>
    <cellStyle name="Normal 2 3 3" xfId="49" xr:uid="{00000000-0005-0000-0000-00002B000000}"/>
    <cellStyle name="Normal 2 3 4" xfId="80" xr:uid="{00000000-0005-0000-0000-00002C000000}"/>
    <cellStyle name="Normal 2 4" xfId="17" xr:uid="{00000000-0005-0000-0000-00002D000000}"/>
    <cellStyle name="Normal 2 4 2" xfId="50" xr:uid="{00000000-0005-0000-0000-00002E000000}"/>
    <cellStyle name="Normal 2 4 3" xfId="81" xr:uid="{00000000-0005-0000-0000-00002F000000}"/>
    <cellStyle name="Normal 2 5" xfId="18" xr:uid="{00000000-0005-0000-0000-000030000000}"/>
    <cellStyle name="Normal 2 5 2" xfId="51" xr:uid="{00000000-0005-0000-0000-000031000000}"/>
    <cellStyle name="Normal 2 5 3" xfId="82" xr:uid="{00000000-0005-0000-0000-000032000000}"/>
    <cellStyle name="Normal 2 6" xfId="46" xr:uid="{00000000-0005-0000-0000-000033000000}"/>
    <cellStyle name="Normal 2 7" xfId="77" xr:uid="{00000000-0005-0000-0000-000034000000}"/>
    <cellStyle name="Normal 3" xfId="4" xr:uid="{00000000-0005-0000-0000-000035000000}"/>
    <cellStyle name="Normal 3 2" xfId="19" xr:uid="{00000000-0005-0000-0000-000036000000}"/>
    <cellStyle name="Normal 3 2 2" xfId="52" xr:uid="{00000000-0005-0000-0000-000037000000}"/>
    <cellStyle name="Normal 3 2 3" xfId="83" xr:uid="{00000000-0005-0000-0000-000038000000}"/>
    <cellStyle name="Normal 3 3" xfId="41" xr:uid="{00000000-0005-0000-0000-000039000000}"/>
    <cellStyle name="Normal 3 4" xfId="72" xr:uid="{00000000-0005-0000-0000-00003A000000}"/>
    <cellStyle name="Normal 3 5 2" xfId="35" xr:uid="{00000000-0005-0000-0000-00003B000000}"/>
    <cellStyle name="Normal 3 5 2 2" xfId="67" xr:uid="{00000000-0005-0000-0000-00003C000000}"/>
    <cellStyle name="Normal 3 5 2 3" xfId="98" xr:uid="{00000000-0005-0000-0000-00003D000000}"/>
    <cellStyle name="Normal 4" xfId="20" xr:uid="{00000000-0005-0000-0000-00003E000000}"/>
    <cellStyle name="Normal 4 2" xfId="5" xr:uid="{00000000-0005-0000-0000-00003F000000}"/>
    <cellStyle name="Normal 4 2 2" xfId="42" xr:uid="{00000000-0005-0000-0000-000040000000}"/>
    <cellStyle name="Normal 4 2 3" xfId="73" xr:uid="{00000000-0005-0000-0000-000041000000}"/>
    <cellStyle name="Normal 4 3" xfId="53" xr:uid="{00000000-0005-0000-0000-000042000000}"/>
    <cellStyle name="Normal 4 4" xfId="84" xr:uid="{00000000-0005-0000-0000-000043000000}"/>
    <cellStyle name="Normal 5" xfId="21" xr:uid="{00000000-0005-0000-0000-000044000000}"/>
    <cellStyle name="Normal 5 2" xfId="22" xr:uid="{00000000-0005-0000-0000-000045000000}"/>
    <cellStyle name="Normal 5 2 2" xfId="55" xr:uid="{00000000-0005-0000-0000-000046000000}"/>
    <cellStyle name="Normal 5 2 3" xfId="86" xr:uid="{00000000-0005-0000-0000-000047000000}"/>
    <cellStyle name="Normal 5 3" xfId="54" xr:uid="{00000000-0005-0000-0000-000048000000}"/>
    <cellStyle name="Normal 5 4" xfId="85" xr:uid="{00000000-0005-0000-0000-000049000000}"/>
    <cellStyle name="Normal 6" xfId="23" xr:uid="{00000000-0005-0000-0000-00004A000000}"/>
    <cellStyle name="Normal 6 2" xfId="3" xr:uid="{00000000-0005-0000-0000-00004B000000}"/>
    <cellStyle name="Normal 6 2 2" xfId="40" xr:uid="{00000000-0005-0000-0000-00004C000000}"/>
    <cellStyle name="Normal 6 2 3" xfId="71" xr:uid="{00000000-0005-0000-0000-00004D000000}"/>
    <cellStyle name="Normal 6 2 4" xfId="26" xr:uid="{00000000-0005-0000-0000-00004E000000}"/>
    <cellStyle name="Normal 6 2 4 2" xfId="58" xr:uid="{00000000-0005-0000-0000-00004F000000}"/>
    <cellStyle name="Normal 6 2 4 3" xfId="89" xr:uid="{00000000-0005-0000-0000-000050000000}"/>
    <cellStyle name="Normal 6 2 4 4" xfId="30" xr:uid="{00000000-0005-0000-0000-000051000000}"/>
    <cellStyle name="Normal 6 2 4 4 2" xfId="62" xr:uid="{00000000-0005-0000-0000-000052000000}"/>
    <cellStyle name="Normal 6 2 4 4 3" xfId="93" xr:uid="{00000000-0005-0000-0000-000053000000}"/>
    <cellStyle name="Normal 6 2 4 5" xfId="110" xr:uid="{B99405F5-6D8C-4DA8-8356-CF4D39AE945E}"/>
    <cellStyle name="Normal 6 2 4 5 2" xfId="36" xr:uid="{00000000-0005-0000-0000-000054000000}"/>
    <cellStyle name="Normal 6 2 4 5 2 2" xfId="68" xr:uid="{00000000-0005-0000-0000-000055000000}"/>
    <cellStyle name="Normal 6 2 4 5 2 3" xfId="99" xr:uid="{00000000-0005-0000-0000-000056000000}"/>
    <cellStyle name="Normal 6 2 4 6" xfId="116" xr:uid="{FD4839FB-51F1-40D3-B60A-8DB883762794}"/>
    <cellStyle name="Normal 6 2 5" xfId="104" xr:uid="{659BD6D4-6D0D-4EAC-A797-E8EE9B639615}"/>
    <cellStyle name="Normal 6 2 5 2" xfId="34" xr:uid="{00000000-0005-0000-0000-000057000000}"/>
    <cellStyle name="Normal 6 2 5 2 2" xfId="66" xr:uid="{00000000-0005-0000-0000-000058000000}"/>
    <cellStyle name="Normal 6 2 5 2 3" xfId="97" xr:uid="{00000000-0005-0000-0000-000059000000}"/>
    <cellStyle name="Normal 6 2 5 3" xfId="109" xr:uid="{3F9056B4-0C71-4F6A-A5C8-244D2B6A3D53}"/>
    <cellStyle name="Normal 6 2 5 4" xfId="115" xr:uid="{DB997171-6303-4AC3-80A6-4217525D2221}"/>
    <cellStyle name="Normal 6 2 6" xfId="28" xr:uid="{00000000-0005-0000-0000-00005A000000}"/>
    <cellStyle name="Normal 6 2 6 2" xfId="60" xr:uid="{00000000-0005-0000-0000-00005B000000}"/>
    <cellStyle name="Normal 6 2 6 3" xfId="91" xr:uid="{00000000-0005-0000-0000-00005C000000}"/>
    <cellStyle name="Normal 6 3" xfId="56" xr:uid="{00000000-0005-0000-0000-00005D000000}"/>
    <cellStyle name="Normal 6 4" xfId="87" xr:uid="{00000000-0005-0000-0000-00005E000000}"/>
    <cellStyle name="Normal 7" xfId="24" xr:uid="{00000000-0005-0000-0000-00005F000000}"/>
    <cellStyle name="Normal 8" xfId="25" xr:uid="{00000000-0005-0000-0000-000060000000}"/>
    <cellStyle name="Normal 8 2" xfId="57" xr:uid="{00000000-0005-0000-0000-000061000000}"/>
    <cellStyle name="Normal 8 3" xfId="88" xr:uid="{00000000-0005-0000-0000-000062000000}"/>
    <cellStyle name="Normal 9" xfId="38" xr:uid="{00000000-0005-0000-0000-000063000000}"/>
    <cellStyle name="常规" xfId="0" builtinId="0"/>
    <cellStyle name="千位分隔" xfId="1" builtinId="3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ngSong"/>
        <family val="3"/>
        <scheme val="none"/>
      </font>
      <numFmt numFmtId="22" formatCode="mmm\-yy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angSong"/>
        <family val="3"/>
        <scheme val="none"/>
      </font>
      <numFmt numFmtId="22" formatCode="mmm\-yy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FangSong"/>
        <family val="3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80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5E2AB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42" Type="http://schemas.openxmlformats.org/officeDocument/2006/relationships/customXml" Target="../customXml/item5.xml"/><Relationship Id="rId47" Type="http://schemas.openxmlformats.org/officeDocument/2006/relationships/customXml" Target="../customXml/item10.xml"/><Relationship Id="rId50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45" Type="http://schemas.openxmlformats.org/officeDocument/2006/relationships/customXml" Target="../customXml/item8.xml"/><Relationship Id="rId53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customXml" Target="../customXml/item7.xml"/><Relationship Id="rId52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6.xml"/><Relationship Id="rId48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46" Type="http://schemas.openxmlformats.org/officeDocument/2006/relationships/customXml" Target="../customXml/item9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4.xml"/><Relationship Id="rId54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powerPivotData" Target="model/item.data"/><Relationship Id="rId49" Type="http://schemas.openxmlformats.org/officeDocument/2006/relationships/customXml" Target="../customXml/item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957906</xdr:colOff>
      <xdr:row>3</xdr:row>
      <xdr:rowOff>85725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006E9BE9-5277-4BB1-99E2-836ECB666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84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957906</xdr:colOff>
      <xdr:row>3</xdr:row>
      <xdr:rowOff>85725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29185049-D76D-44D5-BDE3-ED71E6B9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5151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957906</xdr:colOff>
      <xdr:row>3</xdr:row>
      <xdr:rowOff>85725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00619479-559F-4AC3-B27F-5BB4A6D0F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5151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84923</xdr:colOff>
      <xdr:row>3</xdr:row>
      <xdr:rowOff>85725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9699E786-07A2-42F5-8B91-9885F94E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84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238931</xdr:colOff>
      <xdr:row>2</xdr:row>
      <xdr:rowOff>157163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0808554D-63C5-42DE-95CF-EC5D490EF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484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38</xdr:col>
      <xdr:colOff>184752</xdr:colOff>
      <xdr:row>45</xdr:row>
      <xdr:rowOff>162474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AA41DD-EFE8-26D7-24AC-55612D14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9292" y="9302750"/>
          <a:ext cx="11710002" cy="387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280594</xdr:colOff>
      <xdr:row>3</xdr:row>
      <xdr:rowOff>66675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CACD5A66-6E8B-4FF5-B78C-A879F548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1903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280594</xdr:colOff>
      <xdr:row>3</xdr:row>
      <xdr:rowOff>66675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E7B19C5B-E53E-4517-8F68-D57F4FF2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1903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280594</xdr:colOff>
      <xdr:row>3</xdr:row>
      <xdr:rowOff>66675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7F99C21C-840B-4933-934C-2CBFBD2A2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1903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293320</xdr:colOff>
      <xdr:row>3</xdr:row>
      <xdr:rowOff>66675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048E1B45-A44E-4AAC-B5CF-9785F052A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176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291354</xdr:colOff>
      <xdr:row>3</xdr:row>
      <xdr:rowOff>66675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8DD844C2-C6AE-4446-AC25-EE74858CB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9796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290125</xdr:colOff>
      <xdr:row>3</xdr:row>
      <xdr:rowOff>66675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C1E3CCE5-60A6-4E0B-B319-2C2AC9716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567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294046</xdr:colOff>
      <xdr:row>3</xdr:row>
      <xdr:rowOff>66675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2AA67B2A-D7A8-4C1F-8A33-D7829954F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248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297509</xdr:colOff>
      <xdr:row>3</xdr:row>
      <xdr:rowOff>66675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B0652773-6036-46AF-9D22-36CCFA303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951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10</xdr:col>
      <xdr:colOff>257647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4E5A50F8-E2EB-47F7-9FEC-B723B733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257647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8D5504E9-8032-494A-8389-A2A7B2E8D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257647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5DEA4CC2-420C-4114-85DD-3E607DAA2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270373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04D687F5-ABC8-4B5A-8838-3F560A14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099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268407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58065058-BFCB-4CF6-BDB9-38B515A5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03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267178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F97767EB-FDBC-4DB6-81ED-F56E5B188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780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271099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7B7A3572-AA44-4496-8E5D-5BCE3E768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172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274562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7F9F4BCD-543C-4560-892A-182819F7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5187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4</xdr:col>
      <xdr:colOff>695604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6DEDCCDE-91D8-4EB1-800A-8AC149146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695604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E4E1BC81-5D44-4D28-AFCE-035E3E4F1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695604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A68E5825-3AD4-4AED-BE4B-8D976ED4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708330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9786C256-9932-460B-83C0-360D2A3C8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706364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03870E00-CF85-4898-B79D-98522ADC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705135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FD3F782D-C8D8-46EB-8514-2ED849BD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709056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57B04FDC-7741-43C8-A944-13B1C4A99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4</xdr:col>
      <xdr:colOff>712519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24C6DF14-6AB9-40C4-9861-D9F1B4D8B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8DE5F0D7-4EFB-4888-83C3-DEBBDA2E6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D251E9B4-043C-4A5C-A4FA-763EE7FE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9DF59EFE-4AEC-4F26-8EBC-400A2E13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10600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2CE673AB-756D-400C-A379-AFF50DEAE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099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8634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B9401AA7-961D-4B35-B4B6-3FCFE0FEB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03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7405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D76E0228-5C46-4F0D-989C-DF0464F41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780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11326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5A5EBF03-160B-40AE-9515-B525EACB8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172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14789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71F7AE97-BB59-4B3C-8D87-F8967C7F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5187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D0369811-04E6-4073-A458-FBC4DA378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C64F9FA0-E642-4343-A811-8A888A1B9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AC5F77CD-2DB4-4DA9-BFBC-E16543E84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55DF2CD3-E7F5-4AF7-9D7D-2E87E628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73AA9CF9-58AC-46D7-8513-2BAD04D1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575D3365-3A9B-4969-A02D-C6C520260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00388658-0B99-4758-9293-94D0F0DE7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1320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47A30E02-1E1F-4120-9AAD-4595219DD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BADF823D-4DFF-4603-BBBB-BDFC08AD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9C7583D5-88B9-4A7F-A29E-2A3EF857C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2204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0402D656-78AD-4232-AD68-9E5C536F5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827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10600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64D33D56-156A-4093-9602-F9D358EBA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099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8634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8C6D346C-7EC4-4927-AD04-71D35CB1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032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7405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C2E6CB4C-1060-48CC-9F56-76CEDAAE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780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11326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4815A8D4-A69F-4C4A-84D8-7095465F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172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10</xdr:col>
      <xdr:colOff>14789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3A1AEEF1-0F3C-4357-9A58-542D08F5A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5187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BC24602F-F1F1-4460-946E-A98E28D96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F2B3509C-BE55-4F7A-A86F-A4090C7DE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4BB4ADFD-1A3E-4CA6-856D-0CEE6FE6B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3370484B-8626-4DA8-8745-F69FF5026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C8C9E78A-E2B9-4FE5-A66F-8738D2282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DA5C1EF8-E775-4561-9CCC-ECD0137B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B3D030CF-B74B-4932-83F5-B8AB7AC5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1320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BDF411A5-BB09-4FC4-8527-5926477F6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E8D6352A-73C5-4554-A49E-6D7CAE8A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660462A7-2EF2-4051-9DAC-1D7DD22BE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EE24A43A-11FF-4DD4-9DE8-47A79C313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19EBE382-19EC-4CBB-BF2F-DCEC37042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044B0639-7E77-47B5-BC76-3D0F3598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0A8DC10C-42CC-4E03-9275-025ED7228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AFD9E5B4-4BE0-499E-A171-2E4167A53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1320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61A852BA-4CD1-468B-A696-F6B90FFC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74AE7F4A-ECD9-41CF-8F4A-BA22D525F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D453ED02-7117-467C-93AE-C9513334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5C345BDD-F10E-4D89-BBA2-78D4A44D7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D47FF755-43CF-4532-85AF-B6971894C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7EFF351E-6845-45D5-9A0B-BEEBD8E2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7A391052-350D-4D12-8F8A-3781DE376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AB2FB21B-94DA-4940-AE2D-2D5FC0762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1320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61CB3CEC-C06E-4C31-86E4-2CAE26F7E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FEEF9F1B-FA3F-4518-AD9C-93CAF14B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0C9BA71D-9EE3-4EE6-8EAB-F6DEEA07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17E4A661-36ED-4F1B-B9F7-1E239E3FB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B7DBF17F-57FD-4167-8AFD-D8098ED03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176D0CBA-D389-41D0-9CDF-6C2864F36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1BA03826-3E00-4F6B-A957-360D46BB5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7923F17B-F41A-4A59-AEE9-EC98C7DF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9DD3A87A-FCF1-4FAE-BA78-75C88DD33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D4114527-8C99-4437-813C-CC2E3A8E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465C5DC1-2402-4D0E-AE99-B6E3559F0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2FD0405E-73DB-4BC8-B691-22AF0CF9F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773C6B7B-0783-48DD-A964-972CBF03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3FE90D85-00BC-4A9B-BB41-4B7D3A89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52D96F84-9F28-4DF9-ABF5-44CFAF4E8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F165AD8F-78DA-47DB-8DA2-3293C013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3C5993E4-2200-4CCC-BB7D-3E152DEB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84193D47-9E4F-4541-B461-082D5939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C53FBF98-AA59-464F-98FB-0CDE02FB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0AD6F994-8DC9-4A86-98D7-5946A637D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A9140E11-0542-4BEE-8132-FC6196B9F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B802CEEA-3759-419E-9B61-253E84A3E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11ED5ADD-E9DA-43DA-A0A8-B73D2D41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06C749F4-CE7C-42CE-9FD7-B099DF34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F7ECAC3A-F458-48D2-89A7-7FF027E73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A5D28AAC-BDD6-44BA-93B3-EBB47EDD9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4E5D1558-35BD-4725-BACD-3EE7A255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F7DF4784-0FFA-4D2C-9E71-B7C41FA19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A2BDD4D2-759F-47C0-A13C-B26F9562A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C77AA784-F7D3-4B7F-8EC7-88D1EEA4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E250722B-CE00-4538-BD4F-704A42D03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E4EF63AE-2BE4-4EAA-9045-426D8279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43D89E1A-F869-4FD8-9742-A10BD766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7C7E80A3-D00A-47E8-AD20-3FA850EC1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9B097DD4-7054-4A2D-AD9A-D9095A20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F6057934-5687-47A7-B743-4A43EA824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B759E3B1-3F86-4498-BD99-81D2ACFC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9D99E6ED-1415-4002-97BB-B9F7BE70A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6A5FBFCA-5E35-48FA-AD72-937F4470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B0A12B96-DCB2-49AA-969B-3426A1422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F36EB4D6-A83D-4393-BA79-A25890830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91459B1A-EC08-4DDA-9A3C-384E2F731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BB391F24-B169-4732-9752-85742874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8B9F4299-51A8-460D-B5CE-95106B340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2FF10654-FDA2-4AD7-804B-2E466AA70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BD31F719-F6FB-4824-8271-A142C838C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1DAFF779-929C-4A22-8E78-3C8198DE9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DEF08963-1D0F-4062-B118-7A4E8299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1320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EDE9BB45-D2CB-45FB-82DC-EE4FA5F24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62BC9756-87F9-43EF-819A-41848BC6A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F28961D2-42D8-4B8F-B8A3-AB14913F1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5F71F12A-C107-477E-A70B-6B544ECB0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A69F656E-DEE7-465E-B849-A24B221B6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51B0380D-9A30-4CB5-95B6-0391F156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242EE454-6C9A-4607-B1E2-B52F68774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DDC3B617-4DC1-4334-BA7C-519D47286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D42ECB9B-4D9E-4428-8574-6574B7C30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8179DAAD-8109-4A90-A047-6F40C4370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7714CE65-F762-4449-89A0-96ADA399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D5546D36-AD5E-4F9F-AEBD-0C0F05331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11597DA9-1858-48A3-96F8-5A7F46F6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0C7B1F89-1CFB-44AF-B55D-BBD7A044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88180CC9-03E8-496D-A99F-69A79C316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BE6A233B-917B-49DC-AC4F-48B54EB1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90A7291E-0083-491C-A719-605373460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D661A3B8-D39C-4424-BA28-3041EE7E3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6C776FDB-F063-4BBC-8BF2-59DE90535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43484B21-6019-4805-B72C-E8460B20A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43139700-FDC1-4A7A-8224-DD987953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119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B2B02536-0723-4837-AB3C-CAC135ADA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115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D5BDF7FF-D190-4A86-A442-8D656537B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9924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4BC1CA32-967A-44C9-971B-F225E0B9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845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52BD4ED0-215E-4241-9DBA-25B2A5F7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7308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665628DD-9471-4578-82E3-1420F9469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8F715EC0-E991-4209-A3F7-9FEEFE823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A4EDB030-350A-4280-8E45-C8960BFF6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118F023E-823D-4278-AC73-6DC88F31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119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0831A432-0169-4C56-85C0-1BDA9DD4A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115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0B2E0C82-CF39-4BE3-B393-6F44BBD61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9924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96EE492D-90F2-43C3-8523-6452F9B75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845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41B1DAEA-9F6E-4894-B224-120E28F6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7308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01DCABAB-74C8-4C5F-B204-B74C51040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F3BD9E21-445B-4C72-9CC9-B8F0A7C9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9D0D1051-9B6A-4A11-9296-A90EF8C3F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039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F4D49F4D-FED6-47F9-90FD-EB42DDA16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119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5960545D-6151-4346-BDCD-2C032A93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1153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0C2194F0-CEBD-4774-9D70-99E373F07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19924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EBD5C4C3-F7D9-49E4-9D7A-E2EA3BC9D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3845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E004D16A-5696-423C-828A-BCE1DCE6E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427308" cy="634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2" name="Picture 4" descr="_centre-1_副本.jpg">
          <a:extLst>
            <a:ext uri="{FF2B5EF4-FFF2-40B4-BE49-F238E27FC236}">
              <a16:creationId xmlns:a16="http://schemas.microsoft.com/office/drawing/2014/main" id="{5726582A-62B0-4258-9992-07C374F5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3" name="Picture 4" descr="_centre-1_副本.jpg">
          <a:extLst>
            <a:ext uri="{FF2B5EF4-FFF2-40B4-BE49-F238E27FC236}">
              <a16:creationId xmlns:a16="http://schemas.microsoft.com/office/drawing/2014/main" id="{6B9D134E-F4C1-4108-BF7F-BB6CFE25D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407738</xdr:colOff>
      <xdr:row>3</xdr:row>
      <xdr:rowOff>104775</xdr:rowOff>
    </xdr:to>
    <xdr:pic>
      <xdr:nvPicPr>
        <xdr:cNvPr id="4" name="Picture 4" descr="_centre-1_副本.jpg">
          <a:extLst>
            <a:ext uri="{FF2B5EF4-FFF2-40B4-BE49-F238E27FC236}">
              <a16:creationId xmlns:a16="http://schemas.microsoft.com/office/drawing/2014/main" id="{7EFB242B-8196-411B-95C2-9F34E893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2596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1364</xdr:colOff>
      <xdr:row>3</xdr:row>
      <xdr:rowOff>104775</xdr:rowOff>
    </xdr:to>
    <xdr:pic>
      <xdr:nvPicPr>
        <xdr:cNvPr id="5" name="Picture 4" descr="_centre-1_副本.jpg">
          <a:extLst>
            <a:ext uri="{FF2B5EF4-FFF2-40B4-BE49-F238E27FC236}">
              <a16:creationId xmlns:a16="http://schemas.microsoft.com/office/drawing/2014/main" id="{827DC249-9624-4B54-AD3F-B73ED64C6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8689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418498</xdr:colOff>
      <xdr:row>3</xdr:row>
      <xdr:rowOff>104775</xdr:rowOff>
    </xdr:to>
    <xdr:pic>
      <xdr:nvPicPr>
        <xdr:cNvPr id="6" name="Picture 5" descr="_centre-1_副本.jpg">
          <a:extLst>
            <a:ext uri="{FF2B5EF4-FFF2-40B4-BE49-F238E27FC236}">
              <a16:creationId xmlns:a16="http://schemas.microsoft.com/office/drawing/2014/main" id="{43E2E981-2D98-4ED8-AE31-1AC06D29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6723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417269</xdr:colOff>
      <xdr:row>3</xdr:row>
      <xdr:rowOff>104775</xdr:rowOff>
    </xdr:to>
    <xdr:pic>
      <xdr:nvPicPr>
        <xdr:cNvPr id="7" name="Picture 4" descr="_centre-1_副本.jpg">
          <a:extLst>
            <a:ext uri="{FF2B5EF4-FFF2-40B4-BE49-F238E27FC236}">
              <a16:creationId xmlns:a16="http://schemas.microsoft.com/office/drawing/2014/main" id="{3F064AD5-7EF4-46E3-B921-30D4713F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5494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8</xdr:col>
      <xdr:colOff>2090</xdr:colOff>
      <xdr:row>3</xdr:row>
      <xdr:rowOff>104775</xdr:rowOff>
    </xdr:to>
    <xdr:pic>
      <xdr:nvPicPr>
        <xdr:cNvPr id="8" name="Picture 7" descr="_centre-1_副本.jpg">
          <a:extLst>
            <a:ext uri="{FF2B5EF4-FFF2-40B4-BE49-F238E27FC236}">
              <a16:creationId xmlns:a16="http://schemas.microsoft.com/office/drawing/2014/main" id="{F96CC1E3-D3B1-4589-B5F9-BB2985ABB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3941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19050</xdr:rowOff>
    </xdr:from>
    <xdr:to>
      <xdr:col>7</xdr:col>
      <xdr:colOff>415128</xdr:colOff>
      <xdr:row>3</xdr:row>
      <xdr:rowOff>104775</xdr:rowOff>
    </xdr:to>
    <xdr:pic>
      <xdr:nvPicPr>
        <xdr:cNvPr id="9" name="Picture 8" descr="_centre-1_副本.jpg">
          <a:extLst>
            <a:ext uri="{FF2B5EF4-FFF2-40B4-BE49-F238E27FC236}">
              <a16:creationId xmlns:a16="http://schemas.microsoft.com/office/drawing/2014/main" id="{D2F2D9D1-B044-40E1-BA92-DB93DFE4B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050"/>
          <a:ext cx="6542878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46182</xdr:colOff>
      <xdr:row>15</xdr:row>
      <xdr:rowOff>132772</xdr:rowOff>
    </xdr:from>
    <xdr:to>
      <xdr:col>24</xdr:col>
      <xdr:colOff>564866</xdr:colOff>
      <xdr:row>23</xdr:row>
      <xdr:rowOff>179032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89271-5D0A-35D2-71FB-59B35F389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0182" y="3047999"/>
          <a:ext cx="5702593" cy="1524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ulvian%20Wong/Dropbox/GYPH%20CHERAS/Monthly%20Fee%20&amp;%20OR%20Record%20&#26376;&#36153;&#25253;&#21578;&amp;&#25910;&#25454;&#35760;&#24405;/Worksheet%20in%20(C)%205100A%20Property,%20Plant%20and%20Equipment%20-%20LF%20Leadshee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ng\mrep%2005\Mrep\MREP11-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ulvian%20Wong/Dropbox/GYPH%20CHERAS/Monthly%20Fee%20&amp;%20OR%20Record%20&#26376;&#36153;&#25253;&#21578;&amp;&#25910;&#25454;&#35760;&#24405;/Worksheet%20in%206443%20Capital%20Allowances%20Schedule%20Allowance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ulvian%20Wong/Dropbox/GYPH%20CHERAS/Monthly%20Fee%20&amp;%20OR%20Record%20&#26376;&#36153;&#25253;&#21578;&amp;&#25910;&#25454;&#35760;&#24405;/Worksheet%20in%206442%20Current%20Year%20Tax%20Computation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ulvian%20Wong/Dropbox/GYPH%20CHERAS/Monthly%20Fee%20&amp;%20OR%20Record%20&#26376;&#36153;&#25253;&#21578;&amp;&#25910;&#25454;&#35760;&#24405;/Worksheet%20in%206410%20Tax%20liabilities%20Lead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 PROJ PERFORMANCE"/>
      <sheetName val="SP, RW &amp; SG.BU"/>
      <sheetName val="P&amp;L"/>
      <sheetName val="SPP, AP &amp; DL"/>
      <sheetName val="APFBYPJ"/>
      <sheetName val="Anofexps"/>
      <sheetName val="PPE"/>
      <sheetName val="BBSHEET"/>
      <sheetName val="LED"/>
      <sheetName val="LED-2"/>
      <sheetName val="TB"/>
      <sheetName val="CONTENT"/>
      <sheetName val="COVER"/>
      <sheetName val="COVER (2)"/>
      <sheetName val="COVER (3)"/>
      <sheetName val="COVER (4)"/>
      <sheetName val="summ financials"/>
      <sheetName val="summ expln"/>
      <sheetName val="Prj comm"/>
      <sheetName val="Legal case"/>
      <sheetName val="Rev of operation"/>
      <sheetName val="Working Capital"/>
      <sheetName val="Other sch"/>
      <sheetName val="P &amp; L"/>
      <sheetName val="SP"/>
      <sheetName val="Adm OH"/>
      <sheetName val="BS"/>
      <sheetName val="Project OH"/>
      <sheetName val="GP analysis"/>
      <sheetName val="prj updates"/>
      <sheetName val="ATT PROF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ital Allowance"/>
      <sheetName val="Tickmark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computation"/>
      <sheetName val="Balancing Charge"/>
      <sheetName val="Tickmarks"/>
      <sheetName val="Sheet1"/>
      <sheetName val="6442"/>
      <sheetName val="Note"/>
    </sheetNames>
    <sheetDataSet>
      <sheetData sheetId="0"/>
      <sheetData sheetId="1"/>
      <sheetData sheetId="2"/>
      <sheetData sheetId="3" refreshError="1"/>
      <sheetData sheetId="4" refreshError="1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Tax Movement"/>
      <sheetName val="Links"/>
      <sheetName val="Installment"/>
      <sheetName val="Tickmarks"/>
      <sheetName val="Summary"/>
      <sheetName val="XREF"/>
      <sheetName val="Movement"/>
      <sheetName val="Tax Comp"/>
      <sheetName val="Tax Instalment Payments"/>
      <sheetName val="Section 108 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288567-E4DE-446C-A926-A16C66F9B706}" name="Table1" displayName="Table1" ref="A10:K40" totalsRowShown="0" headerRowDxfId="13" dataDxfId="12" tableBorderDxfId="11" headerRowCellStyle="Normal 6 2" dataCellStyle="Normal 6 2">
  <tableColumns count="11">
    <tableColumn id="1" xr3:uid="{74CEBC30-144E-46AC-A4E4-20F3BE3E2C92}" name="01.01.2025" dataDxfId="10" dataCellStyle="Normal 6 2"/>
    <tableColumn id="2" xr3:uid="{0D617D14-7812-4A92-B1EF-B9A26FC3CAF6}" name="CHE 0001064" dataDxfId="9"/>
    <tableColumn id="3" xr3:uid="{E4417E79-994E-41D3-A78F-FE24F27BD6D6}" name="106" dataDxfId="8"/>
    <tableColumn id="4" xr3:uid="{DBDC2D46-EBF0-49D5-ADF8-7663167C32B0}" name="文渼渼" dataDxfId="7" dataCellStyle="Normal 6 2"/>
    <tableColumn id="5" xr3:uid="{EA39A76B-37B0-4D71-8C83-2E523B9CB38A}" name="Nov-24" dataDxfId="6" dataCellStyle="Normal 6 2"/>
    <tableColumn id="6" xr3:uid="{C390A6BE-0616-4040-9A87-3F47C7EECE5B}" name="Dec-24" dataDxfId="5" dataCellStyle="Normal 6 2"/>
    <tableColumn id="7" xr3:uid="{3F2A7547-343E-4DBB-B5A8-1435637ED093}" name="Nov-Dec-24" dataDxfId="4" dataCellStyle="Normal 6 2"/>
    <tableColumn id="8" xr3:uid="{A14AB242-4DFC-44DE-BAAE-D8AD46F9232C}" name="2" dataDxfId="3" dataCellStyle="Normal 6 2">
      <calculatedColumnFormula>DATEDIF(E11,F11,"M")+1</calculatedColumnFormula>
    </tableColumn>
    <tableColumn id="9" xr3:uid="{2222390D-9DA0-48AD-9C78-6B4642CC18A8}" name="50" dataDxfId="2" dataCellStyle="Normal 6 2"/>
    <tableColumn id="10" xr3:uid="{0A55E20B-411E-4CE2-ABAE-FE5F329C6B49}" name="100" dataDxfId="1" dataCellStyle="Normal 6 2">
      <calculatedColumnFormula>H11*I11</calculatedColumnFormula>
    </tableColumn>
    <tableColumn id="11" xr3:uid="{1ACB2AAB-B1C3-43AF-8B0C-D0F01D0C6FA2}" name=" 100.00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U110"/>
  <sheetViews>
    <sheetView topLeftCell="A4" zoomScale="70" zoomScaleNormal="70" workbookViewId="0">
      <pane ySplit="5" topLeftCell="A28" activePane="bottomLeft" state="frozen"/>
      <selection activeCell="A4" sqref="A4"/>
      <selection pane="bottomLeft" activeCell="K33" sqref="K33"/>
    </sheetView>
  </sheetViews>
  <sheetFormatPr defaultColWidth="9.33203125" defaultRowHeight="14.4"/>
  <cols>
    <col min="1" max="1" width="14.33203125" style="25" customWidth="1"/>
    <col min="2" max="2" width="16.44140625" style="25" bestFit="1" customWidth="1"/>
    <col min="3" max="3" width="7.6640625" style="25" customWidth="1"/>
    <col min="4" max="4" width="19.5546875" style="25" bestFit="1" customWidth="1"/>
    <col min="5" max="5" width="11.6640625" style="25" bestFit="1" customWidth="1"/>
    <col min="6" max="6" width="10.44140625" style="25" bestFit="1" customWidth="1"/>
    <col min="7" max="7" width="14.6640625" style="25" customWidth="1"/>
    <col min="8" max="10" width="8.5546875" style="25" customWidth="1"/>
    <col min="11" max="11" width="12.44140625" style="26" customWidth="1"/>
    <col min="12" max="12" width="11.33203125" style="26" customWidth="1"/>
    <col min="13" max="13" width="13.33203125" style="26" bestFit="1" customWidth="1"/>
    <col min="14" max="14" width="11.33203125" style="25" customWidth="1"/>
    <col min="15" max="15" width="12.33203125" style="25" customWidth="1"/>
    <col min="16" max="16" width="6.6640625" style="25" bestFit="1" customWidth="1"/>
    <col min="17" max="16384" width="9.33203125" style="27"/>
  </cols>
  <sheetData>
    <row r="5" spans="1:21" ht="16.2">
      <c r="A5" s="4" t="s">
        <v>0</v>
      </c>
      <c r="N5" s="58" t="s">
        <v>1</v>
      </c>
      <c r="O5" s="730"/>
    </row>
    <row r="6" spans="1:21">
      <c r="E6" s="895" t="s">
        <v>2</v>
      </c>
      <c r="F6" s="895"/>
      <c r="G6" s="895"/>
      <c r="N6" s="25" t="s">
        <v>3</v>
      </c>
    </row>
    <row r="7" spans="1:21">
      <c r="E7" s="895" t="s">
        <v>4</v>
      </c>
      <c r="F7" s="895"/>
      <c r="G7" s="895"/>
      <c r="H7" s="312"/>
      <c r="I7" s="312"/>
      <c r="J7" s="312"/>
      <c r="K7" s="899" t="s">
        <v>5</v>
      </c>
      <c r="L7" s="899"/>
      <c r="M7" s="900"/>
    </row>
    <row r="8" spans="1:21" s="28" customFormat="1" ht="57" customHeight="1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6" t="s">
        <v>11</v>
      </c>
      <c r="G8" s="6" t="s">
        <v>12</v>
      </c>
      <c r="H8" s="6"/>
      <c r="I8" s="6"/>
      <c r="J8" s="6"/>
      <c r="K8" s="7" t="s">
        <v>13</v>
      </c>
      <c r="L8" s="7" t="s">
        <v>14</v>
      </c>
      <c r="M8" s="8" t="s">
        <v>15</v>
      </c>
      <c r="N8" s="9" t="s">
        <v>16</v>
      </c>
      <c r="O8" s="9" t="s">
        <v>17</v>
      </c>
      <c r="P8" s="9" t="s">
        <v>18</v>
      </c>
      <c r="Q8" s="10"/>
    </row>
    <row r="9" spans="1:21" ht="16.2">
      <c r="A9" s="731"/>
      <c r="B9" s="13"/>
      <c r="C9" s="29"/>
      <c r="D9" s="195"/>
      <c r="E9" s="326"/>
      <c r="F9" s="326"/>
      <c r="G9" s="732"/>
      <c r="H9" s="732"/>
      <c r="I9" s="732"/>
      <c r="J9" s="733"/>
      <c r="K9" s="734"/>
      <c r="L9" s="734"/>
      <c r="M9" s="734"/>
      <c r="N9" s="30"/>
      <c r="O9" s="30"/>
      <c r="P9" s="30"/>
      <c r="R9" s="17"/>
      <c r="S9" s="17"/>
      <c r="T9" s="12"/>
    </row>
    <row r="10" spans="1:21" ht="21">
      <c r="A10" s="323" t="s">
        <v>19</v>
      </c>
      <c r="B10" s="320" t="s">
        <v>20</v>
      </c>
      <c r="C10" s="283" t="s">
        <v>21</v>
      </c>
      <c r="D10" s="321" t="s">
        <v>22</v>
      </c>
      <c r="E10" s="327" t="s">
        <v>23</v>
      </c>
      <c r="F10" s="327" t="s">
        <v>24</v>
      </c>
      <c r="G10" s="735" t="s">
        <v>25</v>
      </c>
      <c r="H10" s="736" t="s">
        <v>26</v>
      </c>
      <c r="I10" s="736" t="s">
        <v>27</v>
      </c>
      <c r="J10" s="737" t="s">
        <v>28</v>
      </c>
      <c r="K10" s="738" t="s">
        <v>29</v>
      </c>
      <c r="L10" s="739"/>
      <c r="M10" s="739"/>
      <c r="N10" s="31"/>
      <c r="O10" s="32"/>
      <c r="P10" s="19">
        <v>122</v>
      </c>
      <c r="R10" s="17"/>
      <c r="S10" s="239"/>
      <c r="T10" s="240">
        <v>45536</v>
      </c>
      <c r="U10" s="240"/>
    </row>
    <row r="11" spans="1:21" ht="21">
      <c r="A11" s="323" t="s">
        <v>19</v>
      </c>
      <c r="B11" s="279" t="s">
        <v>30</v>
      </c>
      <c r="C11" s="280">
        <v>106</v>
      </c>
      <c r="D11" s="262" t="s">
        <v>22</v>
      </c>
      <c r="E11" s="328">
        <v>45658</v>
      </c>
      <c r="F11" s="328">
        <v>45809</v>
      </c>
      <c r="G11" s="740" t="s">
        <v>31</v>
      </c>
      <c r="H11" s="741">
        <f t="shared" ref="H11:H44" si="0">DATEDIF(E11,F11,"M")+1</f>
        <v>6</v>
      </c>
      <c r="I11" s="741">
        <v>50</v>
      </c>
      <c r="J11" s="742">
        <f>H11*I11</f>
        <v>300</v>
      </c>
      <c r="K11" s="743">
        <v>300</v>
      </c>
      <c r="L11" s="739"/>
      <c r="M11" s="739"/>
      <c r="N11" s="31"/>
      <c r="O11" s="32"/>
      <c r="P11" s="15"/>
      <c r="R11" s="17"/>
      <c r="S11" s="239"/>
      <c r="T11" s="240">
        <v>45566</v>
      </c>
      <c r="U11" s="240"/>
    </row>
    <row r="12" spans="1:21" ht="21">
      <c r="A12" s="323" t="s">
        <v>19</v>
      </c>
      <c r="B12" s="279" t="s">
        <v>32</v>
      </c>
      <c r="C12" s="280">
        <v>214</v>
      </c>
      <c r="D12" s="262" t="s">
        <v>33</v>
      </c>
      <c r="E12" s="328">
        <v>45658</v>
      </c>
      <c r="F12" s="328">
        <v>45717</v>
      </c>
      <c r="G12" s="740" t="s">
        <v>34</v>
      </c>
      <c r="H12" s="741">
        <f t="shared" si="0"/>
        <v>3</v>
      </c>
      <c r="I12" s="741">
        <v>50</v>
      </c>
      <c r="J12" s="742">
        <f t="shared" ref="J12:J44" si="1">H12*I12</f>
        <v>150</v>
      </c>
      <c r="K12" s="743">
        <v>150</v>
      </c>
      <c r="L12" s="739"/>
      <c r="M12" s="739"/>
      <c r="N12" s="31"/>
      <c r="O12" s="32"/>
      <c r="P12" s="19"/>
      <c r="R12" s="17"/>
      <c r="S12" s="239"/>
      <c r="T12" s="240">
        <v>45597</v>
      </c>
      <c r="U12" s="240"/>
    </row>
    <row r="13" spans="1:21" ht="21">
      <c r="A13" s="323" t="s">
        <v>19</v>
      </c>
      <c r="B13" s="279" t="s">
        <v>35</v>
      </c>
      <c r="C13" s="280">
        <v>177</v>
      </c>
      <c r="D13" s="262" t="s">
        <v>36</v>
      </c>
      <c r="E13" s="328">
        <v>45658</v>
      </c>
      <c r="F13" s="328">
        <v>45717</v>
      </c>
      <c r="G13" s="740" t="s">
        <v>34</v>
      </c>
      <c r="H13" s="741">
        <f t="shared" si="0"/>
        <v>3</v>
      </c>
      <c r="I13" s="741">
        <v>50</v>
      </c>
      <c r="J13" s="742">
        <f t="shared" si="1"/>
        <v>150</v>
      </c>
      <c r="K13" s="743">
        <v>150</v>
      </c>
      <c r="L13" s="739"/>
      <c r="M13" s="739"/>
      <c r="N13" s="31"/>
      <c r="O13" s="32"/>
      <c r="P13" s="19"/>
      <c r="R13" s="17"/>
      <c r="S13" s="239"/>
      <c r="T13" s="240">
        <v>45627</v>
      </c>
      <c r="U13" s="240"/>
    </row>
    <row r="14" spans="1:21" ht="21">
      <c r="A14" s="324" t="s">
        <v>37</v>
      </c>
      <c r="B14" s="279" t="s">
        <v>38</v>
      </c>
      <c r="C14" s="280">
        <v>90</v>
      </c>
      <c r="D14" s="262" t="s">
        <v>39</v>
      </c>
      <c r="E14" s="328">
        <v>45658</v>
      </c>
      <c r="F14" s="328">
        <v>45992</v>
      </c>
      <c r="G14" s="740" t="s">
        <v>40</v>
      </c>
      <c r="H14" s="741">
        <f t="shared" si="0"/>
        <v>12</v>
      </c>
      <c r="I14" s="741">
        <v>50</v>
      </c>
      <c r="J14" s="742">
        <f t="shared" si="1"/>
        <v>600</v>
      </c>
      <c r="K14" s="743">
        <v>600</v>
      </c>
      <c r="L14" s="739"/>
      <c r="M14" s="739"/>
      <c r="N14" s="31"/>
      <c r="O14" s="32"/>
      <c r="P14" s="19"/>
      <c r="R14" s="17"/>
      <c r="S14" s="239"/>
      <c r="T14" s="744">
        <v>45658</v>
      </c>
      <c r="U14" s="240"/>
    </row>
    <row r="15" spans="1:21" ht="21">
      <c r="A15" s="324" t="s">
        <v>37</v>
      </c>
      <c r="B15" s="279" t="s">
        <v>41</v>
      </c>
      <c r="C15" s="280">
        <v>192</v>
      </c>
      <c r="D15" s="262" t="s">
        <v>42</v>
      </c>
      <c r="E15" s="328">
        <v>45658</v>
      </c>
      <c r="F15" s="328">
        <v>45992</v>
      </c>
      <c r="G15" s="740" t="s">
        <v>40</v>
      </c>
      <c r="H15" s="741">
        <f t="shared" si="0"/>
        <v>12</v>
      </c>
      <c r="I15" s="741">
        <v>50</v>
      </c>
      <c r="J15" s="742">
        <f t="shared" si="1"/>
        <v>600</v>
      </c>
      <c r="K15" s="743">
        <v>600</v>
      </c>
      <c r="L15" s="739"/>
      <c r="M15" s="739"/>
      <c r="N15" s="31"/>
      <c r="O15" s="32"/>
      <c r="P15" s="19"/>
      <c r="R15" s="17"/>
      <c r="S15" s="239"/>
      <c r="T15" s="744">
        <v>45689</v>
      </c>
      <c r="U15" s="240"/>
    </row>
    <row r="16" spans="1:21" ht="21">
      <c r="A16" s="324" t="s">
        <v>37</v>
      </c>
      <c r="B16" s="279" t="s">
        <v>43</v>
      </c>
      <c r="C16" s="280">
        <v>19</v>
      </c>
      <c r="D16" s="263" t="s">
        <v>44</v>
      </c>
      <c r="E16" s="329">
        <v>45658</v>
      </c>
      <c r="F16" s="329">
        <v>45748</v>
      </c>
      <c r="G16" s="740" t="s">
        <v>45</v>
      </c>
      <c r="H16" s="741">
        <f t="shared" si="0"/>
        <v>4</v>
      </c>
      <c r="I16" s="741">
        <v>50</v>
      </c>
      <c r="J16" s="742">
        <f t="shared" si="1"/>
        <v>200</v>
      </c>
      <c r="K16" s="743">
        <v>200</v>
      </c>
      <c r="L16" s="739"/>
      <c r="M16" s="739"/>
      <c r="N16" s="31"/>
      <c r="O16" s="32"/>
      <c r="P16" s="19"/>
      <c r="R16" s="17"/>
      <c r="S16" s="239"/>
      <c r="T16" s="744">
        <v>45717</v>
      </c>
      <c r="U16" s="240"/>
    </row>
    <row r="17" spans="1:21" ht="21">
      <c r="A17" s="324" t="s">
        <v>46</v>
      </c>
      <c r="B17" s="279" t="s">
        <v>47</v>
      </c>
      <c r="C17" s="280">
        <v>189</v>
      </c>
      <c r="D17" s="262" t="s">
        <v>48</v>
      </c>
      <c r="E17" s="328">
        <v>45658</v>
      </c>
      <c r="F17" s="328">
        <v>45992</v>
      </c>
      <c r="G17" s="740" t="s">
        <v>40</v>
      </c>
      <c r="H17" s="741">
        <f t="shared" si="0"/>
        <v>12</v>
      </c>
      <c r="I17" s="741">
        <v>50</v>
      </c>
      <c r="J17" s="742">
        <f t="shared" si="1"/>
        <v>600</v>
      </c>
      <c r="K17" s="743">
        <v>600</v>
      </c>
      <c r="L17" s="739"/>
      <c r="M17" s="739"/>
      <c r="N17" s="59">
        <f>SUM(K10:K17)</f>
        <v>2600</v>
      </c>
      <c r="O17" s="19" t="s">
        <v>49</v>
      </c>
      <c r="P17" s="19"/>
      <c r="R17" s="17"/>
      <c r="S17" s="239"/>
      <c r="T17" s="744">
        <v>45748</v>
      </c>
      <c r="U17" s="240"/>
    </row>
    <row r="18" spans="1:21" ht="21">
      <c r="A18" s="324" t="s">
        <v>50</v>
      </c>
      <c r="B18" s="279" t="s">
        <v>51</v>
      </c>
      <c r="C18" s="280">
        <v>97</v>
      </c>
      <c r="D18" s="262" t="s">
        <v>52</v>
      </c>
      <c r="E18" s="328">
        <v>45658</v>
      </c>
      <c r="F18" s="328">
        <v>45748</v>
      </c>
      <c r="G18" s="740" t="s">
        <v>45</v>
      </c>
      <c r="H18" s="741">
        <f t="shared" si="0"/>
        <v>4</v>
      </c>
      <c r="I18" s="741">
        <v>50</v>
      </c>
      <c r="J18" s="742">
        <f t="shared" si="1"/>
        <v>200</v>
      </c>
      <c r="K18" s="745">
        <v>200</v>
      </c>
      <c r="L18" s="739"/>
      <c r="M18" s="739"/>
      <c r="N18" s="19"/>
      <c r="O18" s="19"/>
      <c r="P18" s="19"/>
      <c r="R18" s="17"/>
      <c r="S18" s="239"/>
      <c r="T18" s="744">
        <v>45778</v>
      </c>
      <c r="U18" s="240"/>
    </row>
    <row r="19" spans="1:21" ht="21">
      <c r="A19" s="324" t="s">
        <v>50</v>
      </c>
      <c r="B19" s="279" t="s">
        <v>53</v>
      </c>
      <c r="C19" s="280">
        <v>71</v>
      </c>
      <c r="D19" s="262" t="s">
        <v>54</v>
      </c>
      <c r="E19" s="328">
        <v>45566</v>
      </c>
      <c r="F19" s="328">
        <v>45778</v>
      </c>
      <c r="G19" s="740" t="s">
        <v>55</v>
      </c>
      <c r="H19" s="741">
        <f t="shared" si="0"/>
        <v>8</v>
      </c>
      <c r="I19" s="741">
        <v>50</v>
      </c>
      <c r="J19" s="742">
        <f t="shared" si="1"/>
        <v>400</v>
      </c>
      <c r="K19" s="745">
        <v>400</v>
      </c>
      <c r="L19" s="739"/>
      <c r="M19" s="739"/>
      <c r="N19" s="19"/>
      <c r="O19" s="19"/>
      <c r="P19" s="19"/>
      <c r="R19" s="17"/>
      <c r="S19" s="239"/>
      <c r="T19" s="744">
        <v>45809</v>
      </c>
      <c r="U19" s="240"/>
    </row>
    <row r="20" spans="1:21" ht="21">
      <c r="A20" s="324" t="s">
        <v>50</v>
      </c>
      <c r="B20" s="279" t="s">
        <v>56</v>
      </c>
      <c r="C20" s="280">
        <v>36</v>
      </c>
      <c r="D20" s="262" t="s">
        <v>57</v>
      </c>
      <c r="E20" s="328">
        <v>45658</v>
      </c>
      <c r="F20" s="328">
        <v>45992</v>
      </c>
      <c r="G20" s="740" t="s">
        <v>40</v>
      </c>
      <c r="H20" s="741">
        <f t="shared" si="0"/>
        <v>12</v>
      </c>
      <c r="I20" s="741">
        <v>50</v>
      </c>
      <c r="J20" s="742">
        <f t="shared" si="1"/>
        <v>600</v>
      </c>
      <c r="K20" s="745">
        <v>600</v>
      </c>
      <c r="L20" s="739"/>
      <c r="M20" s="739"/>
      <c r="N20" s="19"/>
      <c r="O20" s="19"/>
      <c r="P20" s="19"/>
      <c r="R20" s="17"/>
      <c r="S20" s="239"/>
      <c r="T20" s="744">
        <v>45839</v>
      </c>
      <c r="U20" s="240"/>
    </row>
    <row r="21" spans="1:21" ht="21">
      <c r="A21" s="324" t="s">
        <v>50</v>
      </c>
      <c r="B21" s="279" t="s">
        <v>58</v>
      </c>
      <c r="C21" s="280">
        <v>74</v>
      </c>
      <c r="D21" s="263" t="s">
        <v>59</v>
      </c>
      <c r="E21" s="329">
        <v>45658</v>
      </c>
      <c r="F21" s="329">
        <v>45778</v>
      </c>
      <c r="G21" s="740" t="s">
        <v>60</v>
      </c>
      <c r="H21" s="741">
        <f t="shared" si="0"/>
        <v>5</v>
      </c>
      <c r="I21" s="741">
        <v>50</v>
      </c>
      <c r="J21" s="742">
        <f t="shared" si="1"/>
        <v>250</v>
      </c>
      <c r="K21" s="745">
        <v>250</v>
      </c>
      <c r="L21" s="739"/>
      <c r="M21" s="739"/>
      <c r="N21" s="19"/>
      <c r="O21" s="19"/>
      <c r="P21" s="19"/>
      <c r="R21" s="17"/>
      <c r="S21" s="239"/>
      <c r="T21" s="744">
        <v>45870</v>
      </c>
      <c r="U21" s="240"/>
    </row>
    <row r="22" spans="1:21" ht="21">
      <c r="A22" s="324" t="s">
        <v>61</v>
      </c>
      <c r="B22" s="279" t="s">
        <v>62</v>
      </c>
      <c r="C22" s="280">
        <v>126</v>
      </c>
      <c r="D22" s="263" t="s">
        <v>63</v>
      </c>
      <c r="E22" s="329">
        <v>45658</v>
      </c>
      <c r="F22" s="329">
        <v>45717</v>
      </c>
      <c r="G22" s="740" t="s">
        <v>34</v>
      </c>
      <c r="H22" s="741">
        <f t="shared" si="0"/>
        <v>3</v>
      </c>
      <c r="I22" s="741">
        <v>50</v>
      </c>
      <c r="J22" s="742">
        <f t="shared" si="1"/>
        <v>150</v>
      </c>
      <c r="K22" s="745">
        <v>150</v>
      </c>
      <c r="L22" s="739"/>
      <c r="M22" s="739"/>
      <c r="N22" s="19"/>
      <c r="O22" s="19"/>
      <c r="P22" s="19"/>
      <c r="R22" s="17"/>
      <c r="S22" s="17"/>
      <c r="T22" s="744">
        <v>45901</v>
      </c>
    </row>
    <row r="23" spans="1:21" ht="21">
      <c r="A23" s="324" t="s">
        <v>64</v>
      </c>
      <c r="B23" s="279" t="s">
        <v>65</v>
      </c>
      <c r="C23" s="280">
        <v>4</v>
      </c>
      <c r="D23" s="263" t="s">
        <v>66</v>
      </c>
      <c r="E23" s="329">
        <v>45658</v>
      </c>
      <c r="F23" s="329">
        <v>45689</v>
      </c>
      <c r="G23" s="740" t="s">
        <v>67</v>
      </c>
      <c r="H23" s="741">
        <f t="shared" si="0"/>
        <v>2</v>
      </c>
      <c r="I23" s="741">
        <v>50</v>
      </c>
      <c r="J23" s="742">
        <f t="shared" si="1"/>
        <v>100</v>
      </c>
      <c r="K23" s="745">
        <v>100</v>
      </c>
      <c r="L23" s="739"/>
      <c r="M23" s="739"/>
      <c r="N23" s="19"/>
      <c r="O23" s="19"/>
      <c r="P23" s="19"/>
      <c r="R23" s="17"/>
      <c r="S23" s="17"/>
      <c r="T23" s="744">
        <v>45931</v>
      </c>
    </row>
    <row r="24" spans="1:21" ht="21">
      <c r="A24" s="324" t="s">
        <v>68</v>
      </c>
      <c r="B24" s="279" t="s">
        <v>69</v>
      </c>
      <c r="C24" s="280">
        <v>178</v>
      </c>
      <c r="D24" s="262" t="s">
        <v>70</v>
      </c>
      <c r="E24" s="328">
        <v>45658</v>
      </c>
      <c r="F24" s="328">
        <v>45689</v>
      </c>
      <c r="G24" s="740" t="s">
        <v>67</v>
      </c>
      <c r="H24" s="741">
        <f t="shared" si="0"/>
        <v>2</v>
      </c>
      <c r="I24" s="741">
        <v>50</v>
      </c>
      <c r="J24" s="742">
        <f t="shared" si="1"/>
        <v>100</v>
      </c>
      <c r="K24" s="745">
        <v>100</v>
      </c>
      <c r="L24" s="739"/>
      <c r="M24" s="739"/>
      <c r="N24" s="31"/>
      <c r="O24" s="19"/>
      <c r="P24" s="19"/>
      <c r="R24" s="17"/>
      <c r="S24" s="17"/>
      <c r="T24" s="744">
        <v>45962</v>
      </c>
    </row>
    <row r="25" spans="1:21" ht="21">
      <c r="A25" s="324" t="s">
        <v>71</v>
      </c>
      <c r="B25" s="279" t="s">
        <v>72</v>
      </c>
      <c r="C25" s="281">
        <v>186</v>
      </c>
      <c r="D25" s="262" t="s">
        <v>73</v>
      </c>
      <c r="E25" s="328">
        <v>45658</v>
      </c>
      <c r="F25" s="328">
        <v>45689</v>
      </c>
      <c r="G25" s="740" t="s">
        <v>67</v>
      </c>
      <c r="H25" s="741">
        <f t="shared" si="0"/>
        <v>2</v>
      </c>
      <c r="I25" s="741">
        <v>50</v>
      </c>
      <c r="J25" s="742">
        <f t="shared" si="1"/>
        <v>100</v>
      </c>
      <c r="K25" s="745">
        <v>100</v>
      </c>
      <c r="L25" s="739"/>
      <c r="M25" s="739"/>
      <c r="N25" s="31"/>
      <c r="O25" s="32"/>
      <c r="P25" s="19"/>
      <c r="R25" s="17"/>
      <c r="S25" s="17"/>
      <c r="T25" s="744">
        <v>45992</v>
      </c>
    </row>
    <row r="26" spans="1:21" ht="21">
      <c r="A26" s="324" t="s">
        <v>71</v>
      </c>
      <c r="B26" s="279" t="s">
        <v>74</v>
      </c>
      <c r="C26" s="281">
        <v>23</v>
      </c>
      <c r="D26" s="262" t="s">
        <v>75</v>
      </c>
      <c r="E26" s="328">
        <v>45658</v>
      </c>
      <c r="F26" s="328">
        <v>45809</v>
      </c>
      <c r="G26" s="740" t="s">
        <v>31</v>
      </c>
      <c r="H26" s="741">
        <f t="shared" si="0"/>
        <v>6</v>
      </c>
      <c r="I26" s="741">
        <v>50</v>
      </c>
      <c r="J26" s="742">
        <f t="shared" si="1"/>
        <v>300</v>
      </c>
      <c r="K26" s="745">
        <v>300</v>
      </c>
      <c r="L26" s="739"/>
      <c r="M26" s="739"/>
      <c r="N26" s="31"/>
      <c r="O26" s="32"/>
      <c r="P26" s="19"/>
      <c r="R26" s="17"/>
      <c r="S26" s="17"/>
      <c r="T26" s="744">
        <v>46023</v>
      </c>
    </row>
    <row r="27" spans="1:21" ht="21">
      <c r="A27" s="324" t="s">
        <v>71</v>
      </c>
      <c r="B27" s="279" t="s">
        <v>76</v>
      </c>
      <c r="C27" s="280">
        <v>114</v>
      </c>
      <c r="D27" s="262" t="s">
        <v>77</v>
      </c>
      <c r="E27" s="328">
        <v>45658</v>
      </c>
      <c r="F27" s="328">
        <v>45689</v>
      </c>
      <c r="G27" s="740" t="s">
        <v>67</v>
      </c>
      <c r="H27" s="741">
        <f>DATEDIF(E27,F27,"M")+1</f>
        <v>2</v>
      </c>
      <c r="I27" s="741">
        <v>50</v>
      </c>
      <c r="J27" s="742">
        <f t="shared" si="1"/>
        <v>100</v>
      </c>
      <c r="K27" s="745">
        <v>100</v>
      </c>
      <c r="L27" s="739"/>
      <c r="M27" s="739"/>
      <c r="N27" s="61">
        <f>SUM(K18:K27)</f>
        <v>2300</v>
      </c>
      <c r="O27" s="19" t="s">
        <v>78</v>
      </c>
      <c r="P27" s="19"/>
      <c r="R27" s="17"/>
      <c r="S27" s="17"/>
      <c r="T27" s="744">
        <v>46054</v>
      </c>
    </row>
    <row r="28" spans="1:21" ht="21">
      <c r="A28" s="324" t="s">
        <v>79</v>
      </c>
      <c r="B28" s="279" t="s">
        <v>80</v>
      </c>
      <c r="C28" s="280">
        <v>42</v>
      </c>
      <c r="D28" s="262" t="s">
        <v>81</v>
      </c>
      <c r="E28" s="328">
        <v>45658</v>
      </c>
      <c r="F28" s="328">
        <v>45809</v>
      </c>
      <c r="G28" s="740" t="s">
        <v>31</v>
      </c>
      <c r="H28" s="741">
        <f t="shared" si="0"/>
        <v>6</v>
      </c>
      <c r="I28" s="741">
        <v>50</v>
      </c>
      <c r="J28" s="742">
        <f t="shared" si="1"/>
        <v>300</v>
      </c>
      <c r="K28" s="746">
        <v>300</v>
      </c>
      <c r="L28" s="739"/>
      <c r="M28" s="739"/>
      <c r="N28" s="19"/>
      <c r="O28" s="19"/>
      <c r="P28" s="19"/>
      <c r="R28" s="17"/>
      <c r="S28" s="17"/>
      <c r="T28" s="744">
        <v>46082</v>
      </c>
    </row>
    <row r="29" spans="1:21" ht="21">
      <c r="A29" s="324" t="s">
        <v>78</v>
      </c>
      <c r="B29" s="279" t="s">
        <v>82</v>
      </c>
      <c r="C29" s="280">
        <v>208</v>
      </c>
      <c r="D29" s="264" t="s">
        <v>83</v>
      </c>
      <c r="E29" s="328">
        <v>45658</v>
      </c>
      <c r="F29" s="328">
        <v>45658</v>
      </c>
      <c r="G29" s="740">
        <v>45658</v>
      </c>
      <c r="H29" s="741">
        <f t="shared" si="0"/>
        <v>1</v>
      </c>
      <c r="I29" s="741">
        <v>50</v>
      </c>
      <c r="J29" s="742">
        <f t="shared" si="1"/>
        <v>50</v>
      </c>
      <c r="K29" s="746">
        <v>50</v>
      </c>
      <c r="L29" s="739"/>
      <c r="M29" s="739"/>
      <c r="N29" s="31"/>
      <c r="O29" s="19"/>
      <c r="P29" s="19"/>
      <c r="R29" s="17"/>
      <c r="S29" s="17"/>
      <c r="T29" s="744">
        <v>46113</v>
      </c>
    </row>
    <row r="30" spans="1:21" ht="21">
      <c r="A30" s="324" t="s">
        <v>84</v>
      </c>
      <c r="B30" s="279" t="s">
        <v>85</v>
      </c>
      <c r="C30" s="280">
        <v>99</v>
      </c>
      <c r="D30" s="262" t="s">
        <v>86</v>
      </c>
      <c r="E30" s="328">
        <v>45658</v>
      </c>
      <c r="F30" s="328">
        <v>45689</v>
      </c>
      <c r="G30" s="740" t="s">
        <v>67</v>
      </c>
      <c r="H30" s="741">
        <f t="shared" si="0"/>
        <v>2</v>
      </c>
      <c r="I30" s="741">
        <v>50</v>
      </c>
      <c r="J30" s="742">
        <f t="shared" si="1"/>
        <v>100</v>
      </c>
      <c r="K30" s="746">
        <v>100</v>
      </c>
      <c r="L30" s="739"/>
      <c r="M30" s="739"/>
      <c r="N30" s="31"/>
      <c r="O30" s="19"/>
      <c r="P30" s="19"/>
      <c r="R30" s="17"/>
      <c r="S30" s="17"/>
      <c r="T30" s="744">
        <v>46143</v>
      </c>
    </row>
    <row r="31" spans="1:21" ht="21">
      <c r="A31" s="324" t="s">
        <v>84</v>
      </c>
      <c r="B31" s="279" t="s">
        <v>87</v>
      </c>
      <c r="C31" s="280">
        <v>120</v>
      </c>
      <c r="D31" s="262" t="s">
        <v>88</v>
      </c>
      <c r="E31" s="328">
        <v>45658</v>
      </c>
      <c r="F31" s="328">
        <v>45992</v>
      </c>
      <c r="G31" s="740" t="s">
        <v>40</v>
      </c>
      <c r="H31" s="741">
        <f t="shared" si="0"/>
        <v>12</v>
      </c>
      <c r="I31" s="741">
        <v>50</v>
      </c>
      <c r="J31" s="742">
        <f t="shared" si="1"/>
        <v>600</v>
      </c>
      <c r="K31" s="746">
        <v>600</v>
      </c>
      <c r="L31" s="739"/>
      <c r="M31" s="739"/>
      <c r="N31" s="19"/>
      <c r="O31" s="19"/>
      <c r="P31" s="19"/>
      <c r="R31" s="17"/>
      <c r="S31" s="17"/>
      <c r="T31" s="744">
        <v>46174</v>
      </c>
    </row>
    <row r="32" spans="1:21" ht="21">
      <c r="A32" s="324" t="s">
        <v>84</v>
      </c>
      <c r="B32" s="279" t="s">
        <v>89</v>
      </c>
      <c r="C32" s="280">
        <v>227</v>
      </c>
      <c r="D32" s="262" t="s">
        <v>90</v>
      </c>
      <c r="E32" s="328">
        <v>45658</v>
      </c>
      <c r="F32" s="328">
        <v>45809</v>
      </c>
      <c r="G32" s="740" t="s">
        <v>31</v>
      </c>
      <c r="H32" s="741">
        <f t="shared" si="0"/>
        <v>6</v>
      </c>
      <c r="I32" s="741">
        <v>50</v>
      </c>
      <c r="J32" s="742">
        <f t="shared" si="1"/>
        <v>300</v>
      </c>
      <c r="K32" s="746">
        <v>300</v>
      </c>
      <c r="L32" s="739"/>
      <c r="M32" s="739"/>
      <c r="N32" s="57">
        <f>SUM(K28:K32)</f>
        <v>1350</v>
      </c>
      <c r="O32" s="19" t="s">
        <v>91</v>
      </c>
      <c r="P32" s="19"/>
      <c r="R32" s="17"/>
      <c r="S32" s="17"/>
      <c r="T32" s="744">
        <v>46204</v>
      </c>
    </row>
    <row r="33" spans="1:20" ht="21">
      <c r="A33" s="324" t="s">
        <v>92</v>
      </c>
      <c r="B33" s="279" t="s">
        <v>93</v>
      </c>
      <c r="C33" s="280">
        <v>181</v>
      </c>
      <c r="D33" s="262" t="s">
        <v>94</v>
      </c>
      <c r="E33" s="328">
        <v>45658</v>
      </c>
      <c r="F33" s="328">
        <v>45689</v>
      </c>
      <c r="G33" s="740" t="s">
        <v>67</v>
      </c>
      <c r="H33" s="741">
        <f t="shared" si="0"/>
        <v>2</v>
      </c>
      <c r="I33" s="741">
        <v>50</v>
      </c>
      <c r="J33" s="742">
        <f t="shared" si="1"/>
        <v>100</v>
      </c>
      <c r="K33" s="743">
        <v>100</v>
      </c>
      <c r="L33" s="739"/>
      <c r="M33" s="739"/>
      <c r="N33" s="19"/>
      <c r="O33" s="19"/>
      <c r="P33" s="19"/>
      <c r="R33" s="17"/>
      <c r="S33" s="17"/>
      <c r="T33" s="744">
        <v>46235</v>
      </c>
    </row>
    <row r="34" spans="1:20" ht="21">
      <c r="A34" s="324" t="s">
        <v>92</v>
      </c>
      <c r="B34" s="279" t="s">
        <v>95</v>
      </c>
      <c r="C34" s="280">
        <v>73</v>
      </c>
      <c r="D34" s="262" t="s">
        <v>96</v>
      </c>
      <c r="E34" s="328">
        <v>45658</v>
      </c>
      <c r="F34" s="328">
        <v>45748</v>
      </c>
      <c r="G34" s="740" t="s">
        <v>45</v>
      </c>
      <c r="H34" s="741">
        <f t="shared" si="0"/>
        <v>4</v>
      </c>
      <c r="I34" s="741">
        <v>50</v>
      </c>
      <c r="J34" s="742">
        <f t="shared" si="1"/>
        <v>200</v>
      </c>
      <c r="K34" s="743">
        <v>200</v>
      </c>
      <c r="L34" s="739"/>
      <c r="M34" s="739"/>
      <c r="N34" s="31"/>
      <c r="O34" s="19"/>
      <c r="P34" s="19"/>
      <c r="R34" s="17"/>
      <c r="S34" s="17"/>
      <c r="T34" s="744">
        <v>46266</v>
      </c>
    </row>
    <row r="35" spans="1:20" ht="21">
      <c r="A35" s="324" t="s">
        <v>97</v>
      </c>
      <c r="B35" s="279" t="s">
        <v>98</v>
      </c>
      <c r="C35" s="280">
        <v>185</v>
      </c>
      <c r="D35" s="262" t="s">
        <v>99</v>
      </c>
      <c r="E35" s="328">
        <v>45658</v>
      </c>
      <c r="F35" s="328">
        <v>45689</v>
      </c>
      <c r="G35" s="740" t="s">
        <v>67</v>
      </c>
      <c r="H35" s="741">
        <f t="shared" si="0"/>
        <v>2</v>
      </c>
      <c r="I35" s="741">
        <v>50</v>
      </c>
      <c r="J35" s="742">
        <f t="shared" si="1"/>
        <v>100</v>
      </c>
      <c r="K35" s="743">
        <v>100</v>
      </c>
      <c r="L35" s="739"/>
      <c r="M35" s="739"/>
      <c r="N35" s="59">
        <f>SUM(K33:K35)</f>
        <v>400</v>
      </c>
      <c r="O35" s="32" t="s">
        <v>100</v>
      </c>
      <c r="P35" s="19"/>
      <c r="R35" s="17"/>
      <c r="S35" s="17"/>
      <c r="T35" s="744">
        <v>46296</v>
      </c>
    </row>
    <row r="36" spans="1:20" ht="21">
      <c r="A36" s="324" t="s">
        <v>100</v>
      </c>
      <c r="B36" s="279" t="s">
        <v>101</v>
      </c>
      <c r="C36" s="280">
        <v>131</v>
      </c>
      <c r="D36" s="262" t="s">
        <v>102</v>
      </c>
      <c r="E36" s="328">
        <v>45658</v>
      </c>
      <c r="F36" s="328">
        <v>45717</v>
      </c>
      <c r="G36" s="740" t="s">
        <v>34</v>
      </c>
      <c r="H36" s="741">
        <f t="shared" si="0"/>
        <v>3</v>
      </c>
      <c r="I36" s="741">
        <v>50</v>
      </c>
      <c r="J36" s="742">
        <f t="shared" si="1"/>
        <v>150</v>
      </c>
      <c r="K36" s="747">
        <v>150</v>
      </c>
      <c r="L36" s="739"/>
      <c r="M36" s="739"/>
      <c r="N36" s="19"/>
      <c r="O36" s="19"/>
      <c r="P36" s="19"/>
      <c r="R36" s="17"/>
      <c r="S36" s="17"/>
      <c r="T36" s="744">
        <v>46327</v>
      </c>
    </row>
    <row r="37" spans="1:20" ht="21">
      <c r="A37" s="324" t="s">
        <v>103</v>
      </c>
      <c r="B37" s="279" t="s">
        <v>104</v>
      </c>
      <c r="C37" s="280">
        <v>3</v>
      </c>
      <c r="D37" s="262" t="s">
        <v>105</v>
      </c>
      <c r="E37" s="328">
        <v>45717</v>
      </c>
      <c r="F37" s="328">
        <v>45809</v>
      </c>
      <c r="G37" s="740" t="s">
        <v>106</v>
      </c>
      <c r="H37" s="741">
        <f t="shared" si="0"/>
        <v>4</v>
      </c>
      <c r="I37" s="741">
        <v>50</v>
      </c>
      <c r="J37" s="742">
        <f t="shared" si="1"/>
        <v>200</v>
      </c>
      <c r="K37" s="747">
        <v>200</v>
      </c>
      <c r="L37" s="739"/>
      <c r="M37" s="739"/>
      <c r="N37" s="31"/>
      <c r="O37" s="32"/>
      <c r="P37" s="19"/>
      <c r="R37" s="17"/>
      <c r="S37" s="17"/>
      <c r="T37" s="744">
        <v>46357</v>
      </c>
    </row>
    <row r="38" spans="1:20" ht="21">
      <c r="A38" s="324" t="s">
        <v>103</v>
      </c>
      <c r="B38" s="279" t="s">
        <v>107</v>
      </c>
      <c r="C38" s="280">
        <v>69</v>
      </c>
      <c r="D38" s="262" t="s">
        <v>108</v>
      </c>
      <c r="E38" s="328">
        <v>45658</v>
      </c>
      <c r="F38" s="328">
        <v>45809</v>
      </c>
      <c r="G38" s="740" t="s">
        <v>31</v>
      </c>
      <c r="H38" s="741">
        <f t="shared" si="0"/>
        <v>6</v>
      </c>
      <c r="I38" s="741">
        <v>50</v>
      </c>
      <c r="J38" s="742">
        <f t="shared" si="1"/>
        <v>300</v>
      </c>
      <c r="K38" s="747">
        <v>300</v>
      </c>
      <c r="L38" s="739"/>
      <c r="M38" s="739"/>
      <c r="N38" s="71">
        <f>SUM(K36:K38)</f>
        <v>650</v>
      </c>
      <c r="O38" s="32" t="s">
        <v>109</v>
      </c>
      <c r="P38" s="19"/>
      <c r="R38" s="17"/>
      <c r="S38" s="17"/>
      <c r="T38" s="744">
        <v>46388</v>
      </c>
    </row>
    <row r="39" spans="1:20" ht="21">
      <c r="A39" s="324" t="s">
        <v>103</v>
      </c>
      <c r="B39" s="279" t="s">
        <v>110</v>
      </c>
      <c r="C39" s="280">
        <v>178</v>
      </c>
      <c r="D39" s="262" t="s">
        <v>70</v>
      </c>
      <c r="E39" s="328">
        <v>45717</v>
      </c>
      <c r="F39" s="328">
        <v>45717</v>
      </c>
      <c r="G39" s="740">
        <v>45717</v>
      </c>
      <c r="H39" s="741">
        <f t="shared" si="0"/>
        <v>1</v>
      </c>
      <c r="I39" s="741">
        <v>50</v>
      </c>
      <c r="J39" s="742">
        <f t="shared" si="1"/>
        <v>50</v>
      </c>
      <c r="K39" s="748">
        <v>50</v>
      </c>
      <c r="L39" s="739"/>
      <c r="M39" s="739"/>
      <c r="N39" s="31"/>
      <c r="O39" s="32"/>
      <c r="P39" s="19"/>
      <c r="R39" s="17"/>
      <c r="S39" s="17"/>
      <c r="T39" s="749"/>
    </row>
    <row r="40" spans="1:20" ht="21">
      <c r="A40" s="324" t="s">
        <v>103</v>
      </c>
      <c r="B40" s="279" t="s">
        <v>111</v>
      </c>
      <c r="C40" s="280">
        <v>11</v>
      </c>
      <c r="D40" s="262" t="s">
        <v>112</v>
      </c>
      <c r="E40" s="328">
        <v>45658</v>
      </c>
      <c r="F40" s="328">
        <v>45992</v>
      </c>
      <c r="G40" s="740" t="s">
        <v>40</v>
      </c>
      <c r="H40" s="741">
        <f t="shared" si="0"/>
        <v>12</v>
      </c>
      <c r="I40" s="741">
        <v>50</v>
      </c>
      <c r="J40" s="742">
        <f t="shared" si="1"/>
        <v>600</v>
      </c>
      <c r="K40" s="748">
        <v>600</v>
      </c>
      <c r="L40" s="739"/>
      <c r="M40" s="739"/>
      <c r="O40" s="32"/>
      <c r="P40" s="19"/>
      <c r="R40" s="17"/>
      <c r="S40" s="17"/>
      <c r="T40" s="749"/>
    </row>
    <row r="41" spans="1:20" ht="21">
      <c r="A41" s="322" t="s">
        <v>103</v>
      </c>
      <c r="B41" s="320" t="s">
        <v>113</v>
      </c>
      <c r="C41" s="283">
        <v>127</v>
      </c>
      <c r="D41" s="321" t="s">
        <v>114</v>
      </c>
      <c r="E41" s="327">
        <v>45658</v>
      </c>
      <c r="F41" s="327">
        <v>45992</v>
      </c>
      <c r="G41" s="735" t="s">
        <v>40</v>
      </c>
      <c r="H41" s="750">
        <f t="shared" si="0"/>
        <v>12</v>
      </c>
      <c r="I41" s="750">
        <v>50</v>
      </c>
      <c r="J41" s="751">
        <f t="shared" si="1"/>
        <v>600</v>
      </c>
      <c r="K41" s="752">
        <v>600</v>
      </c>
      <c r="L41" s="739"/>
      <c r="M41" s="739"/>
      <c r="N41" s="31"/>
      <c r="O41" s="32"/>
      <c r="P41" s="19"/>
      <c r="R41" s="17"/>
      <c r="S41" s="17"/>
      <c r="T41" s="749"/>
    </row>
    <row r="42" spans="1:20" ht="21">
      <c r="A42" s="278" t="s">
        <v>103</v>
      </c>
      <c r="B42" s="279" t="s">
        <v>115</v>
      </c>
      <c r="C42" s="280">
        <v>191</v>
      </c>
      <c r="D42" s="262" t="s">
        <v>116</v>
      </c>
      <c r="E42" s="328">
        <v>45658</v>
      </c>
      <c r="F42" s="328">
        <v>45992</v>
      </c>
      <c r="G42" s="740" t="s">
        <v>40</v>
      </c>
      <c r="H42" s="741">
        <f t="shared" si="0"/>
        <v>12</v>
      </c>
      <c r="I42" s="741">
        <v>50</v>
      </c>
      <c r="J42" s="742">
        <f t="shared" si="1"/>
        <v>600</v>
      </c>
      <c r="K42" s="753">
        <v>600</v>
      </c>
      <c r="L42" s="739"/>
      <c r="M42" s="739"/>
      <c r="N42" s="31"/>
      <c r="O42" s="32"/>
      <c r="P42" s="19"/>
      <c r="R42" s="17"/>
      <c r="S42" s="17"/>
      <c r="T42" s="749"/>
    </row>
    <row r="43" spans="1:20" ht="21">
      <c r="A43" s="278" t="s">
        <v>103</v>
      </c>
      <c r="B43" s="279" t="s">
        <v>117</v>
      </c>
      <c r="C43" s="280">
        <v>226</v>
      </c>
      <c r="D43" s="262" t="s">
        <v>118</v>
      </c>
      <c r="E43" s="328">
        <v>45658</v>
      </c>
      <c r="F43" s="328">
        <v>45717</v>
      </c>
      <c r="G43" s="740" t="s">
        <v>34</v>
      </c>
      <c r="H43" s="741">
        <f t="shared" si="0"/>
        <v>3</v>
      </c>
      <c r="I43" s="741">
        <v>50</v>
      </c>
      <c r="J43" s="742">
        <f t="shared" si="1"/>
        <v>150</v>
      </c>
      <c r="K43" s="753">
        <v>150</v>
      </c>
      <c r="L43" s="739"/>
      <c r="M43" s="739"/>
      <c r="N43" s="31"/>
      <c r="O43" s="32"/>
      <c r="P43" s="19"/>
      <c r="R43" s="17"/>
      <c r="S43" s="17"/>
      <c r="T43" s="749"/>
    </row>
    <row r="44" spans="1:20" ht="21">
      <c r="A44" s="278" t="s">
        <v>103</v>
      </c>
      <c r="B44" s="279" t="s">
        <v>119</v>
      </c>
      <c r="C44" s="280">
        <v>170</v>
      </c>
      <c r="D44" s="262" t="s">
        <v>120</v>
      </c>
      <c r="E44" s="328">
        <v>45658</v>
      </c>
      <c r="F44" s="328">
        <v>45689</v>
      </c>
      <c r="G44" s="740" t="s">
        <v>67</v>
      </c>
      <c r="H44" s="741">
        <f t="shared" si="0"/>
        <v>2</v>
      </c>
      <c r="I44" s="741">
        <v>50</v>
      </c>
      <c r="J44" s="742">
        <f t="shared" si="1"/>
        <v>100</v>
      </c>
      <c r="K44" s="753">
        <v>100</v>
      </c>
      <c r="L44" s="739"/>
      <c r="M44" s="739"/>
      <c r="N44" s="72">
        <f>SUM(K39:K44)</f>
        <v>2100</v>
      </c>
      <c r="O44" s="32" t="s">
        <v>121</v>
      </c>
      <c r="P44" s="19"/>
      <c r="R44" s="17"/>
      <c r="S44" s="17"/>
      <c r="T44" s="749"/>
    </row>
    <row r="45" spans="1:20" ht="21">
      <c r="A45" s="278"/>
      <c r="B45" s="279"/>
      <c r="C45" s="280"/>
      <c r="D45" s="262"/>
      <c r="E45" s="241"/>
      <c r="F45" s="241"/>
      <c r="G45" s="740"/>
      <c r="H45" s="754"/>
      <c r="I45" s="754"/>
      <c r="J45" s="755"/>
      <c r="K45" s="739"/>
      <c r="L45" s="739"/>
      <c r="M45" s="739"/>
      <c r="N45" s="31"/>
      <c r="O45" s="32"/>
      <c r="P45" s="19"/>
      <c r="R45" s="17"/>
      <c r="S45" s="17"/>
      <c r="T45" s="749"/>
    </row>
    <row r="46" spans="1:20" ht="21">
      <c r="A46" s="278"/>
      <c r="B46" s="279"/>
      <c r="C46" s="280"/>
      <c r="D46" s="262"/>
      <c r="E46" s="241"/>
      <c r="F46" s="241"/>
      <c r="G46" s="740"/>
      <c r="H46" s="754"/>
      <c r="I46" s="754"/>
      <c r="J46" s="755"/>
      <c r="K46" s="739"/>
      <c r="L46" s="739"/>
      <c r="M46" s="739"/>
      <c r="N46" s="31"/>
      <c r="O46" s="32"/>
      <c r="P46" s="19"/>
      <c r="R46" s="17"/>
      <c r="S46" s="17"/>
      <c r="T46" s="749"/>
    </row>
    <row r="47" spans="1:20" ht="21">
      <c r="A47" s="278"/>
      <c r="B47" s="279"/>
      <c r="C47" s="280"/>
      <c r="D47" s="262"/>
      <c r="E47" s="241"/>
      <c r="F47" s="241"/>
      <c r="G47" s="740"/>
      <c r="H47" s="754"/>
      <c r="I47" s="754"/>
      <c r="J47" s="755"/>
      <c r="K47" s="739"/>
      <c r="L47" s="739"/>
      <c r="M47" s="739"/>
      <c r="N47" s="31"/>
      <c r="O47" s="32"/>
      <c r="P47" s="19"/>
      <c r="R47" s="17"/>
      <c r="S47" s="17"/>
      <c r="T47" s="749"/>
    </row>
    <row r="48" spans="1:20" ht="21">
      <c r="A48" s="278"/>
      <c r="B48" s="279"/>
      <c r="C48" s="280"/>
      <c r="D48" s="263"/>
      <c r="E48" s="242"/>
      <c r="F48" s="242"/>
      <c r="G48" s="740"/>
      <c r="H48" s="754"/>
      <c r="I48" s="754"/>
      <c r="J48" s="755"/>
      <c r="K48" s="739"/>
      <c r="L48" s="739"/>
      <c r="M48" s="739"/>
      <c r="N48" s="19"/>
      <c r="O48" s="32"/>
      <c r="P48" s="19"/>
      <c r="R48" s="17"/>
      <c r="S48" s="17"/>
      <c r="T48" s="749"/>
    </row>
    <row r="49" spans="1:20" ht="21">
      <c r="A49" s="282" t="s">
        <v>19</v>
      </c>
      <c r="B49" s="279" t="s">
        <v>122</v>
      </c>
      <c r="C49" s="283">
        <v>162</v>
      </c>
      <c r="D49" s="264" t="s">
        <v>123</v>
      </c>
      <c r="E49" s="241">
        <v>45658</v>
      </c>
      <c r="F49" s="241">
        <v>45689</v>
      </c>
      <c r="G49" s="740" t="s">
        <v>67</v>
      </c>
      <c r="H49" s="754">
        <f t="shared" ref="H49:H76" si="2">DATEDIF(E49,F49,"M")+1</f>
        <v>2</v>
      </c>
      <c r="I49" s="754">
        <v>50</v>
      </c>
      <c r="J49" s="755">
        <f t="shared" ref="J49:J76" si="3">H49*I49</f>
        <v>100</v>
      </c>
      <c r="K49" s="739"/>
      <c r="L49" s="739"/>
      <c r="M49" s="739">
        <v>100</v>
      </c>
      <c r="N49" s="19"/>
      <c r="O49" s="19" t="s">
        <v>124</v>
      </c>
      <c r="P49" s="16" t="s">
        <v>125</v>
      </c>
      <c r="Q49" s="27" t="s">
        <v>126</v>
      </c>
      <c r="T49" s="749"/>
    </row>
    <row r="50" spans="1:20" ht="21">
      <c r="A50" s="284" t="s">
        <v>127</v>
      </c>
      <c r="B50" s="279" t="s">
        <v>128</v>
      </c>
      <c r="C50" s="283">
        <v>202</v>
      </c>
      <c r="D50" s="265" t="s">
        <v>129</v>
      </c>
      <c r="E50" s="243">
        <v>45658</v>
      </c>
      <c r="F50" s="243">
        <v>45809</v>
      </c>
      <c r="G50" s="740" t="s">
        <v>31</v>
      </c>
      <c r="H50" s="754">
        <f t="shared" si="2"/>
        <v>6</v>
      </c>
      <c r="I50" s="754">
        <v>50</v>
      </c>
      <c r="J50" s="755">
        <f t="shared" si="3"/>
        <v>300</v>
      </c>
      <c r="K50" s="739"/>
      <c r="L50" s="739"/>
      <c r="M50" s="739">
        <v>300</v>
      </c>
      <c r="N50" s="21"/>
      <c r="P50" s="16" t="s">
        <v>125</v>
      </c>
      <c r="Q50" s="27" t="s">
        <v>130</v>
      </c>
      <c r="T50" s="749"/>
    </row>
    <row r="51" spans="1:20" ht="21">
      <c r="A51" s="285" t="s">
        <v>127</v>
      </c>
      <c r="B51" s="279" t="s">
        <v>131</v>
      </c>
      <c r="C51" s="280">
        <v>116</v>
      </c>
      <c r="D51" s="262" t="s">
        <v>132</v>
      </c>
      <c r="E51" s="241">
        <v>45658</v>
      </c>
      <c r="F51" s="241">
        <v>45658</v>
      </c>
      <c r="G51" s="756">
        <v>45658</v>
      </c>
      <c r="H51" s="754">
        <f t="shared" si="2"/>
        <v>1</v>
      </c>
      <c r="I51" s="754">
        <v>50</v>
      </c>
      <c r="J51" s="755">
        <f t="shared" si="3"/>
        <v>50</v>
      </c>
      <c r="K51" s="739"/>
      <c r="L51" s="739"/>
      <c r="M51" s="739">
        <v>50</v>
      </c>
      <c r="N51" s="19"/>
      <c r="O51" s="19"/>
      <c r="P51" s="16" t="s">
        <v>125</v>
      </c>
      <c r="Q51" s="27" t="s">
        <v>133</v>
      </c>
      <c r="T51" s="749"/>
    </row>
    <row r="52" spans="1:20" ht="21">
      <c r="A52" s="286" t="s">
        <v>127</v>
      </c>
      <c r="B52" s="279" t="s">
        <v>134</v>
      </c>
      <c r="C52" s="280">
        <v>117</v>
      </c>
      <c r="D52" s="264" t="s">
        <v>135</v>
      </c>
      <c r="E52" s="244">
        <v>45658</v>
      </c>
      <c r="F52" s="244">
        <v>45658</v>
      </c>
      <c r="G52" s="756">
        <v>45658</v>
      </c>
      <c r="H52" s="754">
        <f t="shared" si="2"/>
        <v>1</v>
      </c>
      <c r="I52" s="754">
        <v>50</v>
      </c>
      <c r="J52" s="755">
        <f t="shared" si="3"/>
        <v>50</v>
      </c>
      <c r="K52" s="739"/>
      <c r="L52" s="739"/>
      <c r="M52" s="739">
        <v>50</v>
      </c>
      <c r="N52" s="46"/>
      <c r="O52" s="46"/>
      <c r="P52" s="16" t="s">
        <v>125</v>
      </c>
      <c r="Q52" t="s">
        <v>136</v>
      </c>
      <c r="T52" s="749"/>
    </row>
    <row r="53" spans="1:20" ht="21">
      <c r="A53" s="285" t="s">
        <v>46</v>
      </c>
      <c r="B53" s="279" t="s">
        <v>137</v>
      </c>
      <c r="C53" s="287">
        <v>53</v>
      </c>
      <c r="D53" s="266" t="s">
        <v>138</v>
      </c>
      <c r="E53" s="245">
        <v>45658</v>
      </c>
      <c r="F53" s="245">
        <v>45992</v>
      </c>
      <c r="G53" s="14" t="s">
        <v>40</v>
      </c>
      <c r="H53" s="754">
        <f t="shared" si="2"/>
        <v>12</v>
      </c>
      <c r="I53" s="754">
        <v>50</v>
      </c>
      <c r="J53" s="755">
        <f t="shared" si="3"/>
        <v>600</v>
      </c>
      <c r="K53" s="49"/>
      <c r="L53" s="49"/>
      <c r="M53" s="50">
        <v>600</v>
      </c>
      <c r="N53" s="46"/>
      <c r="P53" s="16" t="s">
        <v>125</v>
      </c>
      <c r="Q53" t="s">
        <v>139</v>
      </c>
      <c r="T53" s="749"/>
    </row>
    <row r="54" spans="1:20" ht="21">
      <c r="A54" s="285" t="s">
        <v>49</v>
      </c>
      <c r="B54" s="279" t="s">
        <v>140</v>
      </c>
      <c r="C54" s="280">
        <v>104</v>
      </c>
      <c r="D54" s="265" t="s">
        <v>141</v>
      </c>
      <c r="E54" s="243">
        <v>45658</v>
      </c>
      <c r="F54" s="243">
        <v>45689</v>
      </c>
      <c r="G54" s="740" t="s">
        <v>67</v>
      </c>
      <c r="H54" s="754">
        <f t="shared" si="2"/>
        <v>2</v>
      </c>
      <c r="I54" s="754">
        <v>50</v>
      </c>
      <c r="J54" s="755">
        <f t="shared" si="3"/>
        <v>100</v>
      </c>
      <c r="K54" s="49"/>
      <c r="L54" s="49"/>
      <c r="M54" s="50">
        <v>100</v>
      </c>
      <c r="N54" s="21"/>
      <c r="O54" s="19"/>
      <c r="P54" s="16" t="s">
        <v>125</v>
      </c>
      <c r="Q54" t="s">
        <v>142</v>
      </c>
      <c r="T54" s="749"/>
    </row>
    <row r="55" spans="1:20" ht="21">
      <c r="A55" s="285" t="s">
        <v>61</v>
      </c>
      <c r="B55" s="279" t="s">
        <v>143</v>
      </c>
      <c r="C55" s="280">
        <v>176</v>
      </c>
      <c r="D55" s="265" t="s">
        <v>144</v>
      </c>
      <c r="E55" s="243">
        <v>45658</v>
      </c>
      <c r="F55" s="243">
        <v>45992</v>
      </c>
      <c r="G55" s="14" t="s">
        <v>40</v>
      </c>
      <c r="H55" s="754">
        <f t="shared" si="2"/>
        <v>12</v>
      </c>
      <c r="I55" s="754">
        <v>50</v>
      </c>
      <c r="J55" s="755">
        <f t="shared" si="3"/>
        <v>600</v>
      </c>
      <c r="K55" s="49"/>
      <c r="L55" s="49"/>
      <c r="M55" s="49">
        <v>600</v>
      </c>
      <c r="N55" s="21"/>
      <c r="O55" s="19"/>
      <c r="P55" s="16" t="s">
        <v>125</v>
      </c>
      <c r="Q55" t="s">
        <v>145</v>
      </c>
      <c r="T55" s="749"/>
    </row>
    <row r="56" spans="1:20" ht="21">
      <c r="A56" s="285" t="s">
        <v>61</v>
      </c>
      <c r="B56" s="279" t="s">
        <v>146</v>
      </c>
      <c r="C56" s="279">
        <v>175</v>
      </c>
      <c r="D56" s="265" t="s">
        <v>147</v>
      </c>
      <c r="E56" s="243">
        <v>45658</v>
      </c>
      <c r="F56" s="243">
        <v>45658</v>
      </c>
      <c r="G56" s="70">
        <v>45658</v>
      </c>
      <c r="H56" s="754">
        <f t="shared" si="2"/>
        <v>1</v>
      </c>
      <c r="I56" s="754">
        <v>50</v>
      </c>
      <c r="J56" s="755">
        <f t="shared" si="3"/>
        <v>50</v>
      </c>
      <c r="K56" s="49"/>
      <c r="L56" s="49"/>
      <c r="M56" s="49">
        <v>50</v>
      </c>
      <c r="N56" s="21"/>
      <c r="O56" s="19"/>
      <c r="P56" s="16" t="s">
        <v>125</v>
      </c>
      <c r="Q56" s="27" t="s">
        <v>148</v>
      </c>
      <c r="T56" s="749"/>
    </row>
    <row r="57" spans="1:20" ht="21">
      <c r="A57" s="285" t="s">
        <v>64</v>
      </c>
      <c r="B57" s="279" t="s">
        <v>149</v>
      </c>
      <c r="C57" s="288">
        <v>124</v>
      </c>
      <c r="D57" s="265" t="s">
        <v>150</v>
      </c>
      <c r="E57" s="243">
        <v>45627</v>
      </c>
      <c r="F57" s="243">
        <v>45627</v>
      </c>
      <c r="G57" s="740">
        <v>45627</v>
      </c>
      <c r="H57" s="754">
        <f t="shared" si="2"/>
        <v>1</v>
      </c>
      <c r="I57" s="754">
        <v>50</v>
      </c>
      <c r="J57" s="755">
        <f t="shared" si="3"/>
        <v>50</v>
      </c>
      <c r="K57" s="739"/>
      <c r="L57" s="50"/>
      <c r="M57" s="739">
        <v>50</v>
      </c>
      <c r="N57" s="19"/>
      <c r="O57" s="19"/>
      <c r="P57" s="16" t="s">
        <v>125</v>
      </c>
      <c r="Q57" t="s">
        <v>151</v>
      </c>
      <c r="T57" s="749"/>
    </row>
    <row r="58" spans="1:20" ht="21">
      <c r="A58" s="285" t="s">
        <v>64</v>
      </c>
      <c r="B58" s="279" t="s">
        <v>152</v>
      </c>
      <c r="C58" s="280">
        <v>79</v>
      </c>
      <c r="D58" s="262" t="s">
        <v>153</v>
      </c>
      <c r="E58" s="241">
        <v>45536</v>
      </c>
      <c r="F58" s="241">
        <v>45658</v>
      </c>
      <c r="G58" s="756" t="s">
        <v>154</v>
      </c>
      <c r="H58" s="754">
        <f t="shared" si="2"/>
        <v>5</v>
      </c>
      <c r="I58" s="754">
        <v>50</v>
      </c>
      <c r="J58" s="755">
        <f t="shared" si="3"/>
        <v>250</v>
      </c>
      <c r="K58" s="49"/>
      <c r="L58" s="50"/>
      <c r="M58" s="50">
        <v>250</v>
      </c>
      <c r="N58" s="46"/>
      <c r="P58" s="16" t="s">
        <v>125</v>
      </c>
      <c r="Q58" t="s">
        <v>155</v>
      </c>
      <c r="T58" s="749"/>
    </row>
    <row r="59" spans="1:20" ht="21">
      <c r="A59" s="285" t="s">
        <v>156</v>
      </c>
      <c r="B59" s="279" t="s">
        <v>157</v>
      </c>
      <c r="C59" s="280">
        <v>62</v>
      </c>
      <c r="D59" s="264" t="s">
        <v>158</v>
      </c>
      <c r="E59" s="244">
        <v>45658</v>
      </c>
      <c r="F59" s="244">
        <v>45809</v>
      </c>
      <c r="G59" s="756" t="s">
        <v>31</v>
      </c>
      <c r="H59" s="754">
        <f t="shared" si="2"/>
        <v>6</v>
      </c>
      <c r="I59" s="754">
        <v>50</v>
      </c>
      <c r="J59" s="755">
        <f t="shared" si="3"/>
        <v>300</v>
      </c>
      <c r="K59" s="50"/>
      <c r="L59" s="50"/>
      <c r="M59" s="50">
        <v>300</v>
      </c>
      <c r="N59" s="46"/>
      <c r="O59" s="46"/>
      <c r="P59" s="16" t="s">
        <v>125</v>
      </c>
      <c r="Q59" t="s">
        <v>159</v>
      </c>
      <c r="T59" s="749"/>
    </row>
    <row r="60" spans="1:20" ht="21">
      <c r="A60" s="286" t="s">
        <v>71</v>
      </c>
      <c r="B60" s="279" t="s">
        <v>160</v>
      </c>
      <c r="C60" s="287">
        <v>223</v>
      </c>
      <c r="D60" s="267" t="s">
        <v>161</v>
      </c>
      <c r="E60" s="246">
        <v>45597</v>
      </c>
      <c r="F60" s="246">
        <v>45689</v>
      </c>
      <c r="G60" s="740" t="s">
        <v>162</v>
      </c>
      <c r="H60" s="754">
        <f t="shared" si="2"/>
        <v>4</v>
      </c>
      <c r="I60" s="754">
        <v>50</v>
      </c>
      <c r="J60" s="755">
        <f t="shared" si="3"/>
        <v>200</v>
      </c>
      <c r="K60" s="50"/>
      <c r="L60" s="50"/>
      <c r="M60" s="50">
        <v>200</v>
      </c>
      <c r="N60" s="46"/>
      <c r="O60" s="25" t="s">
        <v>124</v>
      </c>
      <c r="P60" s="16" t="s">
        <v>125</v>
      </c>
      <c r="Q60" t="s">
        <v>163</v>
      </c>
      <c r="T60" s="749"/>
    </row>
    <row r="61" spans="1:20" ht="21">
      <c r="A61" s="286" t="s">
        <v>79</v>
      </c>
      <c r="B61" s="279" t="s">
        <v>164</v>
      </c>
      <c r="C61" s="289">
        <v>137</v>
      </c>
      <c r="D61" s="264" t="s">
        <v>165</v>
      </c>
      <c r="E61" s="241">
        <v>45658</v>
      </c>
      <c r="F61" s="241">
        <v>45658</v>
      </c>
      <c r="G61" s="740">
        <v>45658</v>
      </c>
      <c r="H61" s="754">
        <f t="shared" si="2"/>
        <v>1</v>
      </c>
      <c r="I61" s="754">
        <v>50</v>
      </c>
      <c r="J61" s="755">
        <f t="shared" si="3"/>
        <v>50</v>
      </c>
      <c r="K61" s="50"/>
      <c r="L61" s="50"/>
      <c r="M61" s="50">
        <v>50</v>
      </c>
      <c r="N61" s="46"/>
      <c r="O61" s="25" t="s">
        <v>166</v>
      </c>
      <c r="P61" s="42" t="s">
        <v>167</v>
      </c>
      <c r="Q61" s="43"/>
      <c r="T61" s="749"/>
    </row>
    <row r="62" spans="1:20" ht="21">
      <c r="A62" s="285" t="s">
        <v>79</v>
      </c>
      <c r="B62" s="279" t="s">
        <v>168</v>
      </c>
      <c r="C62" s="280">
        <v>64</v>
      </c>
      <c r="D62" s="262" t="s">
        <v>169</v>
      </c>
      <c r="E62" s="241">
        <v>45658</v>
      </c>
      <c r="F62" s="241">
        <v>45748</v>
      </c>
      <c r="G62" s="756" t="s">
        <v>45</v>
      </c>
      <c r="H62" s="754">
        <f t="shared" si="2"/>
        <v>4</v>
      </c>
      <c r="I62" s="754">
        <v>50</v>
      </c>
      <c r="J62" s="755">
        <f t="shared" si="3"/>
        <v>200</v>
      </c>
      <c r="K62" s="50"/>
      <c r="L62" s="50"/>
      <c r="M62" s="50">
        <v>200</v>
      </c>
      <c r="N62" s="46"/>
      <c r="P62" s="16" t="s">
        <v>125</v>
      </c>
      <c r="Q62" t="s">
        <v>170</v>
      </c>
      <c r="T62" s="749"/>
    </row>
    <row r="63" spans="1:20" ht="21">
      <c r="A63" s="285" t="s">
        <v>78</v>
      </c>
      <c r="B63" s="279" t="s">
        <v>171</v>
      </c>
      <c r="C63" s="279">
        <v>155</v>
      </c>
      <c r="D63" s="264" t="s">
        <v>172</v>
      </c>
      <c r="E63" s="244">
        <v>45658</v>
      </c>
      <c r="F63" s="244">
        <v>45689</v>
      </c>
      <c r="G63" s="756" t="s">
        <v>67</v>
      </c>
      <c r="H63" s="754">
        <f t="shared" si="2"/>
        <v>2</v>
      </c>
      <c r="I63" s="754">
        <v>50</v>
      </c>
      <c r="J63" s="755">
        <f t="shared" si="3"/>
        <v>100</v>
      </c>
      <c r="K63" s="50"/>
      <c r="L63" s="50"/>
      <c r="M63" s="50">
        <v>100</v>
      </c>
      <c r="N63" s="46"/>
      <c r="P63" s="16" t="s">
        <v>125</v>
      </c>
      <c r="Q63" t="s">
        <v>173</v>
      </c>
      <c r="T63" s="749"/>
    </row>
    <row r="64" spans="1:20" ht="21">
      <c r="A64" s="290" t="s">
        <v>84</v>
      </c>
      <c r="B64" s="279" t="s">
        <v>174</v>
      </c>
      <c r="C64" s="287">
        <v>188</v>
      </c>
      <c r="D64" s="262" t="s">
        <v>175</v>
      </c>
      <c r="E64" s="247">
        <v>45658</v>
      </c>
      <c r="F64" s="247">
        <v>45992</v>
      </c>
      <c r="G64" s="14" t="s">
        <v>40</v>
      </c>
      <c r="H64" s="754">
        <f t="shared" si="2"/>
        <v>12</v>
      </c>
      <c r="I64" s="754">
        <v>50</v>
      </c>
      <c r="J64" s="755">
        <f t="shared" si="3"/>
        <v>600</v>
      </c>
      <c r="K64" s="50"/>
      <c r="L64" s="50"/>
      <c r="M64" s="50">
        <v>600</v>
      </c>
      <c r="N64" s="48"/>
      <c r="P64" s="16" t="s">
        <v>125</v>
      </c>
      <c r="Q64" s="27" t="s">
        <v>176</v>
      </c>
      <c r="T64" s="749"/>
    </row>
    <row r="65" spans="1:20" ht="21">
      <c r="A65" s="290" t="s">
        <v>84</v>
      </c>
      <c r="B65" s="279" t="s">
        <v>177</v>
      </c>
      <c r="C65" s="291">
        <v>80</v>
      </c>
      <c r="D65" s="268" t="s">
        <v>178</v>
      </c>
      <c r="E65" s="248">
        <v>45658</v>
      </c>
      <c r="F65" s="248">
        <v>45658</v>
      </c>
      <c r="G65" s="756">
        <v>45658</v>
      </c>
      <c r="H65" s="754">
        <f t="shared" si="2"/>
        <v>1</v>
      </c>
      <c r="I65" s="754">
        <v>50</v>
      </c>
      <c r="J65" s="755">
        <f t="shared" si="3"/>
        <v>50</v>
      </c>
      <c r="K65" s="739"/>
      <c r="L65" s="739"/>
      <c r="M65" s="739">
        <v>50</v>
      </c>
      <c r="N65" s="19"/>
      <c r="O65" s="19"/>
      <c r="P65" s="16" t="s">
        <v>125</v>
      </c>
      <c r="Q65" t="s">
        <v>179</v>
      </c>
      <c r="T65" s="749"/>
    </row>
    <row r="66" spans="1:20" ht="21">
      <c r="A66" s="290" t="s">
        <v>84</v>
      </c>
      <c r="B66" s="279" t="s">
        <v>180</v>
      </c>
      <c r="C66" s="292">
        <v>224</v>
      </c>
      <c r="D66" s="268" t="s">
        <v>181</v>
      </c>
      <c r="E66" s="248">
        <v>45658</v>
      </c>
      <c r="F66" s="248">
        <v>45658</v>
      </c>
      <c r="G66" s="756">
        <v>45658</v>
      </c>
      <c r="H66" s="754">
        <f t="shared" si="2"/>
        <v>1</v>
      </c>
      <c r="I66" s="754">
        <v>50</v>
      </c>
      <c r="J66" s="755">
        <f t="shared" si="3"/>
        <v>50</v>
      </c>
      <c r="K66" s="739"/>
      <c r="L66" s="739"/>
      <c r="M66" s="739">
        <v>50</v>
      </c>
      <c r="N66" s="19"/>
      <c r="O66" s="19"/>
      <c r="P66" s="16" t="s">
        <v>125</v>
      </c>
      <c r="Q66" t="s">
        <v>179</v>
      </c>
      <c r="T66" s="749"/>
    </row>
    <row r="67" spans="1:20" ht="21">
      <c r="A67" s="290" t="s">
        <v>182</v>
      </c>
      <c r="B67" s="279" t="s">
        <v>183</v>
      </c>
      <c r="C67" s="280">
        <v>225</v>
      </c>
      <c r="D67" s="264" t="s">
        <v>184</v>
      </c>
      <c r="E67" s="241">
        <v>45658</v>
      </c>
      <c r="F67" s="241">
        <v>45717</v>
      </c>
      <c r="G67" s="740" t="s">
        <v>34</v>
      </c>
      <c r="H67" s="754">
        <f t="shared" si="2"/>
        <v>3</v>
      </c>
      <c r="I67" s="754">
        <v>50</v>
      </c>
      <c r="J67" s="755">
        <f t="shared" si="3"/>
        <v>150</v>
      </c>
      <c r="K67" s="739"/>
      <c r="L67" s="739"/>
      <c r="M67" s="739">
        <v>150</v>
      </c>
      <c r="N67" s="19"/>
      <c r="O67" s="19"/>
      <c r="P67" s="16" t="s">
        <v>125</v>
      </c>
      <c r="Q67" s="27" t="s">
        <v>185</v>
      </c>
      <c r="T67" s="749"/>
    </row>
    <row r="68" spans="1:20" ht="21">
      <c r="A68" s="290" t="s">
        <v>186</v>
      </c>
      <c r="B68" s="279" t="s">
        <v>187</v>
      </c>
      <c r="C68" s="281">
        <v>29</v>
      </c>
      <c r="D68" s="264" t="s">
        <v>188</v>
      </c>
      <c r="E68" s="241">
        <v>45689</v>
      </c>
      <c r="F68" s="241">
        <v>45992</v>
      </c>
      <c r="G68" s="216" t="s">
        <v>189</v>
      </c>
      <c r="H68" s="754">
        <f t="shared" si="2"/>
        <v>11</v>
      </c>
      <c r="I68" s="754">
        <v>50</v>
      </c>
      <c r="J68" s="755">
        <f t="shared" si="3"/>
        <v>550</v>
      </c>
      <c r="K68" s="739"/>
      <c r="L68" s="739"/>
      <c r="M68" s="217">
        <v>550</v>
      </c>
      <c r="N68" s="19"/>
      <c r="O68" s="19"/>
      <c r="P68" s="16" t="s">
        <v>125</v>
      </c>
      <c r="Q68" t="s">
        <v>190</v>
      </c>
      <c r="T68" s="749"/>
    </row>
    <row r="69" spans="1:20" ht="21">
      <c r="A69" s="290" t="s">
        <v>191</v>
      </c>
      <c r="B69" s="279" t="s">
        <v>192</v>
      </c>
      <c r="C69" s="281">
        <v>172</v>
      </c>
      <c r="D69" s="264" t="s">
        <v>193</v>
      </c>
      <c r="E69" s="244">
        <v>45658</v>
      </c>
      <c r="F69" s="244">
        <v>45689</v>
      </c>
      <c r="G69" s="756" t="s">
        <v>67</v>
      </c>
      <c r="H69" s="754">
        <f t="shared" si="2"/>
        <v>2</v>
      </c>
      <c r="I69" s="754">
        <v>50</v>
      </c>
      <c r="J69" s="755">
        <f t="shared" si="3"/>
        <v>100</v>
      </c>
      <c r="K69" s="739"/>
      <c r="L69" s="739"/>
      <c r="M69" s="739">
        <v>100</v>
      </c>
      <c r="N69" s="19"/>
      <c r="O69" s="19"/>
      <c r="P69" s="16" t="s">
        <v>125</v>
      </c>
      <c r="Q69" t="s">
        <v>194</v>
      </c>
      <c r="T69" s="749"/>
    </row>
    <row r="70" spans="1:20" ht="21">
      <c r="A70" s="290" t="s">
        <v>91</v>
      </c>
      <c r="B70" s="279" t="s">
        <v>195</v>
      </c>
      <c r="C70" s="281">
        <v>123</v>
      </c>
      <c r="D70" s="264" t="s">
        <v>196</v>
      </c>
      <c r="E70" s="244">
        <v>45658</v>
      </c>
      <c r="F70" s="244">
        <v>45689</v>
      </c>
      <c r="G70" s="756" t="s">
        <v>67</v>
      </c>
      <c r="H70" s="754">
        <f t="shared" si="2"/>
        <v>2</v>
      </c>
      <c r="I70" s="754">
        <v>50</v>
      </c>
      <c r="J70" s="755">
        <f t="shared" si="3"/>
        <v>100</v>
      </c>
      <c r="K70" s="739"/>
      <c r="L70" s="739"/>
      <c r="M70" s="739">
        <v>100</v>
      </c>
      <c r="N70" s="19"/>
      <c r="O70" s="19"/>
      <c r="P70" s="16" t="s">
        <v>125</v>
      </c>
      <c r="Q70" t="s">
        <v>197</v>
      </c>
      <c r="T70" s="749"/>
    </row>
    <row r="71" spans="1:20" ht="21">
      <c r="A71" s="290" t="s">
        <v>91</v>
      </c>
      <c r="B71" s="279" t="s">
        <v>198</v>
      </c>
      <c r="C71" s="281">
        <v>13</v>
      </c>
      <c r="D71" s="264" t="s">
        <v>199</v>
      </c>
      <c r="E71" s="244">
        <v>45658</v>
      </c>
      <c r="F71" s="244">
        <v>45689</v>
      </c>
      <c r="G71" s="756" t="s">
        <v>67</v>
      </c>
      <c r="H71" s="754">
        <f t="shared" si="2"/>
        <v>2</v>
      </c>
      <c r="I71" s="754">
        <v>50</v>
      </c>
      <c r="J71" s="755">
        <f t="shared" si="3"/>
        <v>100</v>
      </c>
      <c r="K71" s="739"/>
      <c r="L71" s="739"/>
      <c r="M71" s="739">
        <v>100</v>
      </c>
      <c r="N71" s="19"/>
      <c r="O71" s="19"/>
      <c r="P71" s="16" t="s">
        <v>125</v>
      </c>
      <c r="Q71" t="s">
        <v>200</v>
      </c>
      <c r="T71" s="749"/>
    </row>
    <row r="72" spans="1:20" ht="21">
      <c r="A72" s="290" t="s">
        <v>97</v>
      </c>
      <c r="B72" s="279" t="s">
        <v>201</v>
      </c>
      <c r="C72" s="281">
        <v>81</v>
      </c>
      <c r="D72" s="264" t="s">
        <v>202</v>
      </c>
      <c r="E72" s="247">
        <v>45658</v>
      </c>
      <c r="F72" s="247">
        <v>45992</v>
      </c>
      <c r="G72" s="14" t="s">
        <v>40</v>
      </c>
      <c r="H72" s="754">
        <f t="shared" si="2"/>
        <v>12</v>
      </c>
      <c r="I72" s="754">
        <v>50</v>
      </c>
      <c r="J72" s="755">
        <f t="shared" si="3"/>
        <v>600</v>
      </c>
      <c r="K72" s="739"/>
      <c r="L72" s="739"/>
      <c r="M72" s="739">
        <v>600</v>
      </c>
      <c r="N72" s="19"/>
      <c r="O72" s="19"/>
      <c r="P72" s="16" t="s">
        <v>125</v>
      </c>
      <c r="Q72" t="s">
        <v>203</v>
      </c>
      <c r="T72" s="749"/>
    </row>
    <row r="73" spans="1:20" ht="21">
      <c r="A73" s="293" t="s">
        <v>103</v>
      </c>
      <c r="B73" s="279" t="s">
        <v>204</v>
      </c>
      <c r="C73" s="294">
        <v>80</v>
      </c>
      <c r="D73" s="268" t="s">
        <v>178</v>
      </c>
      <c r="E73" s="248">
        <v>45689</v>
      </c>
      <c r="F73" s="248">
        <v>45689</v>
      </c>
      <c r="G73" s="216">
        <v>45689</v>
      </c>
      <c r="H73" s="754">
        <f t="shared" si="2"/>
        <v>1</v>
      </c>
      <c r="I73" s="754">
        <v>50</v>
      </c>
      <c r="J73" s="755">
        <f t="shared" si="3"/>
        <v>50</v>
      </c>
      <c r="K73" s="739"/>
      <c r="L73" s="739"/>
      <c r="M73" s="217">
        <v>50</v>
      </c>
      <c r="N73" s="19"/>
      <c r="O73" s="19"/>
      <c r="P73" s="16" t="s">
        <v>125</v>
      </c>
      <c r="Q73" t="s">
        <v>179</v>
      </c>
      <c r="T73" s="749"/>
    </row>
    <row r="74" spans="1:20" ht="21">
      <c r="A74" s="293" t="s">
        <v>103</v>
      </c>
      <c r="B74" s="279" t="s">
        <v>205</v>
      </c>
      <c r="C74" s="295">
        <v>224</v>
      </c>
      <c r="D74" s="268" t="s">
        <v>181</v>
      </c>
      <c r="E74" s="248">
        <v>45689</v>
      </c>
      <c r="F74" s="248">
        <v>45689</v>
      </c>
      <c r="G74" s="216">
        <v>45689</v>
      </c>
      <c r="H74" s="754">
        <f t="shared" si="2"/>
        <v>1</v>
      </c>
      <c r="I74" s="754">
        <v>50</v>
      </c>
      <c r="J74" s="755">
        <f t="shared" si="3"/>
        <v>50</v>
      </c>
      <c r="K74" s="739"/>
      <c r="L74" s="739"/>
      <c r="M74" s="217">
        <v>50</v>
      </c>
      <c r="N74" s="19"/>
      <c r="O74" s="19"/>
      <c r="P74" s="16" t="s">
        <v>125</v>
      </c>
      <c r="Q74" t="s">
        <v>179</v>
      </c>
      <c r="T74" s="749"/>
    </row>
    <row r="75" spans="1:20" ht="21">
      <c r="A75" s="293" t="s">
        <v>103</v>
      </c>
      <c r="B75" s="279" t="s">
        <v>206</v>
      </c>
      <c r="C75" s="296">
        <v>175</v>
      </c>
      <c r="D75" s="269" t="str">
        <f>VLOOKUP(C75,'MASTER Name List'!$B$3:$M$186,2,FALSE)</f>
        <v>洪鼎惟</v>
      </c>
      <c r="E75" s="249">
        <v>45689</v>
      </c>
      <c r="F75" s="249">
        <v>45689</v>
      </c>
      <c r="G75" s="216">
        <v>45689</v>
      </c>
      <c r="H75" s="754">
        <f t="shared" si="2"/>
        <v>1</v>
      </c>
      <c r="I75" s="754">
        <v>50</v>
      </c>
      <c r="J75" s="755">
        <f t="shared" si="3"/>
        <v>50</v>
      </c>
      <c r="K75" s="739"/>
      <c r="L75" s="739"/>
      <c r="M75" s="217">
        <v>50</v>
      </c>
      <c r="N75" s="19"/>
      <c r="O75" s="19"/>
      <c r="P75" s="16" t="s">
        <v>125</v>
      </c>
      <c r="Q75" s="27" t="s">
        <v>148</v>
      </c>
      <c r="T75" s="749"/>
    </row>
    <row r="76" spans="1:20" ht="21">
      <c r="A76" s="293" t="s">
        <v>207</v>
      </c>
      <c r="B76" s="279" t="s">
        <v>208</v>
      </c>
      <c r="C76" s="296">
        <v>68</v>
      </c>
      <c r="D76" s="269" t="s">
        <v>209</v>
      </c>
      <c r="E76" s="249">
        <v>45658</v>
      </c>
      <c r="F76" s="249">
        <v>45717</v>
      </c>
      <c r="G76" s="216" t="s">
        <v>210</v>
      </c>
      <c r="H76" s="754">
        <f t="shared" si="2"/>
        <v>3</v>
      </c>
      <c r="I76" s="754">
        <v>50</v>
      </c>
      <c r="J76" s="755">
        <f t="shared" si="3"/>
        <v>150</v>
      </c>
      <c r="K76" s="739"/>
      <c r="L76" s="739"/>
      <c r="M76" s="217">
        <v>150</v>
      </c>
      <c r="N76" s="19"/>
      <c r="O76" s="19"/>
      <c r="P76" s="16" t="s">
        <v>125</v>
      </c>
      <c r="Q76" t="s">
        <v>211</v>
      </c>
      <c r="T76" s="749"/>
    </row>
    <row r="77" spans="1:20" ht="20.399999999999999">
      <c r="A77" s="47"/>
      <c r="B77" s="13"/>
      <c r="C77" s="33"/>
      <c r="D77" s="264"/>
      <c r="E77" s="241"/>
      <c r="F77" s="241"/>
      <c r="G77" s="740"/>
      <c r="H77" s="754"/>
      <c r="I77" s="754"/>
      <c r="J77" s="755"/>
      <c r="K77" s="739"/>
      <c r="L77" s="739"/>
      <c r="M77" s="739"/>
      <c r="N77" s="19"/>
      <c r="O77" s="19"/>
      <c r="P77" s="16"/>
      <c r="Q77"/>
      <c r="T77" s="749"/>
    </row>
    <row r="78" spans="1:20" ht="20.399999999999999">
      <c r="A78" s="47"/>
      <c r="B78" s="13"/>
      <c r="C78" s="33"/>
      <c r="D78" s="264"/>
      <c r="E78" s="241"/>
      <c r="F78" s="241"/>
      <c r="G78" s="740"/>
      <c r="H78" s="754"/>
      <c r="I78" s="754"/>
      <c r="J78" s="755"/>
      <c r="K78" s="739"/>
      <c r="L78" s="739"/>
      <c r="M78" s="739"/>
      <c r="N78" s="19"/>
      <c r="O78" s="19"/>
      <c r="P78" s="16"/>
      <c r="Q78"/>
      <c r="T78" s="749"/>
    </row>
    <row r="79" spans="1:20" ht="16.2">
      <c r="A79" s="757" t="s">
        <v>212</v>
      </c>
      <c r="B79" s="65"/>
      <c r="C79" s="66"/>
      <c r="D79" s="197"/>
      <c r="E79" s="250"/>
      <c r="F79" s="250"/>
      <c r="G79" s="758"/>
      <c r="H79" s="759"/>
      <c r="I79" s="759"/>
      <c r="J79" s="760"/>
      <c r="K79" s="761"/>
      <c r="L79" s="761">
        <v>50</v>
      </c>
      <c r="M79" s="67"/>
      <c r="N79" s="68"/>
      <c r="O79" s="68"/>
      <c r="P79" s="68"/>
      <c r="Q79" s="69" t="s">
        <v>213</v>
      </c>
      <c r="T79" s="749"/>
    </row>
    <row r="80" spans="1:20" ht="16.2">
      <c r="A80" s="47"/>
      <c r="B80" s="13"/>
      <c r="C80" s="33"/>
      <c r="D80" s="196"/>
      <c r="E80" s="241"/>
      <c r="F80" s="241"/>
      <c r="G80" s="740"/>
      <c r="H80" s="754"/>
      <c r="I80" s="754"/>
      <c r="J80" s="762"/>
      <c r="K80" s="739"/>
      <c r="L80" s="739"/>
      <c r="M80" s="739"/>
      <c r="N80" s="19"/>
      <c r="O80" s="19"/>
      <c r="P80" s="16"/>
      <c r="Q80"/>
      <c r="T80" s="749"/>
    </row>
    <row r="81" spans="1:20" ht="16.2">
      <c r="A81" s="763"/>
      <c r="B81" s="23"/>
      <c r="C81" s="23"/>
      <c r="D81" s="198"/>
      <c r="E81" s="251"/>
      <c r="F81" s="251"/>
      <c r="G81" s="23"/>
      <c r="H81" s="313"/>
      <c r="I81" s="313"/>
      <c r="J81" s="341"/>
      <c r="K81" s="35"/>
      <c r="L81" s="35"/>
      <c r="M81" s="35"/>
      <c r="N81" s="23"/>
      <c r="O81" s="23"/>
      <c r="P81" s="23"/>
    </row>
    <row r="82" spans="1:20">
      <c r="K82" s="41"/>
      <c r="L82" s="41"/>
      <c r="M82" s="41"/>
    </row>
    <row r="83" spans="1:20" ht="15" thickBot="1">
      <c r="K83" s="36">
        <f>SUM(K9:K81)</f>
        <v>9400</v>
      </c>
      <c r="L83" s="36">
        <f>SUM(L9:L81)</f>
        <v>50</v>
      </c>
      <c r="M83" s="36">
        <f>SUM(M9:M81)</f>
        <v>5600</v>
      </c>
      <c r="N83" s="36">
        <f>SUM(N9:N81)</f>
        <v>9400</v>
      </c>
    </row>
    <row r="84" spans="1:20" s="25" customFormat="1" ht="15" thickTop="1">
      <c r="K84" s="26"/>
      <c r="L84" s="26"/>
      <c r="M84" s="26"/>
      <c r="N84" s="53">
        <f>N83-K83</f>
        <v>0</v>
      </c>
      <c r="Q84" s="27"/>
      <c r="R84" s="27"/>
      <c r="S84" s="27"/>
      <c r="T84" s="27"/>
    </row>
    <row r="85" spans="1:20" ht="15">
      <c r="G85" s="192" t="s">
        <v>214</v>
      </c>
      <c r="H85" s="192"/>
      <c r="I85" s="192"/>
      <c r="J85" s="192"/>
      <c r="K85" s="194"/>
    </row>
    <row r="86" spans="1:20" ht="15">
      <c r="B86" s="192" t="s">
        <v>215</v>
      </c>
      <c r="C86" s="192">
        <v>201</v>
      </c>
      <c r="D86" s="192" t="s">
        <v>216</v>
      </c>
      <c r="E86" s="192"/>
      <c r="F86" s="192"/>
      <c r="G86" s="192">
        <v>199</v>
      </c>
      <c r="H86" s="192"/>
      <c r="I86" s="192"/>
      <c r="J86" s="192"/>
      <c r="K86" s="194" t="s">
        <v>217</v>
      </c>
    </row>
    <row r="87" spans="1:20" ht="15">
      <c r="B87" s="192" t="s">
        <v>218</v>
      </c>
      <c r="C87" s="192">
        <v>95</v>
      </c>
      <c r="D87" s="192" t="s">
        <v>219</v>
      </c>
      <c r="E87" s="192"/>
      <c r="F87" s="192"/>
      <c r="G87" s="192">
        <v>220</v>
      </c>
      <c r="H87" s="192"/>
      <c r="I87" s="192"/>
      <c r="J87" s="192"/>
      <c r="K87" s="194" t="s">
        <v>220</v>
      </c>
    </row>
    <row r="88" spans="1:20" ht="15">
      <c r="B88" s="192" t="s">
        <v>221</v>
      </c>
      <c r="C88" s="193">
        <v>196</v>
      </c>
      <c r="D88" s="192" t="s">
        <v>222</v>
      </c>
      <c r="E88" s="192"/>
      <c r="F88" s="192"/>
      <c r="G88" s="192">
        <v>221</v>
      </c>
      <c r="H88" s="192"/>
      <c r="I88" s="192"/>
      <c r="J88" s="192"/>
      <c r="K88" s="194" t="s">
        <v>223</v>
      </c>
    </row>
    <row r="89" spans="1:20" ht="15">
      <c r="B89" s="192" t="s">
        <v>224</v>
      </c>
      <c r="C89" s="193">
        <v>200</v>
      </c>
      <c r="D89" s="192" t="s">
        <v>225</v>
      </c>
      <c r="E89" s="192"/>
      <c r="F89" s="192"/>
      <c r="G89" s="192">
        <v>222</v>
      </c>
      <c r="H89" s="192"/>
      <c r="I89" s="192"/>
      <c r="J89" s="192"/>
      <c r="K89" s="194" t="s">
        <v>226</v>
      </c>
    </row>
    <row r="90" spans="1:20" ht="15">
      <c r="B90" s="192" t="s">
        <v>227</v>
      </c>
      <c r="C90" s="192">
        <v>218</v>
      </c>
      <c r="D90" s="192" t="s">
        <v>228</v>
      </c>
      <c r="E90" s="192"/>
      <c r="F90" s="192"/>
      <c r="G90" s="192">
        <v>223</v>
      </c>
      <c r="H90" s="192"/>
      <c r="I90" s="192"/>
      <c r="J90" s="192"/>
      <c r="K90" s="194" t="s">
        <v>161</v>
      </c>
    </row>
    <row r="91" spans="1:20" ht="15">
      <c r="B91" s="192" t="s">
        <v>229</v>
      </c>
      <c r="C91" s="192">
        <v>157</v>
      </c>
      <c r="D91" s="192" t="s">
        <v>230</v>
      </c>
      <c r="E91" s="192"/>
      <c r="F91" s="192"/>
      <c r="G91" s="192">
        <v>224</v>
      </c>
      <c r="H91" s="192"/>
      <c r="I91" s="192"/>
      <c r="J91" s="192"/>
      <c r="K91" s="194" t="s">
        <v>181</v>
      </c>
    </row>
    <row r="92" spans="1:20" ht="15">
      <c r="B92" s="192" t="s">
        <v>231</v>
      </c>
      <c r="C92" s="192">
        <v>143</v>
      </c>
      <c r="D92" s="192" t="s">
        <v>232</v>
      </c>
      <c r="E92" s="192"/>
      <c r="F92" s="192"/>
      <c r="G92" s="192">
        <v>225</v>
      </c>
      <c r="H92" s="192"/>
      <c r="I92" s="192"/>
      <c r="J92" s="192"/>
      <c r="K92" s="194" t="s">
        <v>184</v>
      </c>
    </row>
    <row r="93" spans="1:20" ht="15">
      <c r="B93" s="192" t="s">
        <v>233</v>
      </c>
      <c r="C93" s="192">
        <v>190</v>
      </c>
      <c r="D93" s="192" t="s">
        <v>234</v>
      </c>
      <c r="E93" s="192"/>
      <c r="F93" s="192"/>
      <c r="G93" s="192">
        <v>226</v>
      </c>
      <c r="H93" s="192"/>
      <c r="I93" s="192"/>
      <c r="J93" s="192"/>
      <c r="K93" s="194" t="s">
        <v>118</v>
      </c>
    </row>
    <row r="94" spans="1:20" ht="15">
      <c r="B94" s="192" t="s">
        <v>235</v>
      </c>
      <c r="C94" s="192">
        <v>179</v>
      </c>
      <c r="D94" s="192" t="s">
        <v>219</v>
      </c>
      <c r="E94" s="192"/>
      <c r="F94" s="192"/>
      <c r="G94" s="192">
        <v>227</v>
      </c>
      <c r="H94" s="192"/>
      <c r="I94" s="192"/>
      <c r="J94" s="192"/>
      <c r="K94" s="194" t="s">
        <v>236</v>
      </c>
    </row>
    <row r="95" spans="1:20" ht="15">
      <c r="B95" s="192"/>
      <c r="C95" s="192"/>
      <c r="D95" s="192"/>
      <c r="E95" s="192"/>
      <c r="F95" s="192"/>
      <c r="G95" s="192">
        <v>228</v>
      </c>
      <c r="H95" s="192"/>
      <c r="I95" s="192"/>
      <c r="J95" s="192"/>
      <c r="K95" s="194" t="s">
        <v>237</v>
      </c>
    </row>
    <row r="96" spans="1:20" ht="15">
      <c r="B96" s="192" t="s">
        <v>238</v>
      </c>
      <c r="C96" s="192">
        <v>56</v>
      </c>
      <c r="D96" s="192" t="s">
        <v>225</v>
      </c>
      <c r="E96" s="192"/>
      <c r="F96" s="192"/>
      <c r="G96" s="192">
        <v>229</v>
      </c>
      <c r="H96" s="192"/>
      <c r="I96" s="192"/>
      <c r="J96" s="192"/>
      <c r="K96" s="194" t="s">
        <v>239</v>
      </c>
    </row>
    <row r="97" spans="2:17" ht="15">
      <c r="B97" s="192" t="s">
        <v>240</v>
      </c>
      <c r="C97" s="192">
        <v>75</v>
      </c>
      <c r="D97" s="192" t="s">
        <v>241</v>
      </c>
      <c r="E97" s="192"/>
      <c r="F97" s="192"/>
      <c r="G97" s="192"/>
      <c r="H97" s="192"/>
      <c r="I97" s="192"/>
      <c r="J97" s="192"/>
      <c r="K97" s="194"/>
    </row>
    <row r="98" spans="2:17" ht="15">
      <c r="B98" s="192" t="s">
        <v>242</v>
      </c>
      <c r="C98" s="192">
        <v>85</v>
      </c>
      <c r="D98" s="192" t="s">
        <v>243</v>
      </c>
      <c r="E98" s="192"/>
      <c r="F98" s="192"/>
      <c r="G98" s="192"/>
      <c r="H98" s="192"/>
      <c r="I98" s="192"/>
      <c r="J98" s="192"/>
      <c r="K98" s="194"/>
    </row>
    <row r="99" spans="2:17" ht="15">
      <c r="B99" s="192" t="s">
        <v>244</v>
      </c>
      <c r="C99" s="192">
        <v>109</v>
      </c>
      <c r="D99" s="192" t="s">
        <v>245</v>
      </c>
      <c r="E99" s="192"/>
      <c r="F99" s="192"/>
      <c r="G99" s="192"/>
      <c r="H99" s="192"/>
      <c r="I99" s="192"/>
      <c r="J99" s="192"/>
    </row>
    <row r="100" spans="2:17" ht="15">
      <c r="B100" s="192" t="s">
        <v>246</v>
      </c>
      <c r="C100" s="192">
        <v>110</v>
      </c>
      <c r="D100" s="192" t="s">
        <v>245</v>
      </c>
      <c r="E100" s="192"/>
      <c r="F100" s="192"/>
      <c r="G100" s="192"/>
      <c r="H100" s="192"/>
      <c r="I100" s="192"/>
      <c r="J100" s="192"/>
    </row>
    <row r="101" spans="2:17" ht="15">
      <c r="B101" s="192" t="s">
        <v>247</v>
      </c>
      <c r="C101" s="192">
        <v>182</v>
      </c>
      <c r="D101" s="192" t="s">
        <v>219</v>
      </c>
      <c r="E101" s="192"/>
      <c r="F101" s="192"/>
      <c r="G101" s="192"/>
      <c r="H101" s="192"/>
      <c r="I101" s="192"/>
      <c r="J101" s="192"/>
    </row>
    <row r="102" spans="2:17" ht="15">
      <c r="B102" s="192" t="s">
        <v>248</v>
      </c>
      <c r="C102" s="192">
        <v>107</v>
      </c>
      <c r="D102" s="192" t="s">
        <v>249</v>
      </c>
      <c r="E102" s="192"/>
      <c r="F102" s="192"/>
      <c r="G102" s="192"/>
      <c r="H102" s="192"/>
      <c r="I102" s="192"/>
      <c r="J102" s="192"/>
    </row>
    <row r="103" spans="2:17" ht="15">
      <c r="B103" s="192" t="s">
        <v>250</v>
      </c>
      <c r="C103" s="192">
        <v>203</v>
      </c>
      <c r="D103" s="192" t="s">
        <v>251</v>
      </c>
      <c r="E103" s="192"/>
      <c r="F103" s="192"/>
      <c r="G103" s="192"/>
      <c r="H103" s="192"/>
      <c r="I103" s="192"/>
      <c r="J103" s="192"/>
    </row>
    <row r="104" spans="2:17" ht="15">
      <c r="B104" s="192" t="s">
        <v>252</v>
      </c>
      <c r="C104" s="192">
        <v>158</v>
      </c>
      <c r="D104" s="192" t="s">
        <v>249</v>
      </c>
      <c r="E104" s="192"/>
      <c r="F104" s="192"/>
      <c r="G104" s="192"/>
      <c r="H104" s="192"/>
      <c r="I104" s="192"/>
      <c r="J104" s="192"/>
      <c r="K104" s="41"/>
      <c r="L104" s="41"/>
      <c r="M104" s="52"/>
      <c r="N104" s="51"/>
      <c r="O104" s="43"/>
      <c r="Q104"/>
    </row>
    <row r="105" spans="2:17" ht="15">
      <c r="B105" s="192" t="s">
        <v>253</v>
      </c>
      <c r="C105" s="192">
        <v>147</v>
      </c>
      <c r="D105" s="192" t="s">
        <v>254</v>
      </c>
      <c r="E105" s="192"/>
      <c r="F105" s="192"/>
      <c r="G105" s="192"/>
      <c r="H105" s="192"/>
      <c r="I105" s="192"/>
      <c r="J105" s="192"/>
    </row>
    <row r="106" spans="2:17" ht="15">
      <c r="B106" s="192" t="s">
        <v>255</v>
      </c>
      <c r="C106" s="192">
        <v>108</v>
      </c>
      <c r="D106" s="192" t="s">
        <v>256</v>
      </c>
      <c r="E106" s="192"/>
      <c r="F106" s="192"/>
      <c r="G106" s="192"/>
      <c r="H106" s="192"/>
      <c r="I106" s="192"/>
      <c r="J106" s="192"/>
    </row>
    <row r="107" spans="2:17" ht="15">
      <c r="B107" s="192" t="s">
        <v>257</v>
      </c>
      <c r="C107" s="192">
        <v>144</v>
      </c>
      <c r="D107" s="192" t="s">
        <v>254</v>
      </c>
      <c r="E107" s="192"/>
      <c r="F107" s="192"/>
      <c r="G107" s="192"/>
      <c r="H107" s="192"/>
      <c r="I107" s="192"/>
      <c r="J107" s="192"/>
    </row>
    <row r="108" spans="2:17" ht="15">
      <c r="B108" s="192" t="s">
        <v>150</v>
      </c>
      <c r="C108" s="192">
        <v>124</v>
      </c>
      <c r="D108" s="192" t="s">
        <v>258</v>
      </c>
      <c r="E108" s="192"/>
      <c r="F108" s="192"/>
      <c r="G108" s="192"/>
      <c r="H108" s="192"/>
      <c r="I108" s="192"/>
      <c r="J108" s="192"/>
    </row>
    <row r="109" spans="2:17">
      <c r="B109" s="25" t="s">
        <v>188</v>
      </c>
      <c r="C109" s="25">
        <v>29</v>
      </c>
      <c r="D109" s="25" t="s">
        <v>259</v>
      </c>
    </row>
    <row r="110" spans="2:17">
      <c r="B110" s="25" t="s">
        <v>260</v>
      </c>
      <c r="C110" s="25">
        <v>24</v>
      </c>
      <c r="D110" s="25" t="s">
        <v>259</v>
      </c>
      <c r="E110" s="76" t="s">
        <v>261</v>
      </c>
    </row>
  </sheetData>
  <mergeCells count="3">
    <mergeCell ref="K7:M7"/>
    <mergeCell ref="E6:G6"/>
    <mergeCell ref="E7:G7"/>
  </mergeCells>
  <phoneticPr fontId="35" type="noConversion"/>
  <dataValidations count="1">
    <dataValidation type="list" allowBlank="1" showInputMessage="1" showErrorMessage="1" sqref="E10:F81" xr:uid="{FFD3097E-AEED-4F59-BF1A-712ADAC8BE8B}">
      <formula1>$T$10:$T$30</formula1>
    </dataValidation>
  </dataValidations>
  <printOptions gridLines="1"/>
  <pageMargins left="0.43307086614173229" right="0" top="0.23622047244094491" bottom="0" header="0.31496062992125984" footer="0"/>
  <pageSetup paperSize="9" scale="72" orientation="landscape" horizontalDpi="4294967293" r:id="rId1"/>
  <colBreaks count="1" manualBreakCount="1">
    <brk id="16" max="1048575" man="1"/>
  </colBreaks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W80"/>
  <sheetViews>
    <sheetView topLeftCell="A5" zoomScale="80" zoomScaleNormal="80" workbookViewId="0">
      <pane ySplit="4" topLeftCell="A32" activePane="bottomLeft" state="frozen"/>
      <selection activeCell="A5" sqref="A5"/>
      <selection pane="bottomLeft" activeCell="M52" activeCellId="1" sqref="K52 M52"/>
    </sheetView>
  </sheetViews>
  <sheetFormatPr defaultColWidth="9.33203125" defaultRowHeight="14.4"/>
  <cols>
    <col min="1" max="1" width="12.5546875" style="1" customWidth="1"/>
    <col min="2" max="2" width="14.33203125" style="1" customWidth="1"/>
    <col min="3" max="3" width="7.6640625" style="1" customWidth="1"/>
    <col min="4" max="4" width="20.6640625" style="1" customWidth="1"/>
    <col min="5" max="5" width="11.6640625" style="1" bestFit="1" customWidth="1"/>
    <col min="6" max="6" width="10.44140625" style="1" bestFit="1" customWidth="1"/>
    <col min="7" max="7" width="14.6640625" style="1" customWidth="1"/>
    <col min="8" max="10" width="8.5546875" style="1" customWidth="1"/>
    <col min="11" max="11" width="10.5546875" style="2" bestFit="1" customWidth="1"/>
    <col min="12" max="12" width="9.6640625" style="2" customWidth="1"/>
    <col min="13" max="13" width="13.33203125" style="2" bestFit="1" customWidth="1"/>
    <col min="14" max="14" width="13.44140625" style="1" customWidth="1"/>
    <col min="15" max="16" width="12.33203125" style="1" customWidth="1"/>
    <col min="17" max="18" width="11.33203125" style="3" customWidth="1"/>
    <col min="19" max="19" width="24.6640625" style="3" customWidth="1"/>
    <col min="20" max="22" width="9.33203125" style="3"/>
    <col min="23" max="23" width="9.33203125" style="27"/>
    <col min="24" max="16384" width="9.33203125" style="3"/>
  </cols>
  <sheetData>
    <row r="5" spans="1:23" ht="16.2">
      <c r="A5" s="4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6"/>
      <c r="L5" s="26"/>
      <c r="M5" s="26"/>
      <c r="N5" s="58" t="s">
        <v>262</v>
      </c>
      <c r="O5" s="730"/>
      <c r="P5" s="25"/>
      <c r="Q5" s="27"/>
      <c r="R5" s="27"/>
      <c r="S5" s="27"/>
      <c r="T5" s="27"/>
      <c r="U5" s="27"/>
      <c r="V5" s="27"/>
    </row>
    <row r="6" spans="1:23">
      <c r="A6" s="25"/>
      <c r="B6" s="25"/>
      <c r="C6" s="25"/>
      <c r="D6" s="25"/>
      <c r="E6" s="895" t="s">
        <v>2</v>
      </c>
      <c r="F6" s="895"/>
      <c r="G6" s="895"/>
      <c r="H6" s="25"/>
      <c r="I6" s="25"/>
      <c r="J6" s="25"/>
      <c r="K6" s="26"/>
      <c r="L6" s="26"/>
      <c r="M6" s="26"/>
      <c r="N6" s="25" t="s">
        <v>3</v>
      </c>
      <c r="O6" s="25"/>
      <c r="P6" s="25"/>
      <c r="Q6" s="27"/>
      <c r="R6" s="27"/>
      <c r="S6" s="27"/>
      <c r="T6" s="27"/>
      <c r="U6" s="27"/>
      <c r="V6" s="27"/>
    </row>
    <row r="7" spans="1:23">
      <c r="A7" s="25"/>
      <c r="B7" s="25"/>
      <c r="C7" s="25"/>
      <c r="D7" s="25"/>
      <c r="E7" s="895" t="s">
        <v>4</v>
      </c>
      <c r="F7" s="895"/>
      <c r="G7" s="895"/>
      <c r="H7" s="314"/>
      <c r="I7" s="314"/>
      <c r="J7" s="314"/>
      <c r="K7" s="901" t="s">
        <v>5</v>
      </c>
      <c r="L7" s="899"/>
      <c r="M7" s="900"/>
      <c r="N7" s="25"/>
      <c r="O7" s="25"/>
      <c r="P7" s="25"/>
      <c r="Q7" s="27"/>
      <c r="R7" s="27"/>
      <c r="S7" s="27"/>
      <c r="T7" s="27"/>
      <c r="U7" s="27"/>
      <c r="V7" s="27"/>
    </row>
    <row r="8" spans="1:23" s="11" customFormat="1" ht="57" customHeight="1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6" t="s">
        <v>11</v>
      </c>
      <c r="G8" s="6" t="s">
        <v>12</v>
      </c>
      <c r="H8" s="6"/>
      <c r="I8" s="6"/>
      <c r="J8" s="6"/>
      <c r="K8" s="7" t="s">
        <v>13</v>
      </c>
      <c r="L8" s="7" t="s">
        <v>14</v>
      </c>
      <c r="M8" s="8" t="s">
        <v>15</v>
      </c>
      <c r="N8" s="9" t="s">
        <v>16</v>
      </c>
      <c r="O8" s="9" t="s">
        <v>17</v>
      </c>
      <c r="P8" s="9" t="s">
        <v>18</v>
      </c>
      <c r="Q8" s="10"/>
      <c r="R8" s="28"/>
      <c r="S8" s="28"/>
      <c r="T8" s="28"/>
      <c r="U8" s="28"/>
      <c r="V8" s="28"/>
      <c r="W8" s="28"/>
    </row>
    <row r="9" spans="1:23" ht="16.2">
      <c r="A9" s="731"/>
      <c r="B9" s="13"/>
      <c r="C9" s="29"/>
      <c r="D9" s="195"/>
      <c r="E9" s="195"/>
      <c r="F9" s="195"/>
      <c r="G9" s="732"/>
      <c r="H9" s="732"/>
      <c r="I9" s="732"/>
      <c r="J9" s="733"/>
      <c r="K9" s="734"/>
      <c r="L9" s="734"/>
      <c r="M9" s="734"/>
      <c r="N9" s="30"/>
      <c r="O9" s="30"/>
      <c r="P9" s="30"/>
      <c r="Q9" s="27"/>
      <c r="R9" s="17"/>
      <c r="S9" s="17"/>
      <c r="T9" s="12"/>
      <c r="U9" s="27"/>
      <c r="V9" s="27"/>
      <c r="W9" s="12"/>
    </row>
    <row r="10" spans="1:23" ht="16.2">
      <c r="A10" s="270" t="s">
        <v>263</v>
      </c>
      <c r="B10" s="271" t="s">
        <v>264</v>
      </c>
      <c r="C10" s="272">
        <v>43</v>
      </c>
      <c r="D10" s="256" t="s">
        <v>265</v>
      </c>
      <c r="E10" s="315">
        <v>45658</v>
      </c>
      <c r="F10" s="315">
        <v>45717</v>
      </c>
      <c r="G10" s="740" t="s">
        <v>34</v>
      </c>
      <c r="H10" s="754">
        <f>DATEDIF(E10,F10,"M")+1</f>
        <v>3</v>
      </c>
      <c r="I10" s="754">
        <v>50</v>
      </c>
      <c r="J10" s="755">
        <f>H10*I10</f>
        <v>150</v>
      </c>
      <c r="K10" s="764">
        <v>150</v>
      </c>
      <c r="L10" s="739"/>
      <c r="M10" s="739"/>
      <c r="N10" s="31"/>
      <c r="O10" s="32"/>
      <c r="P10" s="253" t="s">
        <v>266</v>
      </c>
      <c r="Q10" s="27"/>
      <c r="R10" s="17"/>
      <c r="S10" s="17"/>
      <c r="T10" s="749"/>
      <c r="U10" s="27"/>
      <c r="V10" s="27"/>
      <c r="W10" s="240">
        <v>45536</v>
      </c>
    </row>
    <row r="11" spans="1:23" ht="16.2">
      <c r="A11" s="297"/>
      <c r="B11" s="298" t="s">
        <v>267</v>
      </c>
      <c r="C11" s="299"/>
      <c r="D11" s="302" t="s">
        <v>268</v>
      </c>
      <c r="E11" s="316"/>
      <c r="F11" s="316"/>
      <c r="G11" s="765"/>
      <c r="H11" s="765"/>
      <c r="I11" s="765"/>
      <c r="J11" s="766"/>
      <c r="K11" s="764"/>
      <c r="L11" s="767"/>
      <c r="M11" s="767"/>
      <c r="N11" s="62"/>
      <c r="O11" s="63"/>
      <c r="P11" s="73"/>
      <c r="Q11" s="27"/>
      <c r="R11" s="17"/>
      <c r="S11" s="17"/>
      <c r="T11" s="749"/>
      <c r="U11" s="27"/>
      <c r="V11" s="27"/>
      <c r="W11" s="240">
        <v>45566</v>
      </c>
    </row>
    <row r="12" spans="1:23" ht="16.2">
      <c r="A12" s="270" t="s">
        <v>269</v>
      </c>
      <c r="B12" s="271" t="s">
        <v>270</v>
      </c>
      <c r="C12" s="272">
        <v>183</v>
      </c>
      <c r="D12" s="256" t="s">
        <v>271</v>
      </c>
      <c r="E12" s="315">
        <v>45658</v>
      </c>
      <c r="F12" s="315">
        <v>45778</v>
      </c>
      <c r="G12" s="740" t="s">
        <v>60</v>
      </c>
      <c r="H12" s="754">
        <f>DATEDIF(E12,F12,"M")+1</f>
        <v>5</v>
      </c>
      <c r="I12" s="754">
        <v>50</v>
      </c>
      <c r="J12" s="755">
        <f>H12*I12</f>
        <v>250</v>
      </c>
      <c r="K12" s="764">
        <v>250</v>
      </c>
      <c r="L12" s="739"/>
      <c r="M12" s="739"/>
      <c r="N12" s="31"/>
      <c r="O12" s="32"/>
      <c r="P12" s="253" t="s">
        <v>272</v>
      </c>
      <c r="Q12" s="27"/>
      <c r="R12" s="17"/>
      <c r="S12" s="17"/>
      <c r="T12" s="749"/>
      <c r="U12" s="27"/>
      <c r="V12" s="27"/>
      <c r="W12" s="240">
        <v>45597</v>
      </c>
    </row>
    <row r="13" spans="1:23" ht="16.2">
      <c r="A13" s="270" t="s">
        <v>273</v>
      </c>
      <c r="B13" s="271" t="s">
        <v>274</v>
      </c>
      <c r="C13" s="272">
        <v>103</v>
      </c>
      <c r="D13" s="256" t="s">
        <v>275</v>
      </c>
      <c r="E13" s="315">
        <v>45658</v>
      </c>
      <c r="F13" s="315">
        <v>45748</v>
      </c>
      <c r="G13" s="740" t="s">
        <v>45</v>
      </c>
      <c r="H13" s="754">
        <f t="shared" ref="H13:H28" si="0">DATEDIF(E13,F13,"M")+1</f>
        <v>4</v>
      </c>
      <c r="I13" s="754">
        <v>50</v>
      </c>
      <c r="J13" s="755">
        <f t="shared" ref="J13:J28" si="1">H13*I13</f>
        <v>200</v>
      </c>
      <c r="K13" s="764">
        <v>200</v>
      </c>
      <c r="L13" s="739"/>
      <c r="M13" s="739"/>
      <c r="N13" s="31"/>
      <c r="O13" s="32"/>
      <c r="P13" s="19"/>
      <c r="Q13" s="27"/>
      <c r="R13" s="17"/>
      <c r="S13" s="17"/>
      <c r="T13" s="749"/>
      <c r="U13" s="27"/>
      <c r="V13" s="27"/>
      <c r="W13" s="240">
        <v>45627</v>
      </c>
    </row>
    <row r="14" spans="1:23" ht="16.2">
      <c r="A14" s="270" t="s">
        <v>276</v>
      </c>
      <c r="B14" s="271" t="s">
        <v>277</v>
      </c>
      <c r="C14" s="272">
        <v>199</v>
      </c>
      <c r="D14" s="256" t="s">
        <v>278</v>
      </c>
      <c r="E14" s="315">
        <v>45658</v>
      </c>
      <c r="F14" s="315">
        <v>45689</v>
      </c>
      <c r="G14" s="740" t="s">
        <v>67</v>
      </c>
      <c r="H14" s="754">
        <f t="shared" si="0"/>
        <v>2</v>
      </c>
      <c r="I14" s="754">
        <v>50</v>
      </c>
      <c r="J14" s="755">
        <f t="shared" si="1"/>
        <v>100</v>
      </c>
      <c r="K14" s="764">
        <v>100</v>
      </c>
      <c r="L14" s="739"/>
      <c r="M14" s="739"/>
      <c r="N14" s="31"/>
      <c r="O14" s="32"/>
      <c r="P14" s="19"/>
      <c r="Q14" s="27"/>
      <c r="R14" s="17"/>
      <c r="S14" s="17"/>
      <c r="T14" s="749"/>
      <c r="U14" s="27"/>
      <c r="V14" s="27"/>
      <c r="W14" s="744">
        <v>45658</v>
      </c>
    </row>
    <row r="15" spans="1:23" ht="16.2">
      <c r="A15" s="270" t="s">
        <v>276</v>
      </c>
      <c r="B15" s="271" t="s">
        <v>279</v>
      </c>
      <c r="C15" s="272">
        <v>92</v>
      </c>
      <c r="D15" s="256" t="s">
        <v>280</v>
      </c>
      <c r="E15" s="315">
        <v>45658</v>
      </c>
      <c r="F15" s="315">
        <v>45992</v>
      </c>
      <c r="G15" s="740" t="s">
        <v>40</v>
      </c>
      <c r="H15" s="754">
        <f t="shared" si="0"/>
        <v>12</v>
      </c>
      <c r="I15" s="754">
        <v>50</v>
      </c>
      <c r="J15" s="755">
        <f t="shared" si="1"/>
        <v>600</v>
      </c>
      <c r="K15" s="764">
        <v>600</v>
      </c>
      <c r="L15" s="739"/>
      <c r="M15" s="739"/>
      <c r="N15" s="31"/>
      <c r="O15" s="32"/>
      <c r="P15" s="19"/>
      <c r="Q15" s="27"/>
      <c r="R15" s="17"/>
      <c r="S15" s="17"/>
      <c r="T15" s="749"/>
      <c r="U15" s="27"/>
      <c r="V15" s="27"/>
      <c r="W15" s="744">
        <v>45689</v>
      </c>
    </row>
    <row r="16" spans="1:23" ht="16.2">
      <c r="A16" s="270" t="s">
        <v>276</v>
      </c>
      <c r="B16" s="271" t="s">
        <v>281</v>
      </c>
      <c r="C16" s="272">
        <v>167</v>
      </c>
      <c r="D16" s="256" t="s">
        <v>282</v>
      </c>
      <c r="E16" s="315">
        <v>45658</v>
      </c>
      <c r="F16" s="315">
        <v>45992</v>
      </c>
      <c r="G16" s="740" t="s">
        <v>40</v>
      </c>
      <c r="H16" s="754">
        <f t="shared" si="0"/>
        <v>12</v>
      </c>
      <c r="I16" s="754">
        <v>50</v>
      </c>
      <c r="J16" s="755">
        <f t="shared" si="1"/>
        <v>600</v>
      </c>
      <c r="K16" s="764">
        <v>600</v>
      </c>
      <c r="L16" s="739"/>
      <c r="M16" s="739"/>
      <c r="N16" s="31"/>
      <c r="O16" s="19"/>
      <c r="P16" s="19"/>
      <c r="Q16" s="27"/>
      <c r="R16" s="17"/>
      <c r="S16" s="17"/>
      <c r="T16" s="749"/>
      <c r="U16" s="27"/>
      <c r="V16" s="27"/>
      <c r="W16" s="744">
        <v>45717</v>
      </c>
    </row>
    <row r="17" spans="1:23" ht="16.2">
      <c r="A17" s="270" t="s">
        <v>283</v>
      </c>
      <c r="B17" s="271" t="s">
        <v>284</v>
      </c>
      <c r="C17" s="272">
        <v>54</v>
      </c>
      <c r="D17" s="257" t="s">
        <v>285</v>
      </c>
      <c r="E17" s="315">
        <v>45689</v>
      </c>
      <c r="F17" s="315">
        <v>45717</v>
      </c>
      <c r="G17" s="216" t="s">
        <v>286</v>
      </c>
      <c r="H17" s="754">
        <f t="shared" si="0"/>
        <v>2</v>
      </c>
      <c r="I17" s="754">
        <v>50</v>
      </c>
      <c r="J17" s="755">
        <f t="shared" si="1"/>
        <v>100</v>
      </c>
      <c r="K17" s="764">
        <v>100</v>
      </c>
      <c r="L17" s="739"/>
      <c r="M17" s="739"/>
      <c r="N17" s="31"/>
      <c r="O17" s="19"/>
      <c r="P17" s="19"/>
      <c r="Q17" s="27"/>
      <c r="R17" s="17"/>
      <c r="S17" s="17"/>
      <c r="T17" s="749"/>
      <c r="U17" s="27"/>
      <c r="V17" s="27"/>
      <c r="W17" s="744">
        <v>45748</v>
      </c>
    </row>
    <row r="18" spans="1:23" ht="16.2">
      <c r="A18" s="270" t="s">
        <v>283</v>
      </c>
      <c r="B18" s="271" t="s">
        <v>287</v>
      </c>
      <c r="C18" s="272">
        <v>184</v>
      </c>
      <c r="D18" s="257" t="s">
        <v>288</v>
      </c>
      <c r="E18" s="315">
        <v>45689</v>
      </c>
      <c r="F18" s="315">
        <v>45689</v>
      </c>
      <c r="G18" s="740">
        <v>45689</v>
      </c>
      <c r="H18" s="754">
        <f t="shared" si="0"/>
        <v>1</v>
      </c>
      <c r="I18" s="754">
        <v>50</v>
      </c>
      <c r="J18" s="755">
        <f t="shared" si="1"/>
        <v>50</v>
      </c>
      <c r="K18" s="764">
        <v>50</v>
      </c>
      <c r="L18" s="739"/>
      <c r="M18" s="739"/>
      <c r="N18" s="60">
        <f>SUM(K10:K18)</f>
        <v>2050</v>
      </c>
      <c r="O18" s="19" t="s">
        <v>289</v>
      </c>
      <c r="P18" s="19"/>
      <c r="Q18" s="27"/>
      <c r="R18" s="17"/>
      <c r="S18" s="17"/>
      <c r="T18" s="749"/>
      <c r="U18" s="27"/>
      <c r="V18" s="27"/>
      <c r="W18" s="744">
        <v>45778</v>
      </c>
    </row>
    <row r="19" spans="1:23" ht="16.2">
      <c r="A19" s="270" t="s">
        <v>290</v>
      </c>
      <c r="B19" s="271" t="s">
        <v>291</v>
      </c>
      <c r="C19" s="272">
        <v>168</v>
      </c>
      <c r="D19" s="256" t="s">
        <v>292</v>
      </c>
      <c r="E19" s="315">
        <v>45658</v>
      </c>
      <c r="F19" s="315">
        <v>45689</v>
      </c>
      <c r="G19" s="740" t="s">
        <v>67</v>
      </c>
      <c r="H19" s="754">
        <f t="shared" si="0"/>
        <v>2</v>
      </c>
      <c r="I19" s="754">
        <v>50</v>
      </c>
      <c r="J19" s="755">
        <f t="shared" si="1"/>
        <v>100</v>
      </c>
      <c r="K19" s="768">
        <v>100</v>
      </c>
      <c r="L19" s="739"/>
      <c r="M19" s="739"/>
      <c r="N19" s="19"/>
      <c r="O19" s="19"/>
      <c r="P19" s="19"/>
      <c r="Q19" s="27"/>
      <c r="R19" s="17"/>
      <c r="S19" s="17"/>
      <c r="T19" s="749"/>
      <c r="U19" s="27"/>
      <c r="V19" s="27"/>
      <c r="W19" s="744">
        <v>45809</v>
      </c>
    </row>
    <row r="20" spans="1:23" ht="16.2">
      <c r="A20" s="270" t="s">
        <v>293</v>
      </c>
      <c r="B20" s="271" t="s">
        <v>294</v>
      </c>
      <c r="C20" s="272">
        <v>96</v>
      </c>
      <c r="D20" s="256" t="s">
        <v>295</v>
      </c>
      <c r="E20" s="315">
        <v>45658</v>
      </c>
      <c r="F20" s="315">
        <v>45809</v>
      </c>
      <c r="G20" s="740" t="s">
        <v>31</v>
      </c>
      <c r="H20" s="754">
        <f t="shared" si="0"/>
        <v>6</v>
      </c>
      <c r="I20" s="754">
        <v>50</v>
      </c>
      <c r="J20" s="755">
        <f t="shared" si="1"/>
        <v>300</v>
      </c>
      <c r="K20" s="768">
        <v>300</v>
      </c>
      <c r="L20" s="739"/>
      <c r="M20" s="739"/>
      <c r="N20" s="19"/>
      <c r="O20" s="19"/>
      <c r="P20" s="19"/>
      <c r="Q20" s="27"/>
      <c r="R20" s="17"/>
      <c r="S20" s="17"/>
      <c r="T20" s="749"/>
      <c r="U20" s="27"/>
      <c r="V20" s="27"/>
      <c r="W20" s="744">
        <v>45839</v>
      </c>
    </row>
    <row r="21" spans="1:23" ht="16.2">
      <c r="A21" s="270" t="s">
        <v>293</v>
      </c>
      <c r="B21" s="271" t="s">
        <v>296</v>
      </c>
      <c r="C21" s="272">
        <v>33</v>
      </c>
      <c r="D21" s="256" t="s">
        <v>297</v>
      </c>
      <c r="E21" s="315">
        <v>45658</v>
      </c>
      <c r="F21" s="315">
        <v>45809</v>
      </c>
      <c r="G21" s="740" t="s">
        <v>31</v>
      </c>
      <c r="H21" s="754">
        <f t="shared" si="0"/>
        <v>6</v>
      </c>
      <c r="I21" s="754">
        <v>50</v>
      </c>
      <c r="J21" s="755">
        <f t="shared" si="1"/>
        <v>300</v>
      </c>
      <c r="K21" s="768">
        <v>300</v>
      </c>
      <c r="L21" s="739"/>
      <c r="M21" s="739"/>
      <c r="N21" s="31"/>
      <c r="O21" s="19"/>
      <c r="P21" s="19"/>
      <c r="Q21" s="27"/>
      <c r="R21" s="17"/>
      <c r="S21" s="17"/>
      <c r="T21" s="749"/>
      <c r="U21" s="27"/>
      <c r="V21" s="27"/>
      <c r="W21" s="744">
        <v>45870</v>
      </c>
    </row>
    <row r="22" spans="1:23" ht="16.2">
      <c r="A22" s="270" t="s">
        <v>293</v>
      </c>
      <c r="B22" s="271" t="s">
        <v>298</v>
      </c>
      <c r="C22" s="272">
        <v>132</v>
      </c>
      <c r="D22" s="303" t="s">
        <v>299</v>
      </c>
      <c r="E22" s="315">
        <v>45717</v>
      </c>
      <c r="F22" s="315">
        <v>45748</v>
      </c>
      <c r="G22" s="42" t="s">
        <v>300</v>
      </c>
      <c r="H22" s="754">
        <f t="shared" si="0"/>
        <v>2</v>
      </c>
      <c r="I22" s="754">
        <v>50</v>
      </c>
      <c r="J22" s="755">
        <f t="shared" si="1"/>
        <v>100</v>
      </c>
      <c r="K22" s="768">
        <v>100</v>
      </c>
      <c r="L22" s="739"/>
      <c r="M22" s="739"/>
      <c r="N22" s="31"/>
      <c r="O22" s="19"/>
      <c r="P22" s="19"/>
      <c r="Q22" s="27"/>
      <c r="R22" s="17"/>
      <c r="S22" s="17"/>
      <c r="T22" s="749"/>
      <c r="U22" s="27"/>
      <c r="V22" s="27"/>
      <c r="W22" s="744">
        <v>45901</v>
      </c>
    </row>
    <row r="23" spans="1:23" ht="16.2">
      <c r="A23" s="270" t="s">
        <v>293</v>
      </c>
      <c r="B23" s="271" t="s">
        <v>301</v>
      </c>
      <c r="C23" s="274">
        <v>223</v>
      </c>
      <c r="D23" s="260" t="s">
        <v>161</v>
      </c>
      <c r="E23" s="315">
        <v>45717</v>
      </c>
      <c r="F23" s="315">
        <v>45748</v>
      </c>
      <c r="G23" s="42" t="s">
        <v>300</v>
      </c>
      <c r="H23" s="754">
        <f t="shared" si="0"/>
        <v>2</v>
      </c>
      <c r="I23" s="754">
        <v>50</v>
      </c>
      <c r="J23" s="755">
        <f t="shared" si="1"/>
        <v>100</v>
      </c>
      <c r="K23" s="768">
        <v>100</v>
      </c>
      <c r="L23" s="739"/>
      <c r="M23" s="739"/>
      <c r="N23" s="74">
        <f>SUM(K19:K23)</f>
        <v>900</v>
      </c>
      <c r="O23" s="19" t="s">
        <v>302</v>
      </c>
      <c r="P23" s="19"/>
      <c r="Q23" s="64"/>
      <c r="R23" s="17"/>
      <c r="S23" s="17"/>
      <c r="T23" s="749"/>
      <c r="U23" s="27"/>
      <c r="V23" s="27"/>
      <c r="W23" s="744">
        <v>45931</v>
      </c>
    </row>
    <row r="24" spans="1:23" ht="16.2">
      <c r="A24" s="270" t="s">
        <v>303</v>
      </c>
      <c r="B24" s="271" t="s">
        <v>304</v>
      </c>
      <c r="C24" s="272">
        <v>148</v>
      </c>
      <c r="D24" s="256" t="s">
        <v>305</v>
      </c>
      <c r="E24" s="315">
        <v>45658</v>
      </c>
      <c r="F24" s="315">
        <v>45992</v>
      </c>
      <c r="G24" s="740" t="s">
        <v>40</v>
      </c>
      <c r="H24" s="754">
        <f t="shared" si="0"/>
        <v>12</v>
      </c>
      <c r="I24" s="754">
        <v>50</v>
      </c>
      <c r="J24" s="755">
        <f t="shared" si="1"/>
        <v>600</v>
      </c>
      <c r="K24" s="769">
        <v>600</v>
      </c>
      <c r="L24" s="739"/>
      <c r="M24" s="739"/>
      <c r="N24" s="31"/>
      <c r="O24" s="19"/>
      <c r="P24" s="19"/>
      <c r="Q24" s="64"/>
      <c r="R24" s="17"/>
      <c r="S24" s="17"/>
      <c r="T24" s="749"/>
      <c r="U24" s="27"/>
      <c r="V24" s="27"/>
      <c r="W24" s="744">
        <v>45962</v>
      </c>
    </row>
    <row r="25" spans="1:23" ht="16.2">
      <c r="A25" s="270" t="s">
        <v>306</v>
      </c>
      <c r="B25" s="271" t="s">
        <v>307</v>
      </c>
      <c r="C25" s="272">
        <v>208</v>
      </c>
      <c r="D25" s="256" t="s">
        <v>308</v>
      </c>
      <c r="E25" s="315">
        <v>45689</v>
      </c>
      <c r="F25" s="315">
        <v>45689</v>
      </c>
      <c r="G25" s="740">
        <v>45689</v>
      </c>
      <c r="H25" s="754">
        <f t="shared" si="0"/>
        <v>1</v>
      </c>
      <c r="I25" s="754">
        <v>50</v>
      </c>
      <c r="J25" s="755">
        <f t="shared" si="1"/>
        <v>50</v>
      </c>
      <c r="K25" s="769">
        <v>50</v>
      </c>
      <c r="L25" s="739"/>
      <c r="M25" s="739"/>
      <c r="N25" s="19"/>
      <c r="O25" s="19"/>
      <c r="P25" s="19"/>
      <c r="Q25" s="27"/>
      <c r="R25" s="17"/>
      <c r="S25" s="17"/>
      <c r="T25" s="749"/>
      <c r="U25" s="27"/>
      <c r="V25" s="27"/>
      <c r="W25" s="744">
        <v>45992</v>
      </c>
    </row>
    <row r="26" spans="1:23" ht="16.2">
      <c r="A26" s="270" t="s">
        <v>309</v>
      </c>
      <c r="B26" s="271" t="s">
        <v>310</v>
      </c>
      <c r="C26" s="272">
        <v>195</v>
      </c>
      <c r="D26" s="256" t="s">
        <v>311</v>
      </c>
      <c r="E26" s="315">
        <v>45658</v>
      </c>
      <c r="F26" s="315">
        <v>45992</v>
      </c>
      <c r="G26" s="740" t="s">
        <v>40</v>
      </c>
      <c r="H26" s="754">
        <f t="shared" si="0"/>
        <v>12</v>
      </c>
      <c r="I26" s="754">
        <v>50</v>
      </c>
      <c r="J26" s="755">
        <f t="shared" si="1"/>
        <v>600</v>
      </c>
      <c r="K26" s="769">
        <v>600</v>
      </c>
      <c r="L26" s="739"/>
      <c r="M26" s="739"/>
      <c r="N26" s="19"/>
      <c r="O26" s="19"/>
      <c r="P26" s="19"/>
      <c r="Q26" s="27"/>
      <c r="R26" s="17"/>
      <c r="S26" s="17"/>
      <c r="T26" s="749"/>
      <c r="U26" s="27"/>
      <c r="V26" s="27"/>
      <c r="W26" s="744">
        <v>46023</v>
      </c>
    </row>
    <row r="27" spans="1:23" ht="16.2">
      <c r="A27" s="270" t="s">
        <v>312</v>
      </c>
      <c r="B27" s="271" t="s">
        <v>313</v>
      </c>
      <c r="C27" s="272">
        <v>229</v>
      </c>
      <c r="D27" s="256" t="s">
        <v>239</v>
      </c>
      <c r="E27" s="315">
        <v>45717</v>
      </c>
      <c r="F27" s="315">
        <v>45748</v>
      </c>
      <c r="G27" s="42" t="s">
        <v>300</v>
      </c>
      <c r="H27" s="754">
        <f t="shared" si="0"/>
        <v>2</v>
      </c>
      <c r="I27" s="754">
        <v>50</v>
      </c>
      <c r="J27" s="755">
        <f t="shared" si="1"/>
        <v>100</v>
      </c>
      <c r="K27" s="769">
        <v>100</v>
      </c>
      <c r="L27" s="739"/>
      <c r="M27" s="739"/>
      <c r="N27" s="19"/>
      <c r="O27" s="19"/>
      <c r="P27" s="19"/>
      <c r="Q27" s="27"/>
      <c r="R27" s="17"/>
      <c r="S27" s="17"/>
      <c r="T27" s="749"/>
      <c r="U27" s="27"/>
      <c r="V27" s="27"/>
      <c r="W27" s="744">
        <v>46054</v>
      </c>
    </row>
    <row r="28" spans="1:23" ht="16.2">
      <c r="A28" s="270" t="s">
        <v>314</v>
      </c>
      <c r="B28" s="271" t="s">
        <v>315</v>
      </c>
      <c r="C28" s="272">
        <v>164</v>
      </c>
      <c r="D28" s="256" t="s">
        <v>316</v>
      </c>
      <c r="E28" s="315">
        <v>45658</v>
      </c>
      <c r="F28" s="315">
        <v>45748</v>
      </c>
      <c r="G28" s="740" t="s">
        <v>45</v>
      </c>
      <c r="H28" s="754">
        <f t="shared" si="0"/>
        <v>4</v>
      </c>
      <c r="I28" s="754">
        <v>50</v>
      </c>
      <c r="J28" s="755">
        <f t="shared" si="1"/>
        <v>200</v>
      </c>
      <c r="K28" s="769">
        <v>200</v>
      </c>
      <c r="L28" s="739"/>
      <c r="M28" s="739"/>
      <c r="N28" s="57">
        <f>SUM(K24:K28)</f>
        <v>1550</v>
      </c>
      <c r="O28" s="19" t="s">
        <v>317</v>
      </c>
      <c r="P28" s="253" t="s">
        <v>272</v>
      </c>
      <c r="Q28" s="27"/>
      <c r="R28" s="17"/>
      <c r="S28" s="17"/>
      <c r="T28" s="749"/>
      <c r="U28" s="27"/>
      <c r="V28" s="27"/>
      <c r="W28" s="744">
        <v>46082</v>
      </c>
    </row>
    <row r="29" spans="1:23" ht="16.2">
      <c r="A29" s="270"/>
      <c r="B29" s="271"/>
      <c r="C29" s="272"/>
      <c r="D29" s="256"/>
      <c r="E29" s="315"/>
      <c r="F29" s="315"/>
      <c r="G29" s="740"/>
      <c r="H29" s="740"/>
      <c r="I29" s="740"/>
      <c r="J29" s="755"/>
      <c r="K29" s="739"/>
      <c r="L29" s="739"/>
      <c r="M29" s="739"/>
      <c r="N29" s="19"/>
      <c r="O29" s="19"/>
      <c r="P29" s="19"/>
      <c r="Q29" s="27"/>
      <c r="R29" s="17"/>
      <c r="S29" s="17"/>
      <c r="T29" s="749"/>
      <c r="U29" s="27"/>
      <c r="V29" s="27"/>
      <c r="W29" s="744">
        <v>46113</v>
      </c>
    </row>
    <row r="30" spans="1:23" ht="16.5" customHeight="1">
      <c r="A30" s="270"/>
      <c r="B30" s="271"/>
      <c r="C30" s="272"/>
      <c r="D30" s="259"/>
      <c r="E30" s="315"/>
      <c r="F30" s="315"/>
      <c r="G30" s="740"/>
      <c r="H30" s="740"/>
      <c r="I30" s="740"/>
      <c r="J30" s="755"/>
      <c r="K30" s="739"/>
      <c r="L30" s="739"/>
      <c r="M30" s="739"/>
      <c r="N30" s="19"/>
      <c r="O30" s="19"/>
      <c r="P30" s="16"/>
      <c r="Q30"/>
      <c r="R30" s="17"/>
      <c r="S30" s="17"/>
      <c r="T30" s="749"/>
      <c r="U30" s="27"/>
      <c r="V30" s="27"/>
      <c r="W30" s="744">
        <v>46143</v>
      </c>
    </row>
    <row r="31" spans="1:23" ht="16.5" customHeight="1">
      <c r="A31" s="270"/>
      <c r="B31" s="271"/>
      <c r="C31" s="272"/>
      <c r="D31" s="259"/>
      <c r="E31" s="315"/>
      <c r="F31" s="315"/>
      <c r="G31" s="756"/>
      <c r="H31" s="740"/>
      <c r="I31" s="740"/>
      <c r="J31" s="755"/>
      <c r="K31" s="739"/>
      <c r="L31" s="739"/>
      <c r="M31" s="739"/>
      <c r="N31" s="19"/>
      <c r="O31" s="19"/>
      <c r="P31" s="16"/>
      <c r="Q31"/>
      <c r="R31" s="17"/>
      <c r="S31" s="17"/>
      <c r="T31" s="749"/>
      <c r="U31" s="27"/>
      <c r="V31" s="27"/>
      <c r="W31" s="744">
        <v>46174</v>
      </c>
    </row>
    <row r="32" spans="1:23" ht="16.5" customHeight="1">
      <c r="A32" s="270"/>
      <c r="B32" s="271"/>
      <c r="C32" s="272"/>
      <c r="D32" s="259"/>
      <c r="E32" s="315"/>
      <c r="F32" s="315"/>
      <c r="G32" s="740"/>
      <c r="H32" s="740"/>
      <c r="I32" s="740"/>
      <c r="J32" s="755"/>
      <c r="K32" s="739"/>
      <c r="L32" s="739"/>
      <c r="M32" s="739"/>
      <c r="N32" s="19"/>
      <c r="O32" s="19"/>
      <c r="P32" s="16"/>
      <c r="Q32"/>
      <c r="R32" s="17"/>
      <c r="S32" s="17"/>
      <c r="T32" s="749"/>
      <c r="U32" s="27"/>
      <c r="V32" s="27"/>
      <c r="W32" s="744">
        <v>46204</v>
      </c>
    </row>
    <row r="33" spans="1:23" ht="16.5" customHeight="1">
      <c r="A33" s="270" t="s">
        <v>263</v>
      </c>
      <c r="B33" s="271" t="s">
        <v>318</v>
      </c>
      <c r="C33" s="272">
        <v>160</v>
      </c>
      <c r="D33" s="259" t="s">
        <v>319</v>
      </c>
      <c r="E33" s="315">
        <v>45717</v>
      </c>
      <c r="F33" s="315">
        <v>45992</v>
      </c>
      <c r="G33" s="740" t="s">
        <v>320</v>
      </c>
      <c r="H33" s="754">
        <f t="shared" ref="H33:H46" si="2">DATEDIF(E33,F33,"M")+1</f>
        <v>10</v>
      </c>
      <c r="I33" s="754">
        <v>50</v>
      </c>
      <c r="J33" s="755">
        <f t="shared" ref="J33:J46" si="3">H33*I33</f>
        <v>500</v>
      </c>
      <c r="K33" s="739"/>
      <c r="L33" s="739"/>
      <c r="M33" s="739">
        <v>500</v>
      </c>
      <c r="N33" s="19"/>
      <c r="O33" s="25" t="s">
        <v>166</v>
      </c>
      <c r="P33" s="16" t="s">
        <v>125</v>
      </c>
      <c r="Q33" t="s">
        <v>321</v>
      </c>
      <c r="R33" s="17"/>
      <c r="S33" s="17"/>
      <c r="T33" s="749"/>
      <c r="U33" s="27"/>
      <c r="V33" s="27"/>
      <c r="W33" s="744">
        <v>46235</v>
      </c>
    </row>
    <row r="34" spans="1:23" ht="16.5" customHeight="1">
      <c r="A34" s="270" t="s">
        <v>322</v>
      </c>
      <c r="B34" s="271" t="s">
        <v>323</v>
      </c>
      <c r="C34" s="272">
        <v>102</v>
      </c>
      <c r="D34" s="259" t="s">
        <v>324</v>
      </c>
      <c r="E34" s="315">
        <v>45658</v>
      </c>
      <c r="F34" s="315">
        <v>45689</v>
      </c>
      <c r="G34" s="740" t="s">
        <v>67</v>
      </c>
      <c r="H34" s="754">
        <f t="shared" si="2"/>
        <v>2</v>
      </c>
      <c r="I34" s="754">
        <v>50</v>
      </c>
      <c r="J34" s="755">
        <f t="shared" si="3"/>
        <v>100</v>
      </c>
      <c r="K34" s="739"/>
      <c r="L34" s="739"/>
      <c r="M34" s="739">
        <v>100</v>
      </c>
      <c r="N34" s="19"/>
      <c r="O34" s="19"/>
      <c r="P34" s="16" t="s">
        <v>325</v>
      </c>
      <c r="Q34"/>
      <c r="R34" s="17"/>
      <c r="S34" s="17"/>
      <c r="T34" s="749"/>
      <c r="U34" s="27"/>
      <c r="V34" s="27"/>
      <c r="W34" s="744">
        <v>46266</v>
      </c>
    </row>
    <row r="35" spans="1:23" ht="16.5" customHeight="1">
      <c r="A35" s="270" t="s">
        <v>322</v>
      </c>
      <c r="B35" s="271" t="s">
        <v>326</v>
      </c>
      <c r="C35" s="272">
        <v>116</v>
      </c>
      <c r="D35" s="256" t="s">
        <v>132</v>
      </c>
      <c r="E35" s="315">
        <v>45689</v>
      </c>
      <c r="F35" s="315">
        <v>45689</v>
      </c>
      <c r="G35" s="756">
        <v>45689</v>
      </c>
      <c r="H35" s="754">
        <f t="shared" si="2"/>
        <v>1</v>
      </c>
      <c r="I35" s="754">
        <v>50</v>
      </c>
      <c r="J35" s="755">
        <f t="shared" si="3"/>
        <v>50</v>
      </c>
      <c r="K35" s="739"/>
      <c r="L35" s="739"/>
      <c r="M35" s="739">
        <v>50</v>
      </c>
      <c r="N35" s="19"/>
      <c r="O35" s="19"/>
      <c r="P35" s="16" t="s">
        <v>125</v>
      </c>
      <c r="Q35" s="27" t="s">
        <v>133</v>
      </c>
      <c r="R35" s="17"/>
      <c r="S35" s="17"/>
      <c r="T35" s="749"/>
      <c r="U35" s="27"/>
      <c r="V35" s="27"/>
      <c r="W35" s="744">
        <v>46296</v>
      </c>
    </row>
    <row r="36" spans="1:23" ht="16.5" customHeight="1">
      <c r="A36" s="270" t="s">
        <v>322</v>
      </c>
      <c r="B36" s="271" t="s">
        <v>327</v>
      </c>
      <c r="C36" s="272">
        <v>117</v>
      </c>
      <c r="D36" s="258" t="s">
        <v>135</v>
      </c>
      <c r="E36" s="315">
        <v>45689</v>
      </c>
      <c r="F36" s="315">
        <v>45689</v>
      </c>
      <c r="G36" s="756">
        <v>45689</v>
      </c>
      <c r="H36" s="754">
        <f t="shared" si="2"/>
        <v>1</v>
      </c>
      <c r="I36" s="754">
        <v>50</v>
      </c>
      <c r="J36" s="755">
        <f t="shared" si="3"/>
        <v>50</v>
      </c>
      <c r="K36" s="739"/>
      <c r="L36" s="739"/>
      <c r="M36" s="739">
        <v>50</v>
      </c>
      <c r="N36" s="46"/>
      <c r="O36" s="46"/>
      <c r="P36" s="16" t="s">
        <v>125</v>
      </c>
      <c r="Q36" t="s">
        <v>136</v>
      </c>
      <c r="R36" s="17"/>
      <c r="S36" s="17"/>
      <c r="T36" s="749"/>
      <c r="U36" s="27"/>
      <c r="V36" s="27"/>
      <c r="W36" s="744">
        <v>46327</v>
      </c>
    </row>
    <row r="37" spans="1:23" ht="16.5" customHeight="1">
      <c r="A37" s="270" t="s">
        <v>273</v>
      </c>
      <c r="B37" s="271" t="s">
        <v>328</v>
      </c>
      <c r="C37" s="273">
        <v>52</v>
      </c>
      <c r="D37" s="259" t="s">
        <v>329</v>
      </c>
      <c r="E37" s="315">
        <v>45658</v>
      </c>
      <c r="F37" s="315">
        <v>45689</v>
      </c>
      <c r="G37" s="740" t="s">
        <v>67</v>
      </c>
      <c r="H37" s="754">
        <f t="shared" si="2"/>
        <v>2</v>
      </c>
      <c r="I37" s="754">
        <v>50</v>
      </c>
      <c r="J37" s="755">
        <f t="shared" si="3"/>
        <v>100</v>
      </c>
      <c r="K37" s="50"/>
      <c r="L37" s="50"/>
      <c r="M37" s="50">
        <v>100</v>
      </c>
      <c r="N37" s="46"/>
      <c r="O37" s="46"/>
      <c r="P37" s="16" t="s">
        <v>125</v>
      </c>
      <c r="Q37" t="s">
        <v>330</v>
      </c>
      <c r="R37" s="17"/>
      <c r="S37" s="17"/>
      <c r="T37" s="749"/>
      <c r="U37" s="27"/>
      <c r="V37" s="27"/>
      <c r="W37" s="744">
        <v>46357</v>
      </c>
    </row>
    <row r="38" spans="1:23" ht="16.5" customHeight="1">
      <c r="A38" s="270" t="s">
        <v>331</v>
      </c>
      <c r="B38" s="271" t="s">
        <v>332</v>
      </c>
      <c r="C38" s="273">
        <v>40</v>
      </c>
      <c r="D38" s="256" t="s">
        <v>333</v>
      </c>
      <c r="E38" s="315">
        <v>45748</v>
      </c>
      <c r="F38" s="315">
        <v>45839</v>
      </c>
      <c r="G38" s="331" t="s">
        <v>334</v>
      </c>
      <c r="H38" s="754">
        <f t="shared" si="2"/>
        <v>4</v>
      </c>
      <c r="I38" s="754">
        <v>50</v>
      </c>
      <c r="J38" s="755">
        <f t="shared" si="3"/>
        <v>200</v>
      </c>
      <c r="K38" s="739"/>
      <c r="L38" s="739"/>
      <c r="M38" s="739">
        <v>200</v>
      </c>
      <c r="N38" s="19"/>
      <c r="O38" s="19"/>
      <c r="P38" s="16" t="s">
        <v>125</v>
      </c>
      <c r="Q38" t="s">
        <v>335</v>
      </c>
      <c r="R38" s="27"/>
      <c r="S38" s="54"/>
      <c r="T38" s="749"/>
      <c r="U38" s="27"/>
      <c r="V38" s="27"/>
      <c r="W38" s="744">
        <v>46388</v>
      </c>
    </row>
    <row r="39" spans="1:23" ht="16.5" customHeight="1">
      <c r="A39" s="270" t="s">
        <v>290</v>
      </c>
      <c r="B39" s="271" t="s">
        <v>336</v>
      </c>
      <c r="C39" s="300">
        <v>6</v>
      </c>
      <c r="D39" s="256" t="s">
        <v>337</v>
      </c>
      <c r="E39" s="315">
        <v>45658</v>
      </c>
      <c r="F39" s="315">
        <v>45992</v>
      </c>
      <c r="G39" s="740" t="s">
        <v>40</v>
      </c>
      <c r="H39" s="754">
        <f t="shared" si="2"/>
        <v>12</v>
      </c>
      <c r="I39" s="754">
        <v>50</v>
      </c>
      <c r="J39" s="755">
        <f t="shared" si="3"/>
        <v>600</v>
      </c>
      <c r="K39" s="739"/>
      <c r="L39" s="739"/>
      <c r="M39" s="739">
        <v>600</v>
      </c>
      <c r="N39" s="19"/>
      <c r="O39" s="19"/>
      <c r="P39" s="16" t="s">
        <v>125</v>
      </c>
      <c r="Q39" t="s">
        <v>338</v>
      </c>
      <c r="R39" s="27"/>
      <c r="S39" s="54"/>
      <c r="T39" s="749"/>
      <c r="U39" s="27"/>
      <c r="V39" s="27"/>
      <c r="W39" s="749"/>
    </row>
    <row r="40" spans="1:23" ht="16.5" customHeight="1">
      <c r="A40" s="270" t="s">
        <v>289</v>
      </c>
      <c r="B40" s="271" t="s">
        <v>339</v>
      </c>
      <c r="C40" s="301">
        <v>212</v>
      </c>
      <c r="D40" s="256" t="s">
        <v>340</v>
      </c>
      <c r="E40" s="315">
        <v>45566</v>
      </c>
      <c r="F40" s="315">
        <v>45717</v>
      </c>
      <c r="G40" s="740" t="s">
        <v>341</v>
      </c>
      <c r="H40" s="754">
        <f t="shared" si="2"/>
        <v>6</v>
      </c>
      <c r="I40" s="754">
        <v>50</v>
      </c>
      <c r="J40" s="755">
        <f t="shared" si="3"/>
        <v>300</v>
      </c>
      <c r="K40" s="739"/>
      <c r="L40" s="739"/>
      <c r="M40" s="739">
        <v>300</v>
      </c>
      <c r="N40" s="19"/>
      <c r="O40" s="19"/>
      <c r="P40" s="16" t="s">
        <v>125</v>
      </c>
      <c r="Q40" s="27" t="s">
        <v>342</v>
      </c>
      <c r="R40" s="27"/>
      <c r="S40" s="17"/>
      <c r="T40" s="749"/>
      <c r="U40" s="27"/>
      <c r="V40" s="27"/>
      <c r="W40" s="749"/>
    </row>
    <row r="41" spans="1:23" ht="16.5" customHeight="1">
      <c r="A41" s="270" t="s">
        <v>289</v>
      </c>
      <c r="B41" s="271" t="s">
        <v>343</v>
      </c>
      <c r="C41" s="272">
        <v>25</v>
      </c>
      <c r="D41" s="258" t="s">
        <v>344</v>
      </c>
      <c r="E41" s="315">
        <v>45689</v>
      </c>
      <c r="F41" s="315">
        <v>46023</v>
      </c>
      <c r="G41" s="216" t="s">
        <v>345</v>
      </c>
      <c r="H41" s="754">
        <f t="shared" si="2"/>
        <v>12</v>
      </c>
      <c r="I41" s="754">
        <v>50</v>
      </c>
      <c r="J41" s="755">
        <f t="shared" si="3"/>
        <v>600</v>
      </c>
      <c r="K41" s="739"/>
      <c r="L41" s="739"/>
      <c r="M41" s="739">
        <v>600</v>
      </c>
      <c r="N41" s="19"/>
      <c r="O41" s="19"/>
      <c r="P41" s="16" t="s">
        <v>125</v>
      </c>
      <c r="Q41" t="s">
        <v>346</v>
      </c>
      <c r="R41" s="17"/>
      <c r="S41" s="17"/>
      <c r="T41" s="749"/>
      <c r="U41" s="27"/>
      <c r="V41" s="27"/>
      <c r="W41" s="749"/>
    </row>
    <row r="42" spans="1:23" ht="16.5" customHeight="1">
      <c r="A42" s="270" t="s">
        <v>347</v>
      </c>
      <c r="B42" s="271" t="s">
        <v>348</v>
      </c>
      <c r="C42" s="271">
        <v>24</v>
      </c>
      <c r="D42" s="258" t="s">
        <v>260</v>
      </c>
      <c r="E42" s="315">
        <v>45658</v>
      </c>
      <c r="F42" s="315">
        <v>45717</v>
      </c>
      <c r="G42" s="740" t="s">
        <v>34</v>
      </c>
      <c r="H42" s="754">
        <f t="shared" si="2"/>
        <v>3</v>
      </c>
      <c r="I42" s="754">
        <v>50</v>
      </c>
      <c r="J42" s="755">
        <f t="shared" si="3"/>
        <v>150</v>
      </c>
      <c r="K42" s="739"/>
      <c r="L42" s="739"/>
      <c r="M42" s="739">
        <v>150</v>
      </c>
      <c r="N42" s="19"/>
      <c r="O42" s="19"/>
      <c r="P42" s="16" t="s">
        <v>125</v>
      </c>
      <c r="Q42" t="s">
        <v>349</v>
      </c>
      <c r="R42" s="17"/>
      <c r="S42" s="17"/>
      <c r="T42" s="749"/>
      <c r="U42" s="27"/>
      <c r="V42" s="27"/>
      <c r="W42" s="749"/>
    </row>
    <row r="43" spans="1:23" ht="16.5" customHeight="1">
      <c r="A43" s="270" t="s">
        <v>350</v>
      </c>
      <c r="B43" s="271" t="s">
        <v>351</v>
      </c>
      <c r="C43" s="275">
        <v>137</v>
      </c>
      <c r="D43" s="258" t="s">
        <v>165</v>
      </c>
      <c r="E43" s="315">
        <v>45689</v>
      </c>
      <c r="F43" s="315">
        <v>45689</v>
      </c>
      <c r="G43" s="740">
        <v>45689</v>
      </c>
      <c r="H43" s="754">
        <f t="shared" si="2"/>
        <v>1</v>
      </c>
      <c r="I43" s="754">
        <v>50</v>
      </c>
      <c r="J43" s="755">
        <f t="shared" si="3"/>
        <v>50</v>
      </c>
      <c r="K43" s="739"/>
      <c r="L43" s="739"/>
      <c r="M43" s="739">
        <v>50</v>
      </c>
      <c r="N43" s="19"/>
      <c r="O43" s="19"/>
      <c r="P43" s="16" t="s">
        <v>325</v>
      </c>
      <c r="Q43"/>
      <c r="R43" s="17"/>
      <c r="S43" s="17"/>
      <c r="T43" s="749"/>
      <c r="U43" s="27"/>
      <c r="V43" s="27"/>
      <c r="W43" s="749"/>
    </row>
    <row r="44" spans="1:23" ht="16.5" customHeight="1">
      <c r="A44" s="270" t="s">
        <v>352</v>
      </c>
      <c r="B44" s="271" t="s">
        <v>353</v>
      </c>
      <c r="C44" s="276">
        <v>80</v>
      </c>
      <c r="D44" s="261" t="s">
        <v>178</v>
      </c>
      <c r="E44" s="317">
        <v>45717</v>
      </c>
      <c r="F44" s="317">
        <v>45717</v>
      </c>
      <c r="G44" s="252">
        <v>45717</v>
      </c>
      <c r="H44" s="754">
        <f t="shared" si="2"/>
        <v>1</v>
      </c>
      <c r="I44" s="754">
        <v>50</v>
      </c>
      <c r="J44" s="755">
        <f t="shared" si="3"/>
        <v>50</v>
      </c>
      <c r="K44" s="739"/>
      <c r="L44" s="739"/>
      <c r="M44" s="739">
        <v>50</v>
      </c>
      <c r="N44" s="19"/>
      <c r="O44" s="19"/>
      <c r="P44" s="16" t="s">
        <v>125</v>
      </c>
      <c r="Q44" t="s">
        <v>179</v>
      </c>
      <c r="R44" s="17"/>
      <c r="S44" s="17"/>
      <c r="T44" s="749"/>
      <c r="U44" s="27"/>
      <c r="V44" s="27"/>
      <c r="W44" s="749"/>
    </row>
    <row r="45" spans="1:23" ht="16.5" customHeight="1">
      <c r="A45" s="270" t="s">
        <v>352</v>
      </c>
      <c r="B45" s="271" t="s">
        <v>354</v>
      </c>
      <c r="C45" s="277">
        <v>224</v>
      </c>
      <c r="D45" s="261" t="s">
        <v>181</v>
      </c>
      <c r="E45" s="317">
        <v>45717</v>
      </c>
      <c r="F45" s="317">
        <v>45717</v>
      </c>
      <c r="G45" s="252">
        <v>45717</v>
      </c>
      <c r="H45" s="754">
        <f t="shared" si="2"/>
        <v>1</v>
      </c>
      <c r="I45" s="754">
        <v>50</v>
      </c>
      <c r="J45" s="755">
        <f t="shared" si="3"/>
        <v>50</v>
      </c>
      <c r="K45" s="739"/>
      <c r="L45" s="739"/>
      <c r="M45" s="739">
        <v>50</v>
      </c>
      <c r="N45" s="19"/>
      <c r="O45" s="19"/>
      <c r="P45" s="16" t="s">
        <v>125</v>
      </c>
      <c r="Q45" t="s">
        <v>179</v>
      </c>
      <c r="R45" s="17"/>
      <c r="S45" s="17"/>
      <c r="T45" s="749"/>
      <c r="U45" s="27"/>
      <c r="V45" s="27"/>
      <c r="W45" s="749"/>
    </row>
    <row r="46" spans="1:23" ht="16.5" customHeight="1">
      <c r="A46" s="270" t="s">
        <v>352</v>
      </c>
      <c r="B46" s="271" t="s">
        <v>355</v>
      </c>
      <c r="C46" s="301">
        <v>17</v>
      </c>
      <c r="D46" s="304" t="s">
        <v>356</v>
      </c>
      <c r="E46" s="315">
        <v>45658</v>
      </c>
      <c r="F46" s="315">
        <v>45809</v>
      </c>
      <c r="G46" s="740" t="s">
        <v>31</v>
      </c>
      <c r="H46" s="754">
        <f t="shared" si="2"/>
        <v>6</v>
      </c>
      <c r="I46" s="754">
        <v>50</v>
      </c>
      <c r="J46" s="755">
        <f t="shared" si="3"/>
        <v>300</v>
      </c>
      <c r="K46" s="739"/>
      <c r="L46" s="739"/>
      <c r="M46" s="739">
        <v>300</v>
      </c>
      <c r="N46" s="19"/>
      <c r="O46" s="25" t="s">
        <v>166</v>
      </c>
      <c r="P46" s="16" t="s">
        <v>125</v>
      </c>
      <c r="Q46" s="55" t="s">
        <v>357</v>
      </c>
      <c r="R46" s="17"/>
      <c r="S46" s="17"/>
      <c r="T46" s="749"/>
      <c r="U46" s="27"/>
      <c r="V46" s="27"/>
      <c r="W46" s="749"/>
    </row>
    <row r="47" spans="1:23" ht="16.5" customHeight="1">
      <c r="A47" s="270"/>
      <c r="B47" s="271"/>
      <c r="C47" s="272"/>
      <c r="D47" s="256"/>
      <c r="E47" s="315"/>
      <c r="F47" s="315"/>
      <c r="G47" s="740"/>
      <c r="H47" s="740"/>
      <c r="I47" s="740"/>
      <c r="J47" s="755"/>
      <c r="K47" s="739"/>
      <c r="L47" s="739"/>
      <c r="M47" s="739"/>
      <c r="N47" s="19"/>
      <c r="O47" s="19"/>
      <c r="P47" s="16"/>
      <c r="Q47"/>
      <c r="R47" s="17"/>
      <c r="S47" s="17"/>
      <c r="T47" s="749"/>
      <c r="U47" s="27"/>
      <c r="V47" s="27"/>
      <c r="W47" s="749"/>
    </row>
    <row r="48" spans="1:23" ht="16.5" customHeight="1">
      <c r="A48" s="757" t="s">
        <v>212</v>
      </c>
      <c r="B48" s="65"/>
      <c r="C48" s="66"/>
      <c r="D48" s="770"/>
      <c r="E48" s="318"/>
      <c r="F48" s="318"/>
      <c r="G48" s="758"/>
      <c r="H48" s="758"/>
      <c r="I48" s="758"/>
      <c r="J48" s="771"/>
      <c r="K48" s="761"/>
      <c r="L48" s="761">
        <v>50</v>
      </c>
      <c r="M48" s="67"/>
      <c r="N48" s="68"/>
      <c r="O48" s="68"/>
      <c r="P48" s="68"/>
      <c r="Q48" s="69" t="s">
        <v>213</v>
      </c>
      <c r="R48" s="17"/>
      <c r="S48" s="17"/>
      <c r="T48" s="749"/>
      <c r="U48" s="27"/>
      <c r="V48" s="27"/>
      <c r="W48" s="749"/>
    </row>
    <row r="49" spans="1:23" ht="16.5" customHeight="1">
      <c r="A49" s="772"/>
      <c r="B49" s="13"/>
      <c r="C49" s="18"/>
      <c r="D49" s="773"/>
      <c r="E49" s="315"/>
      <c r="F49" s="315"/>
      <c r="G49" s="740"/>
      <c r="H49" s="740"/>
      <c r="I49" s="740"/>
      <c r="J49" s="755"/>
      <c r="K49" s="739"/>
      <c r="L49" s="739"/>
      <c r="M49" s="739"/>
      <c r="N49" s="19"/>
      <c r="O49" s="19"/>
      <c r="P49" s="16"/>
      <c r="Q49"/>
      <c r="R49" s="17"/>
      <c r="S49" s="17"/>
      <c r="T49" s="749"/>
      <c r="U49" s="27"/>
      <c r="V49" s="27"/>
      <c r="W49" s="749"/>
    </row>
    <row r="50" spans="1:23" ht="16.2">
      <c r="A50" s="763"/>
      <c r="B50" s="23"/>
      <c r="C50" s="23"/>
      <c r="D50" s="23"/>
      <c r="E50" s="319"/>
      <c r="F50" s="319"/>
      <c r="G50" s="23"/>
      <c r="H50" s="23"/>
      <c r="I50" s="23"/>
      <c r="J50" s="342"/>
      <c r="K50" s="35"/>
      <c r="L50" s="35"/>
      <c r="M50" s="35"/>
      <c r="N50" s="23"/>
      <c r="O50" s="23"/>
      <c r="P50" s="23"/>
      <c r="Q50" s="27"/>
      <c r="R50" s="27"/>
      <c r="S50" s="27"/>
      <c r="T50" s="27"/>
      <c r="U50" s="27"/>
      <c r="V50" s="27"/>
      <c r="W50" s="749"/>
    </row>
    <row r="51" spans="1:23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41"/>
      <c r="L51" s="41"/>
      <c r="M51" s="41"/>
      <c r="N51" s="25"/>
      <c r="O51" s="25"/>
      <c r="P51" s="25"/>
      <c r="Q51" s="27"/>
      <c r="R51" s="27"/>
      <c r="S51" s="27"/>
      <c r="T51" s="27"/>
      <c r="U51" s="27"/>
      <c r="V51" s="27"/>
      <c r="W51" s="749"/>
    </row>
    <row r="52" spans="1:23" ht="15.6" thickBo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36">
        <f>SUM(K9:K50)</f>
        <v>4500</v>
      </c>
      <c r="L52" s="36">
        <f>SUM(L9:L50)</f>
        <v>50</v>
      </c>
      <c r="M52" s="36">
        <f>SUM(M9:M50)</f>
        <v>3100</v>
      </c>
      <c r="N52" s="36">
        <f>SUM(N9:N50)</f>
        <v>4500</v>
      </c>
      <c r="O52" s="25"/>
      <c r="P52" s="25"/>
      <c r="Q52" s="27"/>
      <c r="R52" s="27"/>
      <c r="S52" s="27"/>
      <c r="T52" s="27"/>
      <c r="U52" s="27"/>
      <c r="V52" s="27"/>
      <c r="W52" s="749"/>
    </row>
    <row r="53" spans="1:23" s="1" customFormat="1" ht="15.6" thickTop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6"/>
      <c r="L53" s="26"/>
      <c r="M53" s="26"/>
      <c r="N53" s="53">
        <f>N52-K52</f>
        <v>0</v>
      </c>
      <c r="O53" s="25"/>
      <c r="P53" s="25"/>
      <c r="Q53" s="27"/>
      <c r="R53" s="27"/>
      <c r="S53" s="27"/>
      <c r="T53" s="27"/>
      <c r="U53" s="25"/>
      <c r="V53" s="25"/>
      <c r="W53" s="749"/>
    </row>
    <row r="54" spans="1:23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6"/>
      <c r="L54" s="26"/>
      <c r="M54" s="26"/>
      <c r="N54" s="25"/>
      <c r="O54" s="25"/>
      <c r="P54" s="25"/>
      <c r="Q54" s="27"/>
      <c r="R54" s="27"/>
      <c r="S54" s="27"/>
      <c r="T54" s="27"/>
      <c r="U54" s="27"/>
      <c r="V54" s="27"/>
      <c r="W54" s="749"/>
    </row>
    <row r="55" spans="1:23" ht="15">
      <c r="A55" s="774"/>
      <c r="B55" s="24"/>
      <c r="C55" s="45"/>
      <c r="D55" s="775"/>
      <c r="E55" s="775"/>
      <c r="F55" s="775"/>
      <c r="G55" s="776"/>
      <c r="H55" s="776"/>
      <c r="I55" s="776"/>
      <c r="J55" s="776"/>
      <c r="K55" s="777"/>
      <c r="L55" s="777"/>
      <c r="M55" s="777"/>
      <c r="N55" s="25"/>
      <c r="O55" s="25"/>
      <c r="P55" s="25"/>
      <c r="Q55" s="27"/>
      <c r="R55" s="17"/>
      <c r="S55" s="27"/>
      <c r="T55" s="27"/>
      <c r="U55" s="27"/>
      <c r="V55" s="27"/>
      <c r="W55" s="749"/>
    </row>
    <row r="56" spans="1:23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6"/>
      <c r="L56" s="26"/>
      <c r="M56" s="26"/>
      <c r="N56" s="25"/>
      <c r="O56" s="25"/>
      <c r="P56" s="25"/>
      <c r="Q56" s="27"/>
      <c r="R56" s="27"/>
      <c r="S56" s="27"/>
      <c r="T56" s="27"/>
      <c r="U56" s="27"/>
      <c r="V56" s="27"/>
      <c r="W56" s="749"/>
    </row>
    <row r="57" spans="1:23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26"/>
      <c r="M57" s="26"/>
      <c r="N57" s="25"/>
      <c r="O57" s="25"/>
      <c r="P57" s="25"/>
      <c r="Q57" s="27"/>
      <c r="R57" s="27"/>
      <c r="S57" s="27"/>
      <c r="T57" s="27"/>
      <c r="U57" s="27"/>
      <c r="V57" s="27"/>
      <c r="W57" s="749"/>
    </row>
    <row r="58" spans="1:23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6"/>
      <c r="L58" s="26"/>
      <c r="M58" s="26"/>
      <c r="N58" s="25"/>
      <c r="O58" s="25"/>
      <c r="P58" s="25"/>
      <c r="Q58" s="27"/>
      <c r="R58" s="27"/>
      <c r="S58" s="27"/>
      <c r="T58" s="27"/>
      <c r="U58" s="27"/>
      <c r="V58" s="27"/>
      <c r="W58" s="749"/>
    </row>
    <row r="59" spans="1:23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6"/>
      <c r="L59" s="26"/>
      <c r="M59" s="26"/>
      <c r="N59" s="25"/>
      <c r="O59" s="25"/>
      <c r="P59" s="25"/>
      <c r="Q59" s="27"/>
      <c r="R59" s="27"/>
      <c r="S59" s="27"/>
      <c r="T59" s="27"/>
      <c r="U59" s="27"/>
      <c r="V59" s="27"/>
      <c r="W59" s="749"/>
    </row>
    <row r="60" spans="1:23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6"/>
      <c r="L60" s="26"/>
      <c r="M60" s="26"/>
      <c r="N60" s="25"/>
      <c r="O60" s="25"/>
      <c r="P60" s="25"/>
      <c r="Q60" s="27"/>
      <c r="R60" s="27"/>
      <c r="S60" s="27"/>
      <c r="T60" s="27"/>
      <c r="U60" s="27"/>
      <c r="V60" s="27"/>
      <c r="W60" s="749"/>
    </row>
    <row r="61" spans="1:23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6"/>
      <c r="L61" s="26"/>
      <c r="M61" s="26"/>
      <c r="N61" s="25"/>
      <c r="O61" s="25"/>
      <c r="P61" s="25"/>
      <c r="Q61" s="27"/>
      <c r="R61" s="27"/>
      <c r="S61" s="27"/>
      <c r="T61" s="27"/>
      <c r="U61" s="27"/>
      <c r="V61" s="27"/>
      <c r="W61" s="749"/>
    </row>
    <row r="62" spans="1:23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6"/>
      <c r="L62" s="26"/>
      <c r="M62" s="26"/>
      <c r="N62" s="25"/>
      <c r="O62" s="25"/>
      <c r="P62" s="25"/>
      <c r="Q62" s="27"/>
      <c r="R62" s="27"/>
      <c r="S62" s="27"/>
      <c r="T62" s="27"/>
      <c r="U62" s="27"/>
      <c r="V62" s="27"/>
      <c r="W62" s="749"/>
    </row>
    <row r="63" spans="1:23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6"/>
      <c r="L63" s="26"/>
      <c r="M63" s="26"/>
      <c r="N63" s="25"/>
      <c r="O63" s="25"/>
      <c r="P63" s="25"/>
      <c r="Q63" s="27"/>
      <c r="R63" s="27"/>
      <c r="S63" s="27"/>
      <c r="T63" s="27"/>
      <c r="U63" s="27"/>
      <c r="V63" s="27"/>
      <c r="W63" s="749"/>
    </row>
    <row r="64" spans="1:23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6"/>
      <c r="L64" s="26"/>
      <c r="M64" s="26"/>
      <c r="N64" s="25"/>
      <c r="O64" s="25"/>
      <c r="P64" s="25"/>
      <c r="Q64" s="27"/>
      <c r="R64" s="27"/>
      <c r="S64" s="27"/>
      <c r="T64" s="27"/>
      <c r="U64" s="27"/>
      <c r="V64" s="27"/>
      <c r="W64" s="749"/>
    </row>
    <row r="65" spans="23:23" ht="15">
      <c r="W65" s="749"/>
    </row>
    <row r="66" spans="23:23" ht="15">
      <c r="W66" s="749"/>
    </row>
    <row r="67" spans="23:23" ht="15">
      <c r="W67" s="749"/>
    </row>
    <row r="68" spans="23:23" ht="15">
      <c r="W68" s="749"/>
    </row>
    <row r="69" spans="23:23" ht="15">
      <c r="W69" s="749"/>
    </row>
    <row r="70" spans="23:23" ht="15">
      <c r="W70" s="749"/>
    </row>
    <row r="71" spans="23:23" ht="15">
      <c r="W71" s="749"/>
    </row>
    <row r="72" spans="23:23" ht="15">
      <c r="W72" s="749"/>
    </row>
    <row r="73" spans="23:23" ht="15">
      <c r="W73" s="749"/>
    </row>
    <row r="74" spans="23:23" ht="15">
      <c r="W74" s="749"/>
    </row>
    <row r="75" spans="23:23" ht="15">
      <c r="W75" s="749"/>
    </row>
    <row r="76" spans="23:23" ht="15">
      <c r="W76" s="749"/>
    </row>
    <row r="77" spans="23:23" ht="15">
      <c r="W77" s="749"/>
    </row>
    <row r="78" spans="23:23" ht="15">
      <c r="W78" s="749"/>
    </row>
    <row r="79" spans="23:23" ht="15">
      <c r="W79" s="749"/>
    </row>
    <row r="80" spans="23:23" ht="15">
      <c r="W80" s="749"/>
    </row>
  </sheetData>
  <mergeCells count="3">
    <mergeCell ref="K7:M7"/>
    <mergeCell ref="E6:G6"/>
    <mergeCell ref="E7:G7"/>
  </mergeCells>
  <phoneticPr fontId="35" type="noConversion"/>
  <dataValidations count="2">
    <dataValidation type="list" allowBlank="1" showInputMessage="1" showErrorMessage="1" sqref="E10:E50" xr:uid="{0989A325-FC39-493D-8F8A-A56526EE83C5}">
      <formula1>$W$10:$W$41</formula1>
    </dataValidation>
    <dataValidation type="list" allowBlank="1" showInputMessage="1" showErrorMessage="1" sqref="F10:F50" xr:uid="{7350BBBB-69D4-4B0A-85A3-0A323FFDCA8F}">
      <formula1>$W$10:$W$40</formula1>
    </dataValidation>
  </dataValidations>
  <printOptions gridLines="1"/>
  <pageMargins left="0.23622047244094491" right="0" top="0.35433070866141736" bottom="0" header="0.31496062992125984" footer="0"/>
  <pageSetup paperSize="9" scale="70" orientation="landscape" horizontalDpi="4294967293" r:id="rId1"/>
  <colBreaks count="1" manualBreakCount="1">
    <brk id="16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5:W82"/>
  <sheetViews>
    <sheetView topLeftCell="A31" zoomScale="80" zoomScaleNormal="80" workbookViewId="0">
      <selection activeCell="M67" activeCellId="1" sqref="K67 M67"/>
    </sheetView>
  </sheetViews>
  <sheetFormatPr defaultColWidth="9.33203125" defaultRowHeight="18"/>
  <cols>
    <col min="1" max="1" width="12.5546875" style="1" customWidth="1"/>
    <col min="2" max="2" width="12.6640625" style="1" customWidth="1"/>
    <col min="3" max="3" width="7.6640625" style="1" customWidth="1"/>
    <col min="4" max="4" width="20.6640625" style="454" customWidth="1"/>
    <col min="5" max="5" width="11.88671875" style="1" bestFit="1" customWidth="1"/>
    <col min="6" max="6" width="10.44140625" style="1" bestFit="1" customWidth="1"/>
    <col min="7" max="7" width="13.33203125" style="1" bestFit="1" customWidth="1"/>
    <col min="8" max="10" width="8.5546875" style="1" customWidth="1"/>
    <col min="11" max="11" width="11.6640625" style="2" customWidth="1"/>
    <col min="12" max="12" width="10.33203125" style="2" customWidth="1"/>
    <col min="13" max="13" width="15.33203125" style="2" bestFit="1" customWidth="1"/>
    <col min="14" max="14" width="13.6640625" style="1" hidden="1" customWidth="1"/>
    <col min="15" max="16" width="12.33203125" style="1" customWidth="1"/>
    <col min="17" max="17" width="9.33203125" style="3"/>
    <col min="18" max="18" width="11" style="3" customWidth="1"/>
    <col min="19" max="22" width="9.33203125" style="3"/>
    <col min="23" max="23" width="9.33203125" style="27"/>
    <col min="24" max="16384" width="9.33203125" style="3"/>
  </cols>
  <sheetData>
    <row r="5" spans="1:23">
      <c r="A5" s="4" t="s">
        <v>0</v>
      </c>
      <c r="B5" s="25"/>
      <c r="C5" s="25"/>
      <c r="E5" s="25"/>
      <c r="F5" s="25"/>
      <c r="G5" s="25"/>
      <c r="H5" s="25"/>
      <c r="I5" s="25"/>
      <c r="J5" s="25"/>
      <c r="K5" s="26"/>
      <c r="L5" s="26"/>
      <c r="M5" s="26"/>
      <c r="N5" s="58" t="s">
        <v>358</v>
      </c>
      <c r="O5" s="730"/>
      <c r="P5" s="25"/>
      <c r="Q5" s="27"/>
      <c r="R5" s="27"/>
      <c r="S5" s="27"/>
      <c r="T5" s="27"/>
      <c r="U5" s="27"/>
      <c r="V5" s="27"/>
    </row>
    <row r="6" spans="1:23">
      <c r="A6" s="25"/>
      <c r="B6" s="25"/>
      <c r="C6" s="25"/>
      <c r="E6" s="895" t="s">
        <v>2</v>
      </c>
      <c r="F6" s="895"/>
      <c r="G6" s="895"/>
      <c r="H6" s="25"/>
      <c r="I6" s="25"/>
      <c r="J6" s="25"/>
      <c r="K6" s="26"/>
      <c r="L6" s="26"/>
      <c r="M6" s="26"/>
      <c r="N6" s="25" t="s">
        <v>3</v>
      </c>
      <c r="O6" s="25"/>
      <c r="P6" s="25"/>
      <c r="Q6" s="27"/>
      <c r="R6" s="27"/>
      <c r="S6" s="27"/>
      <c r="T6" s="27"/>
      <c r="U6" s="27"/>
      <c r="V6" s="27"/>
    </row>
    <row r="7" spans="1:23">
      <c r="A7" s="25"/>
      <c r="B7" s="25"/>
      <c r="C7" s="25"/>
      <c r="E7" s="895" t="s">
        <v>4</v>
      </c>
      <c r="F7" s="895"/>
      <c r="G7" s="895"/>
      <c r="H7" s="314"/>
      <c r="I7" s="314"/>
      <c r="J7" s="314"/>
      <c r="K7" s="901" t="s">
        <v>5</v>
      </c>
      <c r="L7" s="899"/>
      <c r="M7" s="900"/>
      <c r="N7" s="25"/>
      <c r="O7" s="25"/>
      <c r="P7" s="25"/>
      <c r="Q7" s="27"/>
      <c r="R7" s="27"/>
      <c r="S7" s="27"/>
      <c r="T7" s="27"/>
      <c r="U7" s="27"/>
      <c r="V7" s="27"/>
    </row>
    <row r="8" spans="1:23" s="11" customFormat="1" ht="57" customHeight="1">
      <c r="A8" s="5" t="s">
        <v>6</v>
      </c>
      <c r="B8" s="5" t="s">
        <v>7</v>
      </c>
      <c r="C8" s="5" t="s">
        <v>8</v>
      </c>
      <c r="D8" s="455" t="s">
        <v>9</v>
      </c>
      <c r="E8" s="5" t="s">
        <v>10</v>
      </c>
      <c r="F8" s="6" t="s">
        <v>11</v>
      </c>
      <c r="G8" s="6" t="s">
        <v>12</v>
      </c>
      <c r="H8" s="6"/>
      <c r="I8" s="6"/>
      <c r="J8" s="6"/>
      <c r="K8" s="7" t="s">
        <v>13</v>
      </c>
      <c r="L8" s="7" t="s">
        <v>14</v>
      </c>
      <c r="M8" s="56" t="s">
        <v>15</v>
      </c>
      <c r="N8" s="9" t="s">
        <v>16</v>
      </c>
      <c r="O8" s="9" t="s">
        <v>17</v>
      </c>
      <c r="P8" s="9" t="s">
        <v>18</v>
      </c>
      <c r="Q8" s="10"/>
      <c r="R8" s="28"/>
      <c r="S8" s="28"/>
      <c r="T8" s="28"/>
      <c r="U8" s="28"/>
      <c r="V8" s="28"/>
      <c r="W8" s="28"/>
    </row>
    <row r="9" spans="1:23">
      <c r="A9" s="731"/>
      <c r="B9" s="13"/>
      <c r="C9" s="29"/>
      <c r="D9" s="456"/>
      <c r="E9" s="195"/>
      <c r="F9" s="195"/>
      <c r="G9" s="732"/>
      <c r="H9" s="732"/>
      <c r="I9" s="732"/>
      <c r="J9" s="778"/>
      <c r="K9" s="734"/>
      <c r="L9" s="779"/>
      <c r="M9" s="734"/>
      <c r="N9" s="37"/>
      <c r="O9" s="30"/>
      <c r="P9" s="30"/>
      <c r="Q9" s="27"/>
      <c r="R9" s="17"/>
      <c r="S9" s="27"/>
      <c r="T9" s="27"/>
      <c r="U9" s="27"/>
      <c r="V9" s="27"/>
      <c r="W9" s="12"/>
    </row>
    <row r="10" spans="1:23">
      <c r="A10" s="772" t="s">
        <v>359</v>
      </c>
      <c r="B10" s="13" t="s">
        <v>360</v>
      </c>
      <c r="C10" s="18">
        <v>186</v>
      </c>
      <c r="D10" s="457" t="s">
        <v>73</v>
      </c>
      <c r="E10" s="315">
        <v>45717</v>
      </c>
      <c r="F10" s="315">
        <v>45748</v>
      </c>
      <c r="G10" s="740" t="s">
        <v>300</v>
      </c>
      <c r="H10" s="754">
        <f>DATEDIF(E10,F10,"M")+1</f>
        <v>2</v>
      </c>
      <c r="I10" s="754">
        <v>50</v>
      </c>
      <c r="J10" s="780">
        <f>H10*I10</f>
        <v>100</v>
      </c>
      <c r="K10" s="753">
        <v>100</v>
      </c>
      <c r="L10" s="781"/>
      <c r="M10" s="739"/>
      <c r="N10" s="75"/>
      <c r="O10" s="32"/>
      <c r="P10" s="253" t="s">
        <v>272</v>
      </c>
      <c r="Q10" s="27"/>
      <c r="R10" s="17"/>
      <c r="S10" s="27"/>
      <c r="T10" s="27"/>
      <c r="U10" s="27"/>
      <c r="V10" s="27"/>
      <c r="W10" s="240">
        <v>45536</v>
      </c>
    </row>
    <row r="11" spans="1:23">
      <c r="A11" s="772" t="s">
        <v>361</v>
      </c>
      <c r="B11" s="13" t="s">
        <v>362</v>
      </c>
      <c r="C11" s="18">
        <v>114</v>
      </c>
      <c r="D11" s="457" t="s">
        <v>77</v>
      </c>
      <c r="E11" s="315">
        <v>45717</v>
      </c>
      <c r="F11" s="315">
        <v>45748</v>
      </c>
      <c r="G11" s="740" t="s">
        <v>300</v>
      </c>
      <c r="H11" s="754">
        <f>DATEDIF(E11,F11,"M")+1</f>
        <v>2</v>
      </c>
      <c r="I11" s="754">
        <v>50</v>
      </c>
      <c r="J11" s="780">
        <f>H11*I11</f>
        <v>100</v>
      </c>
      <c r="K11" s="753">
        <v>100</v>
      </c>
      <c r="L11" s="781"/>
      <c r="M11" s="739"/>
      <c r="N11" s="75"/>
      <c r="O11" s="32"/>
      <c r="P11" s="15"/>
      <c r="Q11" s="27"/>
      <c r="R11" s="17"/>
      <c r="S11" s="27"/>
      <c r="T11" s="27"/>
      <c r="U11" s="27"/>
      <c r="V11" s="27"/>
      <c r="W11" s="240">
        <v>45566</v>
      </c>
    </row>
    <row r="12" spans="1:23">
      <c r="A12" s="772" t="s">
        <v>363</v>
      </c>
      <c r="B12" s="13" t="s">
        <v>364</v>
      </c>
      <c r="C12" s="20">
        <v>181</v>
      </c>
      <c r="D12" s="457" t="s">
        <v>94</v>
      </c>
      <c r="E12" s="315">
        <v>45717</v>
      </c>
      <c r="F12" s="315">
        <v>45748</v>
      </c>
      <c r="G12" s="740" t="s">
        <v>300</v>
      </c>
      <c r="H12" s="754">
        <f>DATEDIF(E12,F12,"M")+1</f>
        <v>2</v>
      </c>
      <c r="I12" s="754">
        <v>50</v>
      </c>
      <c r="J12" s="780">
        <f>H12*I12</f>
        <v>100</v>
      </c>
      <c r="K12" s="753">
        <v>100</v>
      </c>
      <c r="L12" s="781"/>
      <c r="M12" s="739"/>
      <c r="N12" s="75"/>
      <c r="O12" s="32"/>
      <c r="P12" s="19"/>
      <c r="Q12" s="27"/>
      <c r="R12" s="17"/>
      <c r="S12" s="27"/>
      <c r="T12" s="27"/>
      <c r="U12" s="27"/>
      <c r="V12" s="27"/>
      <c r="W12" s="240">
        <v>45597</v>
      </c>
    </row>
    <row r="13" spans="1:23">
      <c r="A13" s="772" t="s">
        <v>363</v>
      </c>
      <c r="B13" s="13" t="s">
        <v>365</v>
      </c>
      <c r="C13" s="18">
        <v>170</v>
      </c>
      <c r="D13" s="457" t="s">
        <v>120</v>
      </c>
      <c r="E13" s="315">
        <v>45717</v>
      </c>
      <c r="F13" s="315">
        <v>45748</v>
      </c>
      <c r="G13" s="740" t="s">
        <v>300</v>
      </c>
      <c r="H13" s="754">
        <f t="shared" ref="H13:H26" si="0">DATEDIF(E13,F13,"M")+1</f>
        <v>2</v>
      </c>
      <c r="I13" s="754">
        <v>50</v>
      </c>
      <c r="J13" s="780">
        <f t="shared" ref="J13:J26" si="1">H13*I13</f>
        <v>100</v>
      </c>
      <c r="K13" s="753">
        <v>100</v>
      </c>
      <c r="L13" s="781"/>
      <c r="M13" s="739"/>
      <c r="N13" s="75"/>
      <c r="O13" s="32"/>
      <c r="P13" s="19"/>
      <c r="Q13" s="27"/>
      <c r="R13" s="17"/>
      <c r="S13" s="27"/>
      <c r="T13" s="27"/>
      <c r="U13" s="27"/>
      <c r="V13" s="27"/>
      <c r="W13" s="240">
        <v>45627</v>
      </c>
    </row>
    <row r="14" spans="1:23">
      <c r="A14" s="772" t="s">
        <v>363</v>
      </c>
      <c r="B14" s="13" t="s">
        <v>366</v>
      </c>
      <c r="C14" s="18">
        <v>177</v>
      </c>
      <c r="D14" s="457" t="s">
        <v>36</v>
      </c>
      <c r="E14" s="315">
        <v>45748</v>
      </c>
      <c r="F14" s="315">
        <v>45809</v>
      </c>
      <c r="G14" s="740" t="s">
        <v>367</v>
      </c>
      <c r="H14" s="754">
        <f t="shared" si="0"/>
        <v>3</v>
      </c>
      <c r="I14" s="754">
        <v>50</v>
      </c>
      <c r="J14" s="780">
        <f t="shared" si="1"/>
        <v>150</v>
      </c>
      <c r="K14" s="753">
        <v>150</v>
      </c>
      <c r="L14" s="782"/>
      <c r="M14" s="739"/>
      <c r="N14" s="78">
        <f>SUM(K10:K14)</f>
        <v>550</v>
      </c>
      <c r="O14" s="32" t="s">
        <v>368</v>
      </c>
      <c r="P14" s="19"/>
      <c r="Q14" s="27"/>
      <c r="R14" s="17"/>
      <c r="S14" s="27"/>
      <c r="T14" s="27"/>
      <c r="U14" s="27"/>
      <c r="V14" s="27"/>
      <c r="W14" s="744">
        <v>45658</v>
      </c>
    </row>
    <row r="15" spans="1:23">
      <c r="A15" s="772" t="s">
        <v>369</v>
      </c>
      <c r="B15" s="13" t="s">
        <v>370</v>
      </c>
      <c r="C15" s="18">
        <v>208</v>
      </c>
      <c r="D15" s="457" t="s">
        <v>83</v>
      </c>
      <c r="E15" s="315">
        <v>45717</v>
      </c>
      <c r="F15" s="315">
        <v>45717</v>
      </c>
      <c r="G15" s="740">
        <v>45717</v>
      </c>
      <c r="H15" s="754">
        <f t="shared" si="0"/>
        <v>1</v>
      </c>
      <c r="I15" s="754">
        <v>50</v>
      </c>
      <c r="J15" s="780">
        <f t="shared" si="1"/>
        <v>50</v>
      </c>
      <c r="K15" s="783">
        <v>50</v>
      </c>
      <c r="L15" s="782"/>
      <c r="M15" s="739"/>
      <c r="N15" s="75"/>
      <c r="O15" s="32"/>
      <c r="P15" s="19"/>
      <c r="Q15" s="27"/>
      <c r="R15" s="17"/>
      <c r="S15" s="27"/>
      <c r="T15" s="27"/>
      <c r="U15" s="27"/>
      <c r="V15" s="27"/>
      <c r="W15" s="744">
        <v>45689</v>
      </c>
    </row>
    <row r="16" spans="1:23">
      <c r="A16" s="772" t="s">
        <v>368</v>
      </c>
      <c r="B16" s="13" t="s">
        <v>371</v>
      </c>
      <c r="C16" s="18">
        <v>227</v>
      </c>
      <c r="D16" s="457" t="s">
        <v>90</v>
      </c>
      <c r="E16" s="315">
        <v>45839</v>
      </c>
      <c r="F16" s="315">
        <v>45992</v>
      </c>
      <c r="G16" s="740" t="s">
        <v>372</v>
      </c>
      <c r="H16" s="754">
        <f t="shared" si="0"/>
        <v>6</v>
      </c>
      <c r="I16" s="754">
        <v>50</v>
      </c>
      <c r="J16" s="780">
        <f t="shared" si="1"/>
        <v>300</v>
      </c>
      <c r="K16" s="783">
        <v>300</v>
      </c>
      <c r="L16" s="781"/>
      <c r="M16" s="739"/>
      <c r="N16" s="75"/>
      <c r="O16" s="32"/>
      <c r="P16" s="19"/>
      <c r="Q16" s="27"/>
      <c r="R16" s="17"/>
      <c r="S16" s="27"/>
      <c r="T16" s="27"/>
      <c r="U16" s="27"/>
      <c r="V16" s="27"/>
      <c r="W16" s="744">
        <v>45717</v>
      </c>
    </row>
    <row r="17" spans="1:23">
      <c r="A17" s="772" t="s">
        <v>368</v>
      </c>
      <c r="B17" s="13" t="s">
        <v>373</v>
      </c>
      <c r="C17" s="18">
        <v>99</v>
      </c>
      <c r="D17" s="457" t="s">
        <v>86</v>
      </c>
      <c r="E17" s="315">
        <v>45717</v>
      </c>
      <c r="F17" s="315">
        <v>45748</v>
      </c>
      <c r="G17" s="740" t="s">
        <v>300</v>
      </c>
      <c r="H17" s="754">
        <f t="shared" si="0"/>
        <v>2</v>
      </c>
      <c r="I17" s="754">
        <v>50</v>
      </c>
      <c r="J17" s="780">
        <f t="shared" si="1"/>
        <v>100</v>
      </c>
      <c r="K17" s="783">
        <v>100</v>
      </c>
      <c r="L17" s="781"/>
      <c r="M17" s="739"/>
      <c r="N17" s="75"/>
      <c r="O17" s="19"/>
      <c r="P17" s="19"/>
      <c r="Q17" s="27"/>
      <c r="R17" s="17"/>
      <c r="S17" s="27"/>
      <c r="T17" s="27"/>
      <c r="U17" s="27"/>
      <c r="V17" s="27"/>
      <c r="W17" s="744">
        <v>45748</v>
      </c>
    </row>
    <row r="18" spans="1:23">
      <c r="A18" s="772" t="s">
        <v>374</v>
      </c>
      <c r="B18" s="13" t="s">
        <v>375</v>
      </c>
      <c r="C18" s="18">
        <v>136</v>
      </c>
      <c r="D18" s="457" t="s">
        <v>376</v>
      </c>
      <c r="E18" s="315">
        <v>45658</v>
      </c>
      <c r="F18" s="315">
        <v>45809</v>
      </c>
      <c r="G18" s="740" t="s">
        <v>377</v>
      </c>
      <c r="H18" s="754">
        <f t="shared" si="0"/>
        <v>6</v>
      </c>
      <c r="I18" s="754">
        <v>50</v>
      </c>
      <c r="J18" s="780">
        <f t="shared" si="1"/>
        <v>300</v>
      </c>
      <c r="K18" s="783">
        <v>300</v>
      </c>
      <c r="L18" s="781"/>
      <c r="M18" s="739"/>
      <c r="N18" s="75"/>
      <c r="O18" s="19"/>
      <c r="P18" s="19"/>
      <c r="Q18" s="27"/>
      <c r="R18" s="17"/>
      <c r="S18" s="27"/>
      <c r="T18" s="27"/>
      <c r="U18" s="27"/>
      <c r="V18" s="27"/>
      <c r="W18" s="744">
        <v>45778</v>
      </c>
    </row>
    <row r="19" spans="1:23" ht="18.75" customHeight="1">
      <c r="A19" s="772" t="s">
        <v>374</v>
      </c>
      <c r="B19" s="13" t="s">
        <v>378</v>
      </c>
      <c r="C19" s="18">
        <v>180</v>
      </c>
      <c r="D19" s="457" t="s">
        <v>379</v>
      </c>
      <c r="E19" s="315">
        <v>45658</v>
      </c>
      <c r="F19" s="315">
        <v>45717</v>
      </c>
      <c r="G19" s="740" t="s">
        <v>34</v>
      </c>
      <c r="H19" s="754">
        <f t="shared" si="0"/>
        <v>3</v>
      </c>
      <c r="I19" s="754">
        <v>50</v>
      </c>
      <c r="J19" s="780">
        <f t="shared" si="1"/>
        <v>150</v>
      </c>
      <c r="K19" s="783">
        <v>150</v>
      </c>
      <c r="L19" s="781"/>
      <c r="M19" s="739"/>
      <c r="N19" s="38"/>
      <c r="O19" s="19"/>
      <c r="P19" s="19"/>
      <c r="Q19" s="27"/>
      <c r="R19" s="17"/>
      <c r="S19" s="27"/>
      <c r="T19" s="27"/>
      <c r="U19" s="27"/>
      <c r="V19" s="27"/>
      <c r="W19" s="744">
        <v>45809</v>
      </c>
    </row>
    <row r="20" spans="1:23">
      <c r="A20" s="772" t="s">
        <v>374</v>
      </c>
      <c r="B20" s="13" t="s">
        <v>380</v>
      </c>
      <c r="C20" s="18">
        <v>72</v>
      </c>
      <c r="D20" s="457" t="s">
        <v>381</v>
      </c>
      <c r="E20" s="315">
        <v>45658</v>
      </c>
      <c r="F20" s="315">
        <v>45717</v>
      </c>
      <c r="G20" s="740" t="s">
        <v>34</v>
      </c>
      <c r="H20" s="754">
        <f t="shared" si="0"/>
        <v>3</v>
      </c>
      <c r="I20" s="754">
        <v>50</v>
      </c>
      <c r="J20" s="780">
        <f t="shared" si="1"/>
        <v>150</v>
      </c>
      <c r="K20" s="783">
        <v>150</v>
      </c>
      <c r="L20" s="781"/>
      <c r="M20" s="739"/>
      <c r="N20" s="75"/>
      <c r="O20" s="19"/>
      <c r="P20" s="19"/>
      <c r="Q20" s="27"/>
      <c r="R20" s="17"/>
      <c r="S20" s="27"/>
      <c r="T20" s="27"/>
      <c r="U20" s="27"/>
      <c r="V20" s="27"/>
      <c r="W20" s="744">
        <v>45839</v>
      </c>
    </row>
    <row r="21" spans="1:23">
      <c r="A21" s="772" t="s">
        <v>374</v>
      </c>
      <c r="B21" s="13" t="s">
        <v>382</v>
      </c>
      <c r="C21" s="18">
        <v>86</v>
      </c>
      <c r="D21" s="457" t="s">
        <v>383</v>
      </c>
      <c r="E21" s="315">
        <v>45658</v>
      </c>
      <c r="F21" s="315">
        <v>45717</v>
      </c>
      <c r="G21" s="740" t="s">
        <v>34</v>
      </c>
      <c r="H21" s="754">
        <f t="shared" si="0"/>
        <v>3</v>
      </c>
      <c r="I21" s="754">
        <v>50</v>
      </c>
      <c r="J21" s="780">
        <f t="shared" si="1"/>
        <v>150</v>
      </c>
      <c r="K21" s="783">
        <v>150</v>
      </c>
      <c r="L21" s="781"/>
      <c r="M21" s="739"/>
      <c r="N21" s="38"/>
      <c r="O21" s="19"/>
      <c r="P21" s="19"/>
      <c r="Q21" s="27"/>
      <c r="R21" s="17"/>
      <c r="S21" s="27"/>
      <c r="T21" s="27"/>
      <c r="U21" s="27"/>
      <c r="V21" s="27"/>
      <c r="W21" s="744">
        <v>45870</v>
      </c>
    </row>
    <row r="22" spans="1:23">
      <c r="A22" s="772" t="s">
        <v>374</v>
      </c>
      <c r="B22" s="13" t="s">
        <v>384</v>
      </c>
      <c r="C22" s="18">
        <v>214</v>
      </c>
      <c r="D22" s="457" t="s">
        <v>385</v>
      </c>
      <c r="E22" s="315">
        <v>45748</v>
      </c>
      <c r="F22" s="315">
        <v>45809</v>
      </c>
      <c r="G22" s="740" t="s">
        <v>367</v>
      </c>
      <c r="H22" s="754">
        <f t="shared" si="0"/>
        <v>3</v>
      </c>
      <c r="I22" s="754">
        <v>50</v>
      </c>
      <c r="J22" s="780">
        <f t="shared" si="1"/>
        <v>150</v>
      </c>
      <c r="K22" s="783">
        <v>150</v>
      </c>
      <c r="L22" s="781"/>
      <c r="M22" s="739"/>
      <c r="N22" s="75"/>
      <c r="O22" s="31"/>
      <c r="P22" s="19"/>
      <c r="Q22" s="27"/>
      <c r="R22" s="17"/>
      <c r="S22" s="27"/>
      <c r="T22" s="27"/>
      <c r="U22" s="27"/>
      <c r="V22" s="27"/>
      <c r="W22" s="744">
        <v>45901</v>
      </c>
    </row>
    <row r="23" spans="1:23">
      <c r="A23" s="772" t="s">
        <v>374</v>
      </c>
      <c r="B23" s="13" t="s">
        <v>386</v>
      </c>
      <c r="C23" s="18">
        <v>184</v>
      </c>
      <c r="D23" s="457" t="s">
        <v>288</v>
      </c>
      <c r="E23" s="315">
        <v>45717</v>
      </c>
      <c r="F23" s="315">
        <v>45717</v>
      </c>
      <c r="G23" s="740">
        <v>45717</v>
      </c>
      <c r="H23" s="754">
        <f t="shared" si="0"/>
        <v>1</v>
      </c>
      <c r="I23" s="754">
        <v>50</v>
      </c>
      <c r="J23" s="780">
        <f t="shared" si="1"/>
        <v>50</v>
      </c>
      <c r="K23" s="783">
        <v>50</v>
      </c>
      <c r="L23" s="781"/>
      <c r="M23" s="739"/>
      <c r="N23" s="75"/>
      <c r="O23" s="31"/>
      <c r="P23" s="19"/>
      <c r="Q23" s="27"/>
      <c r="R23" s="17"/>
      <c r="S23" s="27"/>
      <c r="T23" s="27"/>
      <c r="U23" s="27"/>
      <c r="V23" s="27"/>
      <c r="W23" s="744">
        <v>45931</v>
      </c>
    </row>
    <row r="24" spans="1:23">
      <c r="A24" s="772" t="s">
        <v>387</v>
      </c>
      <c r="B24" s="13" t="s">
        <v>388</v>
      </c>
      <c r="C24" s="18">
        <v>134</v>
      </c>
      <c r="D24" s="457" t="s">
        <v>389</v>
      </c>
      <c r="E24" s="315">
        <v>45658</v>
      </c>
      <c r="F24" s="315">
        <v>45809</v>
      </c>
      <c r="G24" s="740" t="s">
        <v>31</v>
      </c>
      <c r="H24" s="754">
        <f t="shared" si="0"/>
        <v>6</v>
      </c>
      <c r="I24" s="754">
        <v>50</v>
      </c>
      <c r="J24" s="780">
        <f t="shared" si="1"/>
        <v>300</v>
      </c>
      <c r="K24" s="783">
        <v>300</v>
      </c>
      <c r="L24" s="781"/>
      <c r="M24" s="739"/>
      <c r="N24" s="75"/>
      <c r="O24" s="40"/>
      <c r="P24" s="16"/>
      <c r="Q24" s="27"/>
      <c r="R24" s="17"/>
      <c r="S24" s="27"/>
      <c r="T24" s="27"/>
      <c r="U24" s="27"/>
      <c r="V24" s="27"/>
      <c r="W24" s="744">
        <v>45962</v>
      </c>
    </row>
    <row r="25" spans="1:23">
      <c r="A25" s="772" t="s">
        <v>387</v>
      </c>
      <c r="B25" s="13" t="s">
        <v>390</v>
      </c>
      <c r="C25" s="18">
        <v>135</v>
      </c>
      <c r="D25" s="457" t="s">
        <v>391</v>
      </c>
      <c r="E25" s="315">
        <v>45658</v>
      </c>
      <c r="F25" s="315">
        <v>45809</v>
      </c>
      <c r="G25" s="740" t="s">
        <v>31</v>
      </c>
      <c r="H25" s="754">
        <f t="shared" si="0"/>
        <v>6</v>
      </c>
      <c r="I25" s="754">
        <v>50</v>
      </c>
      <c r="J25" s="780">
        <f t="shared" si="1"/>
        <v>300</v>
      </c>
      <c r="K25" s="783">
        <v>300</v>
      </c>
      <c r="L25" s="781"/>
      <c r="M25" s="739"/>
      <c r="N25" s="38"/>
      <c r="O25" s="19"/>
      <c r="P25" s="19"/>
      <c r="Q25" s="27"/>
      <c r="R25" s="17"/>
      <c r="S25" s="27"/>
      <c r="T25" s="27"/>
      <c r="U25" s="27"/>
      <c r="V25" s="27"/>
      <c r="W25" s="744">
        <v>45992</v>
      </c>
    </row>
    <row r="26" spans="1:23">
      <c r="A26" s="772" t="s">
        <v>392</v>
      </c>
      <c r="B26" s="13" t="s">
        <v>393</v>
      </c>
      <c r="C26" s="18">
        <v>164</v>
      </c>
      <c r="D26" s="457" t="s">
        <v>316</v>
      </c>
      <c r="E26" s="315">
        <v>45778</v>
      </c>
      <c r="F26" s="315">
        <v>45992</v>
      </c>
      <c r="G26" s="740" t="s">
        <v>394</v>
      </c>
      <c r="H26" s="754">
        <f t="shared" si="0"/>
        <v>8</v>
      </c>
      <c r="I26" s="754">
        <v>50</v>
      </c>
      <c r="J26" s="780">
        <f t="shared" si="1"/>
        <v>400</v>
      </c>
      <c r="K26" s="783">
        <v>400</v>
      </c>
      <c r="L26" s="781"/>
      <c r="M26" s="739"/>
      <c r="N26" s="79">
        <f>SUM(K15:K26)</f>
        <v>2400</v>
      </c>
      <c r="O26" s="19" t="s">
        <v>395</v>
      </c>
      <c r="P26" s="19"/>
      <c r="Q26" s="27"/>
      <c r="R26" s="17"/>
      <c r="S26" s="27"/>
      <c r="T26" s="27"/>
      <c r="U26" s="27"/>
      <c r="V26" s="27"/>
      <c r="W26" s="744">
        <v>46023</v>
      </c>
    </row>
    <row r="27" spans="1:23">
      <c r="A27" s="772"/>
      <c r="B27" s="13"/>
      <c r="C27" s="18"/>
      <c r="D27" s="457"/>
      <c r="E27" s="315"/>
      <c r="F27" s="315"/>
      <c r="G27" s="740"/>
      <c r="H27" s="754"/>
      <c r="I27" s="754"/>
      <c r="J27" s="780"/>
      <c r="K27" s="739"/>
      <c r="L27" s="781"/>
      <c r="M27" s="739"/>
      <c r="N27" s="38"/>
      <c r="O27" s="19"/>
      <c r="P27" s="19"/>
      <c r="Q27" s="27"/>
      <c r="R27" s="17"/>
      <c r="S27" s="27"/>
      <c r="T27" s="27"/>
      <c r="U27" s="27"/>
      <c r="V27" s="27"/>
      <c r="W27" s="744">
        <v>46054</v>
      </c>
    </row>
    <row r="28" spans="1:23">
      <c r="A28" s="772"/>
      <c r="B28" s="13"/>
      <c r="C28" s="18"/>
      <c r="D28" s="457"/>
      <c r="E28" s="315"/>
      <c r="F28" s="315"/>
      <c r="G28" s="740"/>
      <c r="H28" s="754"/>
      <c r="I28" s="754"/>
      <c r="J28" s="780"/>
      <c r="K28" s="739"/>
      <c r="L28" s="781"/>
      <c r="M28" s="739"/>
      <c r="N28" s="38"/>
      <c r="O28" s="19"/>
      <c r="P28" s="19"/>
      <c r="Q28" s="27"/>
      <c r="R28" s="17"/>
      <c r="S28" s="27"/>
      <c r="T28" s="27"/>
      <c r="U28" s="27"/>
      <c r="V28" s="27"/>
      <c r="W28" s="744">
        <v>46082</v>
      </c>
    </row>
    <row r="29" spans="1:23">
      <c r="A29" s="772"/>
      <c r="B29" s="13"/>
      <c r="C29" s="18"/>
      <c r="D29" s="457"/>
      <c r="E29" s="315"/>
      <c r="F29" s="315"/>
      <c r="G29" s="740"/>
      <c r="H29" s="740"/>
      <c r="I29" s="740"/>
      <c r="J29" s="780"/>
      <c r="K29" s="739"/>
      <c r="L29" s="781"/>
      <c r="M29" s="739"/>
      <c r="N29" s="38"/>
      <c r="O29" s="19"/>
      <c r="P29" s="19"/>
      <c r="Q29" s="27"/>
      <c r="R29" s="17"/>
      <c r="S29" s="27"/>
      <c r="T29" s="27"/>
      <c r="U29" s="27"/>
      <c r="V29" s="27"/>
      <c r="W29" s="744">
        <v>46113</v>
      </c>
    </row>
    <row r="30" spans="1:23">
      <c r="A30" s="772"/>
      <c r="B30" s="13"/>
      <c r="C30" s="18"/>
      <c r="D30" s="457"/>
      <c r="E30" s="315"/>
      <c r="F30" s="315"/>
      <c r="G30" s="740"/>
      <c r="H30" s="740"/>
      <c r="I30" s="740"/>
      <c r="J30" s="780"/>
      <c r="K30" s="739"/>
      <c r="L30" s="781"/>
      <c r="M30" s="739"/>
      <c r="N30" s="38"/>
      <c r="O30" s="19"/>
      <c r="P30" s="19"/>
      <c r="Q30" s="27"/>
      <c r="R30" s="17"/>
      <c r="S30" s="27"/>
      <c r="T30" s="27"/>
      <c r="U30" s="27"/>
      <c r="V30" s="27"/>
      <c r="W30" s="744">
        <v>46143</v>
      </c>
    </row>
    <row r="31" spans="1:23">
      <c r="A31" s="772"/>
      <c r="B31" s="13"/>
      <c r="C31" s="18"/>
      <c r="D31" s="457"/>
      <c r="E31" s="315"/>
      <c r="F31" s="315"/>
      <c r="G31" s="740"/>
      <c r="H31" s="740"/>
      <c r="I31" s="740"/>
      <c r="J31" s="780"/>
      <c r="K31" s="739"/>
      <c r="L31" s="781"/>
      <c r="M31" s="739"/>
      <c r="N31" s="38"/>
      <c r="O31" s="19"/>
      <c r="P31" s="19"/>
      <c r="Q31" s="27"/>
      <c r="R31" s="17"/>
      <c r="S31" s="27"/>
      <c r="T31" s="27"/>
      <c r="U31" s="27"/>
      <c r="V31" s="27"/>
      <c r="W31" s="744">
        <v>46174</v>
      </c>
    </row>
    <row r="32" spans="1:23">
      <c r="A32" s="772"/>
      <c r="B32" s="13"/>
      <c r="C32" s="18"/>
      <c r="D32" s="457"/>
      <c r="E32" s="315"/>
      <c r="F32" s="315"/>
      <c r="G32" s="740"/>
      <c r="H32" s="740"/>
      <c r="I32" s="740"/>
      <c r="J32" s="780"/>
      <c r="K32" s="739"/>
      <c r="L32" s="781"/>
      <c r="M32" s="739"/>
      <c r="N32" s="75"/>
      <c r="O32" s="19"/>
      <c r="P32" s="19"/>
      <c r="Q32" s="27"/>
      <c r="R32" s="17"/>
      <c r="S32" s="27"/>
      <c r="T32" s="27"/>
      <c r="U32" s="27"/>
      <c r="V32" s="27"/>
      <c r="W32" s="744">
        <v>46204</v>
      </c>
    </row>
    <row r="33" spans="1:23">
      <c r="A33" s="772"/>
      <c r="B33" s="13"/>
      <c r="C33" s="18"/>
      <c r="D33" s="457"/>
      <c r="E33" s="315"/>
      <c r="F33" s="315"/>
      <c r="G33" s="740"/>
      <c r="H33" s="754"/>
      <c r="I33" s="754"/>
      <c r="J33" s="780"/>
      <c r="K33" s="739"/>
      <c r="L33" s="781"/>
      <c r="M33" s="739"/>
      <c r="N33" s="38"/>
      <c r="O33" s="19"/>
      <c r="P33" s="19"/>
      <c r="Q33" s="27"/>
      <c r="R33" s="27"/>
      <c r="S33" s="27"/>
      <c r="T33" s="27"/>
      <c r="U33" s="27"/>
      <c r="V33" s="27"/>
      <c r="W33" s="744">
        <v>46235</v>
      </c>
    </row>
    <row r="34" spans="1:23">
      <c r="A34" s="772"/>
      <c r="B34" s="13"/>
      <c r="C34" s="18"/>
      <c r="D34" s="457"/>
      <c r="E34" s="315"/>
      <c r="F34" s="315"/>
      <c r="G34" s="740"/>
      <c r="H34" s="754"/>
      <c r="I34" s="754"/>
      <c r="J34" s="780"/>
      <c r="K34" s="739"/>
      <c r="L34" s="739"/>
      <c r="M34" s="739"/>
      <c r="N34" s="19"/>
      <c r="O34" s="19"/>
      <c r="P34" s="16"/>
      <c r="Q34" s="27"/>
      <c r="R34" s="27"/>
      <c r="S34" s="27"/>
      <c r="T34" s="27"/>
      <c r="U34" s="27"/>
      <c r="V34" s="27"/>
      <c r="W34" s="744">
        <v>46266</v>
      </c>
    </row>
    <row r="35" spans="1:23">
      <c r="A35" s="784" t="s">
        <v>359</v>
      </c>
      <c r="B35" s="271" t="s">
        <v>396</v>
      </c>
      <c r="C35" s="22">
        <v>14</v>
      </c>
      <c r="D35" s="457" t="s">
        <v>397</v>
      </c>
      <c r="E35" s="315">
        <v>45597</v>
      </c>
      <c r="F35" s="315">
        <v>45748</v>
      </c>
      <c r="G35" s="16" t="s">
        <v>398</v>
      </c>
      <c r="H35" s="754">
        <f t="shared" ref="H35:H46" si="2">DATEDIF(E35,F35,"M")+1</f>
        <v>6</v>
      </c>
      <c r="I35" s="754">
        <v>50</v>
      </c>
      <c r="J35" s="780">
        <f t="shared" ref="J35:J46" si="3">H35*I35</f>
        <v>300</v>
      </c>
      <c r="K35" s="739"/>
      <c r="L35" s="781"/>
      <c r="M35" s="49">
        <v>300</v>
      </c>
      <c r="N35" s="38"/>
      <c r="O35" s="25" t="s">
        <v>166</v>
      </c>
      <c r="P35" s="16" t="s">
        <v>125</v>
      </c>
      <c r="Q35" s="76" t="s">
        <v>399</v>
      </c>
      <c r="R35" s="27"/>
      <c r="S35" s="27"/>
      <c r="T35" s="27"/>
      <c r="U35" s="27"/>
      <c r="V35" s="27"/>
      <c r="W35" s="744">
        <v>46296</v>
      </c>
    </row>
    <row r="36" spans="1:23">
      <c r="A36" s="772" t="s">
        <v>361</v>
      </c>
      <c r="B36" s="271" t="s">
        <v>400</v>
      </c>
      <c r="C36" s="18">
        <v>116</v>
      </c>
      <c r="D36" s="457" t="s">
        <v>132</v>
      </c>
      <c r="E36" s="315">
        <v>45717</v>
      </c>
      <c r="F36" s="315">
        <v>45717</v>
      </c>
      <c r="G36" s="252">
        <v>45717</v>
      </c>
      <c r="H36" s="754">
        <f t="shared" si="2"/>
        <v>1</v>
      </c>
      <c r="I36" s="754">
        <v>50</v>
      </c>
      <c r="J36" s="780">
        <f t="shared" si="3"/>
        <v>50</v>
      </c>
      <c r="K36" s="739"/>
      <c r="L36" s="739"/>
      <c r="M36" s="739">
        <v>50</v>
      </c>
      <c r="N36" s="19"/>
      <c r="O36" s="19"/>
      <c r="P36" s="16" t="s">
        <v>125</v>
      </c>
      <c r="Q36" s="27" t="s">
        <v>133</v>
      </c>
      <c r="R36" s="27"/>
      <c r="S36" s="27"/>
      <c r="T36" s="27"/>
      <c r="U36" s="27"/>
      <c r="V36" s="27"/>
      <c r="W36" s="744">
        <v>46327</v>
      </c>
    </row>
    <row r="37" spans="1:23">
      <c r="A37" s="772" t="s">
        <v>361</v>
      </c>
      <c r="B37" s="271" t="s">
        <v>401</v>
      </c>
      <c r="C37" s="18">
        <v>117</v>
      </c>
      <c r="D37" s="458" t="s">
        <v>135</v>
      </c>
      <c r="E37" s="315">
        <v>45717</v>
      </c>
      <c r="F37" s="315">
        <v>45717</v>
      </c>
      <c r="G37" s="252">
        <v>45717</v>
      </c>
      <c r="H37" s="754">
        <f t="shared" si="2"/>
        <v>1</v>
      </c>
      <c r="I37" s="754">
        <v>50</v>
      </c>
      <c r="J37" s="780">
        <f t="shared" si="3"/>
        <v>50</v>
      </c>
      <c r="K37" s="739"/>
      <c r="L37" s="739"/>
      <c r="M37" s="739">
        <v>50</v>
      </c>
      <c r="N37" s="46"/>
      <c r="O37" s="46"/>
      <c r="P37" s="16" t="s">
        <v>125</v>
      </c>
      <c r="Q37" t="s">
        <v>136</v>
      </c>
      <c r="R37" s="27"/>
      <c r="S37" s="27"/>
      <c r="T37" s="27"/>
      <c r="U37" s="27"/>
      <c r="V37" s="27"/>
      <c r="W37" s="744">
        <v>46357</v>
      </c>
    </row>
    <row r="38" spans="1:23">
      <c r="A38" s="772" t="s">
        <v>361</v>
      </c>
      <c r="B38" s="271" t="s">
        <v>402</v>
      </c>
      <c r="C38" s="34">
        <v>162</v>
      </c>
      <c r="D38" s="458" t="s">
        <v>123</v>
      </c>
      <c r="E38" s="315">
        <v>45717</v>
      </c>
      <c r="F38" s="315">
        <v>45748</v>
      </c>
      <c r="G38" s="740" t="s">
        <v>300</v>
      </c>
      <c r="H38" s="754">
        <f t="shared" si="2"/>
        <v>2</v>
      </c>
      <c r="I38" s="754">
        <v>50</v>
      </c>
      <c r="J38" s="780">
        <f t="shared" si="3"/>
        <v>100</v>
      </c>
      <c r="K38" s="739"/>
      <c r="L38" s="781"/>
      <c r="M38" s="50">
        <v>100</v>
      </c>
      <c r="N38" s="38"/>
      <c r="O38" s="19"/>
      <c r="P38" s="16" t="s">
        <v>125</v>
      </c>
      <c r="Q38" s="76" t="s">
        <v>126</v>
      </c>
      <c r="R38" s="27"/>
      <c r="S38" s="27"/>
      <c r="T38" s="27"/>
      <c r="U38" s="27"/>
      <c r="V38" s="27"/>
      <c r="W38" s="744">
        <v>46388</v>
      </c>
    </row>
    <row r="39" spans="1:23">
      <c r="A39" s="772" t="s">
        <v>363</v>
      </c>
      <c r="B39" s="271" t="s">
        <v>403</v>
      </c>
      <c r="C39" s="22">
        <v>123</v>
      </c>
      <c r="D39" s="457" t="s">
        <v>196</v>
      </c>
      <c r="E39" s="315">
        <v>45717</v>
      </c>
      <c r="F39" s="315">
        <v>45748</v>
      </c>
      <c r="G39" s="740" t="s">
        <v>300</v>
      </c>
      <c r="H39" s="754">
        <f t="shared" si="2"/>
        <v>2</v>
      </c>
      <c r="I39" s="754">
        <v>50</v>
      </c>
      <c r="J39" s="780">
        <f t="shared" si="3"/>
        <v>100</v>
      </c>
      <c r="K39" s="739"/>
      <c r="L39" s="781"/>
      <c r="M39" s="49">
        <v>100</v>
      </c>
      <c r="N39" s="38"/>
      <c r="O39" s="19"/>
      <c r="P39" s="16" t="s">
        <v>125</v>
      </c>
      <c r="Q39" s="76" t="s">
        <v>197</v>
      </c>
      <c r="R39" s="27"/>
      <c r="S39" s="27"/>
      <c r="T39" s="27"/>
      <c r="U39" s="27"/>
      <c r="V39" s="27"/>
      <c r="W39" s="749"/>
    </row>
    <row r="40" spans="1:23">
      <c r="A40" s="772" t="s">
        <v>404</v>
      </c>
      <c r="B40" s="271" t="s">
        <v>405</v>
      </c>
      <c r="C40" s="33">
        <v>40</v>
      </c>
      <c r="D40" s="457" t="s">
        <v>333</v>
      </c>
      <c r="E40" s="315">
        <v>45870</v>
      </c>
      <c r="F40" s="315">
        <v>45931</v>
      </c>
      <c r="G40" s="332" t="s">
        <v>406</v>
      </c>
      <c r="H40" s="754">
        <f t="shared" si="2"/>
        <v>3</v>
      </c>
      <c r="I40" s="754">
        <v>50</v>
      </c>
      <c r="J40" s="780">
        <f t="shared" si="3"/>
        <v>150</v>
      </c>
      <c r="K40" s="739"/>
      <c r="L40" s="781"/>
      <c r="M40" s="49">
        <v>150</v>
      </c>
      <c r="N40" s="38"/>
      <c r="O40" s="19"/>
      <c r="P40" s="16" t="s">
        <v>125</v>
      </c>
      <c r="Q40" s="76" t="s">
        <v>333</v>
      </c>
      <c r="R40" s="27"/>
      <c r="S40" s="27"/>
      <c r="T40" s="27"/>
      <c r="U40" s="27"/>
      <c r="V40" s="27"/>
      <c r="W40" s="749"/>
    </row>
    <row r="41" spans="1:23">
      <c r="A41" s="772" t="s">
        <v>407</v>
      </c>
      <c r="B41" s="271" t="s">
        <v>408</v>
      </c>
      <c r="C41" s="18">
        <v>104</v>
      </c>
      <c r="D41" s="459" t="s">
        <v>141</v>
      </c>
      <c r="E41" s="315">
        <v>45717</v>
      </c>
      <c r="F41" s="315">
        <v>45748</v>
      </c>
      <c r="G41" s="740" t="s">
        <v>300</v>
      </c>
      <c r="H41" s="754">
        <f t="shared" si="2"/>
        <v>2</v>
      </c>
      <c r="I41" s="754">
        <v>50</v>
      </c>
      <c r="J41" s="780">
        <f t="shared" si="3"/>
        <v>100</v>
      </c>
      <c r="K41" s="739"/>
      <c r="L41" s="781"/>
      <c r="M41" s="49">
        <v>100</v>
      </c>
      <c r="N41" s="38"/>
      <c r="O41" s="19"/>
      <c r="P41" s="16" t="s">
        <v>125</v>
      </c>
      <c r="Q41" s="76" t="s">
        <v>142</v>
      </c>
      <c r="R41" s="27"/>
      <c r="S41" s="27"/>
      <c r="T41" s="27"/>
      <c r="U41" s="27"/>
      <c r="V41" s="27"/>
      <c r="W41" s="749"/>
    </row>
    <row r="42" spans="1:23">
      <c r="A42" s="772" t="s">
        <v>409</v>
      </c>
      <c r="B42" s="271" t="s">
        <v>410</v>
      </c>
      <c r="C42" s="22">
        <v>137</v>
      </c>
      <c r="D42" s="457" t="s">
        <v>165</v>
      </c>
      <c r="E42" s="315">
        <v>45717</v>
      </c>
      <c r="F42" s="315">
        <v>45717</v>
      </c>
      <c r="G42" s="740">
        <v>45717</v>
      </c>
      <c r="H42" s="754">
        <f t="shared" si="2"/>
        <v>1</v>
      </c>
      <c r="I42" s="754">
        <v>50</v>
      </c>
      <c r="J42" s="780">
        <f t="shared" si="3"/>
        <v>50</v>
      </c>
      <c r="K42" s="739"/>
      <c r="L42" s="781"/>
      <c r="M42" s="739">
        <v>50</v>
      </c>
      <c r="N42" s="38"/>
      <c r="O42" s="19"/>
      <c r="P42" s="16" t="s">
        <v>167</v>
      </c>
      <c r="Q42" s="76"/>
      <c r="R42" s="27"/>
      <c r="S42" s="27"/>
      <c r="T42" s="27"/>
      <c r="U42" s="27"/>
      <c r="V42" s="27"/>
      <c r="W42" s="749"/>
    </row>
    <row r="43" spans="1:23">
      <c r="A43" s="772" t="s">
        <v>411</v>
      </c>
      <c r="B43" s="271" t="s">
        <v>412</v>
      </c>
      <c r="C43" s="18">
        <v>155</v>
      </c>
      <c r="D43" s="457" t="s">
        <v>172</v>
      </c>
      <c r="E43" s="315">
        <v>45717</v>
      </c>
      <c r="F43" s="315">
        <v>45748</v>
      </c>
      <c r="G43" s="740" t="s">
        <v>300</v>
      </c>
      <c r="H43" s="754">
        <f t="shared" si="2"/>
        <v>2</v>
      </c>
      <c r="I43" s="754">
        <v>50</v>
      </c>
      <c r="J43" s="780">
        <f t="shared" si="3"/>
        <v>100</v>
      </c>
      <c r="K43" s="739"/>
      <c r="L43" s="781"/>
      <c r="M43" s="49">
        <v>100</v>
      </c>
      <c r="N43" s="27"/>
      <c r="O43" s="19"/>
      <c r="P43" s="16" t="s">
        <v>125</v>
      </c>
      <c r="Q43" s="76" t="s">
        <v>173</v>
      </c>
      <c r="R43" s="27"/>
      <c r="S43" s="27"/>
      <c r="T43" s="27"/>
      <c r="U43" s="27"/>
      <c r="V43" s="27"/>
      <c r="W43" s="749"/>
    </row>
    <row r="44" spans="1:23">
      <c r="A44" s="785" t="s">
        <v>411</v>
      </c>
      <c r="B44" s="271" t="s">
        <v>413</v>
      </c>
      <c r="C44" s="22">
        <v>87</v>
      </c>
      <c r="D44" s="457" t="s">
        <v>414</v>
      </c>
      <c r="E44" s="315">
        <v>45658</v>
      </c>
      <c r="F44" s="315">
        <v>45992</v>
      </c>
      <c r="G44" s="42" t="s">
        <v>415</v>
      </c>
      <c r="H44" s="754">
        <f t="shared" si="2"/>
        <v>12</v>
      </c>
      <c r="I44" s="754">
        <v>50</v>
      </c>
      <c r="J44" s="780">
        <f t="shared" si="3"/>
        <v>600</v>
      </c>
      <c r="K44" s="739"/>
      <c r="L44" s="781"/>
      <c r="M44" s="49">
        <v>600</v>
      </c>
      <c r="N44" s="38"/>
      <c r="O44" s="19"/>
      <c r="P44" s="16" t="s">
        <v>125</v>
      </c>
      <c r="Q44" s="76" t="s">
        <v>416</v>
      </c>
      <c r="R44" s="27"/>
      <c r="S44" s="27"/>
      <c r="T44" s="27"/>
      <c r="U44" s="27"/>
      <c r="V44" s="27"/>
      <c r="W44" s="749"/>
    </row>
    <row r="45" spans="1:23">
      <c r="A45" s="222" t="s">
        <v>417</v>
      </c>
      <c r="B45" s="271" t="s">
        <v>418</v>
      </c>
      <c r="C45" s="221">
        <v>139</v>
      </c>
      <c r="D45" s="459" t="s">
        <v>419</v>
      </c>
      <c r="E45" s="315">
        <v>45658</v>
      </c>
      <c r="F45" s="315">
        <v>45992</v>
      </c>
      <c r="G45" s="223" t="s">
        <v>415</v>
      </c>
      <c r="H45" s="754">
        <f t="shared" si="2"/>
        <v>12</v>
      </c>
      <c r="I45" s="754">
        <v>50</v>
      </c>
      <c r="J45" s="780">
        <f t="shared" si="3"/>
        <v>600</v>
      </c>
      <c r="K45" s="739"/>
      <c r="L45" s="781"/>
      <c r="M45" s="224">
        <v>600</v>
      </c>
      <c r="N45" s="38"/>
      <c r="O45" s="19"/>
      <c r="P45" s="16" t="s">
        <v>125</v>
      </c>
      <c r="Q45" s="76" t="s">
        <v>420</v>
      </c>
      <c r="R45" s="27"/>
      <c r="S45" s="27"/>
      <c r="T45" s="27"/>
      <c r="U45" s="27"/>
      <c r="V45" s="27"/>
      <c r="W45" s="749"/>
    </row>
    <row r="46" spans="1:23">
      <c r="A46" s="222" t="s">
        <v>417</v>
      </c>
      <c r="B46" s="271" t="s">
        <v>421</v>
      </c>
      <c r="C46" s="225">
        <v>61</v>
      </c>
      <c r="D46" s="457" t="s">
        <v>422</v>
      </c>
      <c r="E46" s="315">
        <v>45839</v>
      </c>
      <c r="F46" s="315">
        <v>46174</v>
      </c>
      <c r="G46" s="223" t="s">
        <v>415</v>
      </c>
      <c r="H46" s="754">
        <f t="shared" si="2"/>
        <v>12</v>
      </c>
      <c r="I46" s="754">
        <v>50</v>
      </c>
      <c r="J46" s="780">
        <f t="shared" si="3"/>
        <v>600</v>
      </c>
      <c r="K46" s="739"/>
      <c r="L46" s="781"/>
      <c r="M46" s="224">
        <v>600</v>
      </c>
      <c r="N46" s="38"/>
      <c r="O46" s="19"/>
      <c r="P46" s="16" t="s">
        <v>125</v>
      </c>
      <c r="Q46" s="76" t="s">
        <v>423</v>
      </c>
      <c r="R46" s="27"/>
      <c r="S46" s="27"/>
      <c r="T46" s="27"/>
      <c r="U46" s="27"/>
      <c r="V46" s="27"/>
      <c r="W46" s="749"/>
    </row>
    <row r="47" spans="1:23">
      <c r="A47" s="222" t="s">
        <v>368</v>
      </c>
      <c r="B47" s="271" t="s">
        <v>424</v>
      </c>
      <c r="C47" s="218">
        <v>54</v>
      </c>
      <c r="D47" s="459" t="s">
        <v>285</v>
      </c>
      <c r="E47" s="315">
        <v>45748</v>
      </c>
      <c r="F47" s="315">
        <v>46023</v>
      </c>
      <c r="G47" s="254" t="s">
        <v>425</v>
      </c>
      <c r="H47" s="754">
        <f t="shared" ref="H47:H65" si="4">DATEDIF(E47,F47,"M")+1</f>
        <v>10</v>
      </c>
      <c r="I47" s="754">
        <v>50</v>
      </c>
      <c r="J47" s="780">
        <f t="shared" ref="J47:J65" si="5">H47*I47</f>
        <v>500</v>
      </c>
      <c r="K47" s="739"/>
      <c r="L47" s="781"/>
      <c r="M47" s="224">
        <v>500</v>
      </c>
      <c r="N47" s="38"/>
      <c r="O47" s="19"/>
      <c r="P47" s="16" t="s">
        <v>125</v>
      </c>
      <c r="Q47" s="76" t="s">
        <v>426</v>
      </c>
      <c r="R47" s="27"/>
      <c r="S47" s="27"/>
      <c r="T47" s="27"/>
      <c r="U47" s="27"/>
      <c r="V47" s="27"/>
      <c r="W47" s="749"/>
    </row>
    <row r="48" spans="1:23">
      <c r="A48" s="222" t="s">
        <v>427</v>
      </c>
      <c r="B48" s="271" t="s">
        <v>428</v>
      </c>
      <c r="C48" s="218">
        <v>145</v>
      </c>
      <c r="D48" s="458" t="s">
        <v>429</v>
      </c>
      <c r="E48" s="315">
        <v>45658</v>
      </c>
      <c r="F48" s="315">
        <v>45748</v>
      </c>
      <c r="G48" s="216" t="s">
        <v>430</v>
      </c>
      <c r="H48" s="754">
        <f t="shared" si="4"/>
        <v>4</v>
      </c>
      <c r="I48" s="754">
        <v>50</v>
      </c>
      <c r="J48" s="780">
        <f t="shared" si="5"/>
        <v>200</v>
      </c>
      <c r="K48" s="739"/>
      <c r="L48" s="781"/>
      <c r="M48" s="224">
        <v>200</v>
      </c>
      <c r="N48" s="38"/>
      <c r="O48" s="19"/>
      <c r="P48" s="16" t="s">
        <v>125</v>
      </c>
      <c r="Q48" s="76" t="s">
        <v>431</v>
      </c>
      <c r="R48" s="27"/>
      <c r="S48" s="27"/>
      <c r="T48" s="27"/>
      <c r="U48" s="27"/>
      <c r="V48" s="27"/>
      <c r="W48" s="749"/>
    </row>
    <row r="49" spans="1:23">
      <c r="A49" s="222" t="s">
        <v>432</v>
      </c>
      <c r="B49" s="271" t="s">
        <v>433</v>
      </c>
      <c r="C49" s="226">
        <v>13</v>
      </c>
      <c r="D49" s="458" t="s">
        <v>199</v>
      </c>
      <c r="E49" s="315">
        <v>45717</v>
      </c>
      <c r="F49" s="315">
        <v>45992</v>
      </c>
      <c r="G49" s="216" t="s">
        <v>434</v>
      </c>
      <c r="H49" s="754">
        <f t="shared" si="4"/>
        <v>10</v>
      </c>
      <c r="I49" s="754">
        <v>50</v>
      </c>
      <c r="J49" s="780">
        <f t="shared" si="5"/>
        <v>500</v>
      </c>
      <c r="K49" s="739"/>
      <c r="L49" s="781"/>
      <c r="M49" s="224">
        <v>500</v>
      </c>
      <c r="N49"/>
      <c r="O49" s="19"/>
      <c r="P49" s="16" t="s">
        <v>125</v>
      </c>
      <c r="Q49" s="77" t="s">
        <v>200</v>
      </c>
      <c r="R49" s="27"/>
      <c r="S49" s="27"/>
      <c r="T49" s="27"/>
      <c r="U49" s="27"/>
      <c r="V49" s="27"/>
      <c r="W49" s="749"/>
    </row>
    <row r="50" spans="1:23">
      <c r="A50" s="222" t="s">
        <v>435</v>
      </c>
      <c r="B50" s="271" t="s">
        <v>436</v>
      </c>
      <c r="C50" s="225">
        <v>128</v>
      </c>
      <c r="D50" s="457" t="s">
        <v>437</v>
      </c>
      <c r="E50" s="315">
        <v>45748</v>
      </c>
      <c r="F50" s="315">
        <v>45901</v>
      </c>
      <c r="G50" s="223" t="s">
        <v>438</v>
      </c>
      <c r="H50" s="754">
        <f t="shared" si="4"/>
        <v>6</v>
      </c>
      <c r="I50" s="754">
        <v>50</v>
      </c>
      <c r="J50" s="780">
        <f t="shared" si="5"/>
        <v>300</v>
      </c>
      <c r="K50" s="739"/>
      <c r="L50" s="781"/>
      <c r="M50" s="224">
        <v>300</v>
      </c>
      <c r="N50" s="38"/>
      <c r="O50" s="19"/>
      <c r="P50" s="16" t="s">
        <v>125</v>
      </c>
      <c r="Q50" s="76" t="s">
        <v>439</v>
      </c>
      <c r="R50" s="27"/>
      <c r="S50" s="27"/>
      <c r="T50" s="27"/>
      <c r="U50" s="27"/>
      <c r="V50" s="27"/>
      <c r="W50" s="749"/>
    </row>
    <row r="51" spans="1:23">
      <c r="A51" s="222" t="s">
        <v>392</v>
      </c>
      <c r="B51" s="271" t="s">
        <v>440</v>
      </c>
      <c r="C51" s="219">
        <v>80</v>
      </c>
      <c r="D51" s="460" t="s">
        <v>178</v>
      </c>
      <c r="E51" s="315">
        <v>45748</v>
      </c>
      <c r="F51" s="315">
        <v>45748</v>
      </c>
      <c r="G51" s="227">
        <v>45748</v>
      </c>
      <c r="H51" s="754">
        <f t="shared" si="4"/>
        <v>1</v>
      </c>
      <c r="I51" s="754">
        <v>50</v>
      </c>
      <c r="J51" s="780">
        <f t="shared" si="5"/>
        <v>50</v>
      </c>
      <c r="K51" s="739"/>
      <c r="L51" s="781"/>
      <c r="M51" s="224">
        <v>50</v>
      </c>
      <c r="N51" s="38"/>
      <c r="O51" s="19"/>
      <c r="P51" s="16" t="s">
        <v>125</v>
      </c>
      <c r="Q51" s="76" t="s">
        <v>179</v>
      </c>
      <c r="R51" s="27"/>
      <c r="S51" s="27"/>
      <c r="T51" s="27"/>
      <c r="U51" s="27"/>
      <c r="V51" s="27"/>
      <c r="W51" s="749"/>
    </row>
    <row r="52" spans="1:23">
      <c r="A52" s="222" t="s">
        <v>392</v>
      </c>
      <c r="B52" s="271" t="s">
        <v>441</v>
      </c>
      <c r="C52" s="220">
        <v>224</v>
      </c>
      <c r="D52" s="460" t="s">
        <v>181</v>
      </c>
      <c r="E52" s="315">
        <v>45748</v>
      </c>
      <c r="F52" s="315">
        <v>45748</v>
      </c>
      <c r="G52" s="227">
        <v>45748</v>
      </c>
      <c r="H52" s="754">
        <f t="shared" si="4"/>
        <v>1</v>
      </c>
      <c r="I52" s="754">
        <v>50</v>
      </c>
      <c r="J52" s="780">
        <f t="shared" si="5"/>
        <v>50</v>
      </c>
      <c r="K52" s="739"/>
      <c r="L52" s="781"/>
      <c r="M52" s="217">
        <v>50</v>
      </c>
      <c r="N52" s="38"/>
      <c r="O52" s="19"/>
      <c r="P52" s="16"/>
      <c r="Q52" s="76"/>
      <c r="R52" s="27"/>
      <c r="S52" s="27"/>
      <c r="T52" s="27"/>
      <c r="U52" s="27"/>
      <c r="V52" s="27"/>
      <c r="W52" s="749"/>
    </row>
    <row r="53" spans="1:23">
      <c r="A53" s="222" t="s">
        <v>392</v>
      </c>
      <c r="B53" s="272" t="s">
        <v>442</v>
      </c>
      <c r="C53" s="226">
        <v>175</v>
      </c>
      <c r="D53" s="457" t="s">
        <v>147</v>
      </c>
      <c r="E53" s="315">
        <v>45717</v>
      </c>
      <c r="F53" s="315">
        <v>45717</v>
      </c>
      <c r="G53" s="216">
        <v>45717</v>
      </c>
      <c r="H53" s="754">
        <f t="shared" si="4"/>
        <v>1</v>
      </c>
      <c r="I53" s="754">
        <v>50</v>
      </c>
      <c r="J53" s="780">
        <f t="shared" si="5"/>
        <v>50</v>
      </c>
      <c r="K53" s="739"/>
      <c r="L53" s="781"/>
      <c r="M53" s="217">
        <v>50</v>
      </c>
      <c r="N53" s="38"/>
      <c r="O53" s="25" t="s">
        <v>166</v>
      </c>
      <c r="P53" s="16" t="s">
        <v>125</v>
      </c>
      <c r="Q53" s="76" t="s">
        <v>148</v>
      </c>
      <c r="R53" s="27"/>
      <c r="S53" s="27"/>
      <c r="T53" s="27"/>
      <c r="U53" s="27"/>
      <c r="V53" s="27"/>
      <c r="W53" s="749"/>
    </row>
    <row r="54" spans="1:23">
      <c r="A54" s="786"/>
      <c r="B54" s="333"/>
      <c r="C54" s="334"/>
      <c r="D54" s="461"/>
      <c r="E54" s="335"/>
      <c r="F54" s="335"/>
      <c r="G54" s="787"/>
      <c r="H54" s="788">
        <f t="shared" si="4"/>
        <v>1</v>
      </c>
      <c r="I54" s="789">
        <v>50</v>
      </c>
      <c r="J54" s="790">
        <f t="shared" si="5"/>
        <v>50</v>
      </c>
      <c r="K54" s="739"/>
      <c r="L54" s="781"/>
      <c r="M54" s="739"/>
      <c r="N54" s="38"/>
      <c r="O54" s="19"/>
      <c r="P54" s="16"/>
      <c r="Q54" s="76"/>
      <c r="R54" s="27"/>
      <c r="S54" s="27"/>
      <c r="T54" s="27"/>
      <c r="U54" s="27"/>
      <c r="V54" s="27"/>
      <c r="W54" s="749"/>
    </row>
    <row r="55" spans="1:23">
      <c r="A55" s="786"/>
      <c r="B55" s="333"/>
      <c r="C55" s="334"/>
      <c r="D55" s="461"/>
      <c r="E55" s="335"/>
      <c r="F55" s="335"/>
      <c r="G55" s="336"/>
      <c r="H55" s="788">
        <f t="shared" si="4"/>
        <v>1</v>
      </c>
      <c r="I55" s="788">
        <v>50</v>
      </c>
      <c r="J55" s="791">
        <f t="shared" si="5"/>
        <v>50</v>
      </c>
      <c r="K55" s="739"/>
      <c r="L55" s="781"/>
      <c r="M55" s="739"/>
      <c r="N55" s="38"/>
      <c r="O55" s="19"/>
      <c r="P55" s="16"/>
      <c r="Q55" s="76"/>
      <c r="R55" s="27"/>
      <c r="S55" s="27"/>
      <c r="T55" s="27"/>
      <c r="U55" s="27"/>
      <c r="V55" s="27"/>
      <c r="W55" s="749"/>
    </row>
    <row r="56" spans="1:23">
      <c r="A56" s="786"/>
      <c r="B56" s="333"/>
      <c r="C56" s="334"/>
      <c r="D56" s="461"/>
      <c r="E56" s="335"/>
      <c r="F56" s="335"/>
      <c r="G56" s="336"/>
      <c r="H56" s="788">
        <f t="shared" si="4"/>
        <v>1</v>
      </c>
      <c r="I56" s="789">
        <v>50</v>
      </c>
      <c r="J56" s="790">
        <f t="shared" si="5"/>
        <v>50</v>
      </c>
      <c r="K56" s="739"/>
      <c r="L56" s="781"/>
      <c r="M56" s="739"/>
      <c r="N56" s="38"/>
      <c r="O56" s="19"/>
      <c r="P56" s="16"/>
      <c r="Q56" s="76"/>
      <c r="R56" s="27"/>
      <c r="S56" s="27"/>
      <c r="T56" s="27"/>
      <c r="U56" s="27"/>
      <c r="V56" s="27"/>
      <c r="W56" s="749"/>
    </row>
    <row r="57" spans="1:23">
      <c r="A57" s="786"/>
      <c r="B57" s="333"/>
      <c r="C57" s="337"/>
      <c r="D57" s="461"/>
      <c r="E57" s="335"/>
      <c r="F57" s="335"/>
      <c r="G57" s="787"/>
      <c r="H57" s="788">
        <f t="shared" si="4"/>
        <v>1</v>
      </c>
      <c r="I57" s="789">
        <v>50</v>
      </c>
      <c r="J57" s="790">
        <f t="shared" si="5"/>
        <v>50</v>
      </c>
      <c r="K57" s="739"/>
      <c r="L57" s="781"/>
      <c r="M57" s="739"/>
      <c r="N57" s="38"/>
      <c r="O57" s="19"/>
      <c r="P57" s="16"/>
      <c r="Q57" s="76"/>
      <c r="R57" s="27"/>
      <c r="S57" s="27"/>
      <c r="T57" s="27"/>
      <c r="U57" s="27"/>
      <c r="V57" s="27"/>
      <c r="W57" s="749"/>
    </row>
    <row r="58" spans="1:23">
      <c r="A58" s="786"/>
      <c r="B58" s="333"/>
      <c r="C58" s="334"/>
      <c r="D58" s="461"/>
      <c r="E58" s="335"/>
      <c r="F58" s="335"/>
      <c r="G58" s="336"/>
      <c r="H58" s="788">
        <f t="shared" si="4"/>
        <v>1</v>
      </c>
      <c r="I58" s="789">
        <v>50</v>
      </c>
      <c r="J58" s="790">
        <f t="shared" si="5"/>
        <v>50</v>
      </c>
      <c r="K58" s="739"/>
      <c r="L58" s="781"/>
      <c r="M58" s="739"/>
      <c r="N58" s="38"/>
      <c r="O58" s="19"/>
      <c r="P58" s="16"/>
      <c r="Q58" s="76"/>
      <c r="R58" s="27"/>
      <c r="S58" s="27"/>
      <c r="T58" s="27"/>
      <c r="U58" s="27"/>
      <c r="V58" s="27"/>
      <c r="W58" s="749"/>
    </row>
    <row r="59" spans="1:23">
      <c r="A59" s="786"/>
      <c r="B59" s="333"/>
      <c r="C59" s="334"/>
      <c r="D59" s="461"/>
      <c r="E59" s="335"/>
      <c r="F59" s="335"/>
      <c r="G59" s="336"/>
      <c r="H59" s="788">
        <f t="shared" si="4"/>
        <v>1</v>
      </c>
      <c r="I59" s="789">
        <v>50</v>
      </c>
      <c r="J59" s="790">
        <f t="shared" si="5"/>
        <v>50</v>
      </c>
      <c r="K59" s="739"/>
      <c r="L59" s="781"/>
      <c r="M59" s="739"/>
      <c r="N59" s="38"/>
      <c r="O59" s="19"/>
      <c r="P59" s="16"/>
      <c r="Q59" s="76"/>
      <c r="R59" s="27"/>
      <c r="S59" s="27"/>
      <c r="T59" s="27"/>
      <c r="U59" s="27"/>
      <c r="V59" s="27"/>
      <c r="W59" s="749"/>
    </row>
    <row r="60" spans="1:23" ht="15.75" customHeight="1">
      <c r="A60" s="786"/>
      <c r="B60" s="333"/>
      <c r="C60" s="337"/>
      <c r="D60" s="461"/>
      <c r="E60" s="335"/>
      <c r="F60" s="335"/>
      <c r="G60" s="787"/>
      <c r="H60" s="788">
        <f t="shared" si="4"/>
        <v>1</v>
      </c>
      <c r="I60" s="789">
        <v>50</v>
      </c>
      <c r="J60" s="790">
        <f t="shared" si="5"/>
        <v>50</v>
      </c>
      <c r="K60" s="739"/>
      <c r="L60" s="781"/>
      <c r="M60" s="50"/>
      <c r="N60" s="38"/>
      <c r="O60" s="19"/>
      <c r="P60" s="16"/>
      <c r="Q60"/>
      <c r="R60" s="27"/>
      <c r="S60" s="27"/>
      <c r="T60" s="27"/>
      <c r="U60" s="27"/>
      <c r="V60" s="27"/>
      <c r="W60" s="749"/>
    </row>
    <row r="61" spans="1:23">
      <c r="A61" s="786"/>
      <c r="B61" s="333"/>
      <c r="C61" s="334"/>
      <c r="D61" s="461"/>
      <c r="E61" s="335"/>
      <c r="F61" s="335"/>
      <c r="G61" s="336"/>
      <c r="H61" s="788">
        <f t="shared" si="4"/>
        <v>1</v>
      </c>
      <c r="I61" s="789">
        <v>50</v>
      </c>
      <c r="J61" s="790">
        <f t="shared" si="5"/>
        <v>50</v>
      </c>
      <c r="K61" s="739"/>
      <c r="L61" s="781"/>
      <c r="M61" s="49"/>
      <c r="N61" s="38"/>
      <c r="O61" s="19"/>
      <c r="P61" s="16"/>
      <c r="Q61" s="76"/>
      <c r="R61" s="27"/>
      <c r="S61" s="27"/>
      <c r="T61" s="27"/>
      <c r="U61" s="27"/>
      <c r="V61" s="27"/>
      <c r="W61" s="749"/>
    </row>
    <row r="62" spans="1:23">
      <c r="A62" s="786"/>
      <c r="B62" s="333"/>
      <c r="C62" s="334"/>
      <c r="D62" s="461"/>
      <c r="E62" s="335"/>
      <c r="F62" s="335"/>
      <c r="G62" s="787"/>
      <c r="H62" s="788">
        <f t="shared" si="4"/>
        <v>1</v>
      </c>
      <c r="I62" s="789">
        <v>50</v>
      </c>
      <c r="J62" s="790">
        <f t="shared" si="5"/>
        <v>50</v>
      </c>
      <c r="K62" s="739"/>
      <c r="L62" s="781"/>
      <c r="M62" s="49"/>
      <c r="N62" s="38"/>
      <c r="O62" s="19"/>
      <c r="P62" s="16"/>
      <c r="Q62" s="76"/>
      <c r="R62" s="27"/>
      <c r="S62" s="27"/>
      <c r="T62" s="27"/>
      <c r="U62" s="27"/>
      <c r="V62" s="27"/>
      <c r="W62" s="749"/>
    </row>
    <row r="63" spans="1:23">
      <c r="A63" s="786"/>
      <c r="B63" s="333"/>
      <c r="C63" s="334"/>
      <c r="D63" s="461"/>
      <c r="E63" s="335"/>
      <c r="F63" s="335"/>
      <c r="G63" s="787"/>
      <c r="H63" s="788">
        <f t="shared" si="4"/>
        <v>1</v>
      </c>
      <c r="I63" s="789">
        <v>50</v>
      </c>
      <c r="J63" s="790">
        <f t="shared" si="5"/>
        <v>50</v>
      </c>
      <c r="K63" s="739"/>
      <c r="L63" s="781"/>
      <c r="M63" s="49"/>
      <c r="N63" s="38"/>
      <c r="O63" s="19"/>
      <c r="P63" s="16"/>
      <c r="Q63" s="76"/>
      <c r="R63" s="27"/>
      <c r="S63" s="27"/>
      <c r="T63" s="27"/>
      <c r="U63" s="27"/>
      <c r="V63" s="27"/>
      <c r="W63" s="749"/>
    </row>
    <row r="64" spans="1:23">
      <c r="A64" s="338"/>
      <c r="B64" s="333"/>
      <c r="C64" s="334"/>
      <c r="D64" s="461"/>
      <c r="E64" s="335"/>
      <c r="F64" s="335"/>
      <c r="G64" s="787"/>
      <c r="H64" s="788">
        <f t="shared" si="4"/>
        <v>1</v>
      </c>
      <c r="I64" s="789">
        <v>50</v>
      </c>
      <c r="J64" s="790">
        <f t="shared" si="5"/>
        <v>50</v>
      </c>
      <c r="K64" s="739"/>
      <c r="L64" s="781"/>
      <c r="M64" s="739"/>
      <c r="N64" s="38"/>
      <c r="O64" s="19"/>
      <c r="P64" s="16"/>
      <c r="Q64" s="76"/>
      <c r="R64" s="27"/>
      <c r="S64" s="27"/>
      <c r="T64" s="27"/>
      <c r="U64" s="27"/>
      <c r="V64" s="27"/>
      <c r="W64" s="749"/>
    </row>
    <row r="65" spans="1:23">
      <c r="A65" s="792"/>
      <c r="B65" s="339"/>
      <c r="C65" s="339"/>
      <c r="D65" s="462"/>
      <c r="E65" s="340"/>
      <c r="F65" s="340"/>
      <c r="G65" s="339"/>
      <c r="H65" s="793">
        <f t="shared" si="4"/>
        <v>1</v>
      </c>
      <c r="I65" s="794">
        <v>50</v>
      </c>
      <c r="J65" s="795">
        <f t="shared" si="5"/>
        <v>50</v>
      </c>
      <c r="K65" s="35"/>
      <c r="L65" s="44"/>
      <c r="M65" s="35"/>
      <c r="N65" s="39"/>
      <c r="O65" s="23"/>
      <c r="P65" s="23"/>
      <c r="Q65" s="76"/>
      <c r="R65" s="27"/>
      <c r="S65" s="27"/>
      <c r="T65" s="27"/>
      <c r="U65" s="27"/>
      <c r="V65" s="27"/>
      <c r="W65" s="749"/>
    </row>
    <row r="66" spans="1:23">
      <c r="A66" s="25"/>
      <c r="B66" s="25"/>
      <c r="C66" s="25"/>
      <c r="E66" s="25"/>
      <c r="F66" s="25"/>
      <c r="G66" s="25"/>
      <c r="H66" s="25"/>
      <c r="I66" s="25"/>
      <c r="J66" s="25"/>
      <c r="K66" s="41"/>
      <c r="L66" s="41"/>
      <c r="M66" s="41"/>
      <c r="N66" s="25"/>
      <c r="O66" s="25"/>
      <c r="P66" s="25"/>
      <c r="Q66" s="27"/>
      <c r="R66" s="27"/>
      <c r="S66" s="27"/>
      <c r="T66" s="27"/>
      <c r="U66" s="27"/>
      <c r="V66" s="27"/>
      <c r="W66" s="749"/>
    </row>
    <row r="67" spans="1:23" ht="18.600000000000001" thickBot="1">
      <c r="A67" s="25"/>
      <c r="B67" s="25"/>
      <c r="C67" s="25"/>
      <c r="E67" s="25"/>
      <c r="F67" s="25"/>
      <c r="G67" s="25"/>
      <c r="H67" s="25"/>
      <c r="I67" s="25"/>
      <c r="J67" s="25"/>
      <c r="K67" s="36">
        <f>SUM(K9:K65)</f>
        <v>2950</v>
      </c>
      <c r="L67" s="36">
        <f>SUM(L9:L65)</f>
        <v>0</v>
      </c>
      <c r="M67" s="36">
        <f>SUM(M9:M65)</f>
        <v>4450</v>
      </c>
      <c r="N67" s="36">
        <f>SUM(N9:N65)</f>
        <v>2950</v>
      </c>
      <c r="O67" s="25"/>
      <c r="P67" s="25"/>
      <c r="Q67" s="27"/>
      <c r="R67" s="27"/>
      <c r="S67" s="27"/>
      <c r="T67" s="27"/>
      <c r="U67" s="27"/>
      <c r="V67" s="27"/>
      <c r="W67" s="749"/>
    </row>
    <row r="68" spans="1:23" s="1" customFormat="1" ht="18.600000000000001" thickTop="1">
      <c r="A68" s="25"/>
      <c r="B68" s="25"/>
      <c r="C68" s="25"/>
      <c r="D68" s="454"/>
      <c r="E68" s="25"/>
      <c r="F68" s="25"/>
      <c r="G68" s="25"/>
      <c r="H68" s="25"/>
      <c r="I68" s="25"/>
      <c r="J68" s="25"/>
      <c r="K68" s="26"/>
      <c r="L68" s="26"/>
      <c r="M68" s="26"/>
      <c r="N68" s="53">
        <f>N67-K67</f>
        <v>0</v>
      </c>
      <c r="O68" s="25"/>
      <c r="P68" s="25"/>
      <c r="Q68" s="27"/>
      <c r="R68" s="27"/>
      <c r="S68" s="25"/>
      <c r="T68" s="25"/>
      <c r="U68" s="25"/>
      <c r="V68" s="25"/>
      <c r="W68" s="749"/>
    </row>
    <row r="69" spans="1:23">
      <c r="A69" s="25"/>
      <c r="B69" s="25"/>
      <c r="C69" s="25"/>
      <c r="E69" s="43"/>
      <c r="F69" s="43"/>
      <c r="G69" s="25"/>
      <c r="H69" s="25"/>
      <c r="I69" s="25"/>
      <c r="J69" s="25"/>
      <c r="K69" s="52"/>
      <c r="L69" s="41"/>
      <c r="M69" s="41"/>
      <c r="N69" s="25"/>
      <c r="O69" s="25"/>
      <c r="P69" s="25"/>
      <c r="Q69" s="27"/>
      <c r="R69" s="27"/>
      <c r="S69" s="27"/>
      <c r="T69" s="27"/>
      <c r="U69" s="27"/>
      <c r="V69" s="27"/>
      <c r="W69" s="749"/>
    </row>
    <row r="70" spans="1:23">
      <c r="A70" s="25"/>
      <c r="B70" s="25"/>
      <c r="C70" s="45"/>
      <c r="E70" s="43"/>
      <c r="F70" s="43"/>
      <c r="G70" s="25"/>
      <c r="H70" s="25"/>
      <c r="I70" s="25"/>
      <c r="J70" s="25"/>
      <c r="K70" s="41"/>
      <c r="L70" s="41"/>
      <c r="M70" s="41"/>
      <c r="N70" s="25"/>
      <c r="O70" s="25"/>
      <c r="P70" s="25"/>
      <c r="Q70" s="27"/>
      <c r="R70" s="27"/>
      <c r="S70" s="27"/>
      <c r="T70" s="27"/>
      <c r="U70" s="27"/>
      <c r="V70" s="27"/>
      <c r="W70" s="749"/>
    </row>
    <row r="71" spans="1:23">
      <c r="A71" s="25"/>
      <c r="B71" s="25"/>
      <c r="C71" s="45"/>
      <c r="E71" s="43"/>
      <c r="F71" s="43"/>
      <c r="G71" s="25"/>
      <c r="H71" s="25"/>
      <c r="I71" s="25"/>
      <c r="J71" s="25"/>
      <c r="K71" s="41"/>
      <c r="L71" s="41"/>
      <c r="M71" s="41"/>
      <c r="N71" s="25"/>
      <c r="O71" s="25"/>
      <c r="P71" s="25"/>
      <c r="Q71" s="27"/>
      <c r="R71" s="27"/>
      <c r="S71" s="27"/>
      <c r="T71" s="27"/>
      <c r="U71" s="27"/>
      <c r="V71" s="27"/>
      <c r="W71" s="749"/>
    </row>
    <row r="72" spans="1:23">
      <c r="A72" s="25"/>
      <c r="B72" s="25"/>
      <c r="C72" s="43"/>
      <c r="E72" s="43"/>
      <c r="F72" s="43"/>
      <c r="G72" s="25"/>
      <c r="H72" s="25"/>
      <c r="I72" s="25"/>
      <c r="J72" s="25"/>
      <c r="K72" s="41"/>
      <c r="L72" s="41"/>
      <c r="M72" s="41"/>
      <c r="N72" s="25"/>
      <c r="O72" s="25"/>
      <c r="P72" s="25"/>
      <c r="Q72" s="27"/>
      <c r="R72" s="27"/>
      <c r="S72" s="27"/>
      <c r="T72" s="27"/>
      <c r="U72" s="27"/>
      <c r="V72" s="27"/>
      <c r="W72" s="749"/>
    </row>
    <row r="73" spans="1:23">
      <c r="A73" s="25"/>
      <c r="B73" s="25"/>
      <c r="C73" s="25"/>
      <c r="E73" s="43"/>
      <c r="F73" s="43"/>
      <c r="G73" s="25"/>
      <c r="H73" s="25"/>
      <c r="I73" s="25"/>
      <c r="J73" s="25"/>
      <c r="K73" s="41"/>
      <c r="L73" s="41"/>
      <c r="M73" s="41"/>
      <c r="N73" s="25"/>
      <c r="O73" s="25"/>
      <c r="P73" s="25"/>
      <c r="Q73" s="27"/>
      <c r="R73" s="27"/>
      <c r="S73" s="27"/>
      <c r="T73" s="27"/>
      <c r="U73" s="27"/>
      <c r="V73" s="27"/>
      <c r="W73" s="749"/>
    </row>
    <row r="74" spans="1:23">
      <c r="A74" s="25"/>
      <c r="B74" s="25"/>
      <c r="C74" s="25"/>
      <c r="E74" s="43"/>
      <c r="F74" s="43"/>
      <c r="G74" s="25"/>
      <c r="H74" s="25"/>
      <c r="I74" s="25"/>
      <c r="J74" s="25"/>
      <c r="K74" s="41"/>
      <c r="L74" s="41"/>
      <c r="M74" s="41"/>
      <c r="N74" s="25"/>
      <c r="O74" s="25"/>
      <c r="P74" s="25"/>
      <c r="Q74" s="27"/>
      <c r="R74" s="27"/>
      <c r="S74" s="27"/>
      <c r="T74" s="27"/>
      <c r="U74" s="27"/>
      <c r="V74" s="27"/>
      <c r="W74" s="749"/>
    </row>
    <row r="75" spans="1:23">
      <c r="A75" s="25"/>
      <c r="B75" s="25"/>
      <c r="C75" s="25"/>
      <c r="E75" s="43"/>
      <c r="F75" s="43"/>
      <c r="G75" s="25"/>
      <c r="H75" s="25"/>
      <c r="I75" s="25"/>
      <c r="J75" s="25"/>
      <c r="K75" s="41"/>
      <c r="L75" s="41"/>
      <c r="M75" s="41"/>
      <c r="N75" s="25"/>
      <c r="O75" s="25"/>
      <c r="P75" s="25"/>
      <c r="Q75" s="27"/>
      <c r="R75" s="27"/>
      <c r="S75" s="27"/>
      <c r="T75" s="27"/>
      <c r="U75" s="27"/>
      <c r="V75" s="27"/>
      <c r="W75" s="749"/>
    </row>
    <row r="76" spans="1:23">
      <c r="A76" s="25"/>
      <c r="B76" s="25"/>
      <c r="C76" s="25"/>
      <c r="E76" s="25"/>
      <c r="F76" s="25"/>
      <c r="G76" s="25"/>
      <c r="H76" s="25"/>
      <c r="I76" s="25"/>
      <c r="J76" s="25"/>
      <c r="K76" s="41"/>
      <c r="L76" s="41"/>
      <c r="M76" s="41"/>
      <c r="N76" s="25"/>
      <c r="O76" s="25"/>
      <c r="P76" s="25"/>
      <c r="Q76" s="27"/>
      <c r="R76" s="27"/>
      <c r="S76" s="27"/>
      <c r="T76" s="27"/>
      <c r="U76" s="27"/>
      <c r="V76" s="27"/>
      <c r="W76" s="749"/>
    </row>
    <row r="77" spans="1:23">
      <c r="A77" s="25"/>
      <c r="B77" s="25"/>
      <c r="C77" s="25"/>
      <c r="E77" s="25"/>
      <c r="F77" s="25"/>
      <c r="G77" s="25"/>
      <c r="H77" s="25"/>
      <c r="I77" s="25"/>
      <c r="J77" s="25"/>
      <c r="K77" s="41"/>
      <c r="L77" s="41"/>
      <c r="M77" s="41"/>
      <c r="N77" s="25"/>
      <c r="O77" s="25"/>
      <c r="P77" s="25"/>
      <c r="Q77" s="27"/>
      <c r="R77" s="27"/>
      <c r="S77" s="27"/>
      <c r="T77" s="27"/>
      <c r="U77" s="27"/>
      <c r="V77" s="27"/>
      <c r="W77" s="749"/>
    </row>
    <row r="78" spans="1:23">
      <c r="A78" s="25"/>
      <c r="B78" s="25"/>
      <c r="C78" s="25"/>
      <c r="E78" s="43"/>
      <c r="F78" s="43"/>
      <c r="G78" s="25"/>
      <c r="H78" s="25"/>
      <c r="I78" s="25"/>
      <c r="J78" s="25"/>
      <c r="K78" s="41"/>
      <c r="L78" s="41"/>
      <c r="M78" s="41"/>
      <c r="N78" s="25"/>
      <c r="O78" s="25"/>
      <c r="P78" s="25"/>
      <c r="Q78" s="27"/>
      <c r="R78" s="27"/>
      <c r="S78" s="27"/>
      <c r="T78" s="27"/>
      <c r="U78" s="27"/>
      <c r="V78" s="27"/>
      <c r="W78" s="749"/>
    </row>
    <row r="79" spans="1:23">
      <c r="A79" s="25"/>
      <c r="B79" s="25"/>
      <c r="C79" s="25"/>
      <c r="E79" s="25"/>
      <c r="F79" s="25"/>
      <c r="G79" s="25"/>
      <c r="H79" s="25"/>
      <c r="I79" s="25"/>
      <c r="J79" s="25"/>
      <c r="K79" s="41"/>
      <c r="L79" s="41"/>
      <c r="M79" s="41"/>
      <c r="N79" s="25"/>
      <c r="O79" s="25"/>
      <c r="P79" s="25"/>
      <c r="Q79" s="27"/>
      <c r="R79" s="27"/>
      <c r="S79" s="27"/>
      <c r="T79" s="27"/>
      <c r="U79" s="27"/>
      <c r="V79" s="27"/>
      <c r="W79" s="749"/>
    </row>
    <row r="80" spans="1:23">
      <c r="A80" s="25"/>
      <c r="B80" s="25"/>
      <c r="C80" s="25"/>
      <c r="E80" s="43"/>
      <c r="F80" s="43"/>
      <c r="G80" s="43"/>
      <c r="H80" s="25"/>
      <c r="I80" s="25"/>
      <c r="J80" s="25"/>
      <c r="K80" s="41"/>
      <c r="L80" s="41"/>
      <c r="M80" s="52"/>
      <c r="N80" s="51"/>
      <c r="O80" s="43"/>
      <c r="P80" s="25"/>
      <c r="Q80" s="27"/>
      <c r="R80" s="27"/>
      <c r="S80" s="27"/>
      <c r="T80" s="27"/>
      <c r="U80" s="27"/>
      <c r="V80" s="27"/>
      <c r="W80" s="749"/>
    </row>
    <row r="81" spans="2:13">
      <c r="B81" s="43"/>
      <c r="C81" s="25"/>
      <c r="E81" s="43"/>
      <c r="F81" s="43"/>
      <c r="G81" s="43"/>
      <c r="H81" s="25"/>
      <c r="I81" s="25"/>
      <c r="J81" s="25"/>
      <c r="K81" s="41"/>
      <c r="L81" s="41"/>
      <c r="M81" s="41"/>
    </row>
    <row r="82" spans="2:13">
      <c r="B82" s="25"/>
      <c r="C82" s="25"/>
      <c r="E82" s="25"/>
      <c r="F82" s="25"/>
      <c r="G82" s="25"/>
      <c r="H82" s="25"/>
      <c r="I82" s="25"/>
      <c r="J82" s="25"/>
      <c r="K82" s="41"/>
      <c r="L82" s="41"/>
      <c r="M82" s="41"/>
    </row>
  </sheetData>
  <mergeCells count="3">
    <mergeCell ref="K7:M7"/>
    <mergeCell ref="E7:G7"/>
    <mergeCell ref="E6:G6"/>
  </mergeCells>
  <phoneticPr fontId="35" type="noConversion"/>
  <dataValidations count="1">
    <dataValidation type="list" allowBlank="1" showInputMessage="1" showErrorMessage="1" sqref="E10:F65" xr:uid="{65989101-05C5-4C97-B9B0-07C9F9FF6EFB}">
      <formula1>$W$10:$W$39</formula1>
    </dataValidation>
  </dataValidations>
  <printOptions gridLines="1"/>
  <pageMargins left="0.43307086614173229" right="0" top="0.74803149606299213" bottom="0.23622047244094491" header="0.31496062992125984" footer="0.31496062992125984"/>
  <pageSetup paperSize="9" scale="91" orientation="landscape" r:id="rId1"/>
  <headerFooter>
    <oddFooter>&amp;RPrepared by : 汶娟
日期 : 18.09.2025</oddFooter>
  </headerFooter>
  <colBreaks count="1" manualBreakCount="1">
    <brk id="16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8C67-8336-4CC4-9C93-C4BCD2764594}">
  <sheetPr>
    <pageSetUpPr fitToPage="1"/>
  </sheetPr>
  <dimension ref="A4:AP49"/>
  <sheetViews>
    <sheetView zoomScale="90" zoomScaleNormal="90" workbookViewId="0">
      <pane ySplit="8" topLeftCell="A9" activePane="bottomLeft" state="frozen"/>
      <selection activeCell="E38" sqref="E38"/>
      <selection pane="bottomLeft" activeCell="AI44" sqref="AI44"/>
    </sheetView>
  </sheetViews>
  <sheetFormatPr defaultColWidth="9.33203125" defaultRowHeight="15.6" outlineLevelCol="1"/>
  <cols>
    <col min="1" max="1" width="13.6640625" style="84" customWidth="1"/>
    <col min="2" max="2" width="14.6640625" style="84" customWidth="1"/>
    <col min="3" max="3" width="10.33203125" style="84" customWidth="1"/>
    <col min="4" max="4" width="16" style="466" customWidth="1"/>
    <col min="5" max="5" width="11.88671875" style="84" bestFit="1" customWidth="1"/>
    <col min="6" max="6" width="10.33203125" style="84" bestFit="1" customWidth="1"/>
    <col min="7" max="7" width="13" style="81" customWidth="1"/>
    <col min="8" max="8" width="6.6640625" style="81" customWidth="1"/>
    <col min="9" max="9" width="8.44140625" style="81" customWidth="1"/>
    <col min="10" max="10" width="13" style="81" customWidth="1"/>
    <col min="11" max="13" width="5.6640625" style="84" hidden="1" customWidth="1" outlineLevel="1"/>
    <col min="14" max="14" width="3.6640625" style="84" hidden="1" customWidth="1" outlineLevel="1"/>
    <col min="15" max="15" width="3.5546875" style="84" hidden="1" customWidth="1" outlineLevel="1"/>
    <col min="16" max="16" width="4.44140625" style="84" hidden="1" customWidth="1" outlineLevel="1"/>
    <col min="17" max="17" width="3.6640625" style="84" hidden="1" customWidth="1" outlineLevel="1"/>
    <col min="18" max="18" width="4.44140625" style="84" hidden="1" customWidth="1" outlineLevel="1"/>
    <col min="19" max="19" width="3.6640625" style="84" hidden="1" customWidth="1" outlineLevel="1"/>
    <col min="20" max="21" width="3.44140625" style="84" hidden="1" customWidth="1" outlineLevel="1"/>
    <col min="22" max="22" width="4.33203125" style="84" hidden="1" customWidth="1" outlineLevel="1"/>
    <col min="23" max="23" width="3.5546875" style="84" hidden="1" customWidth="1" outlineLevel="1"/>
    <col min="24" max="25" width="4" style="84" hidden="1" customWidth="1" outlineLevel="1"/>
    <col min="26" max="28" width="8.5546875" style="84" hidden="1" customWidth="1" outlineLevel="1"/>
    <col min="29" max="29" width="6.33203125" style="84" hidden="1" customWidth="1" outlineLevel="1"/>
    <col min="30" max="30" width="6.5546875" style="85" hidden="1" customWidth="1" outlineLevel="1"/>
    <col min="31" max="31" width="12" style="84" bestFit="1" customWidth="1" collapsed="1"/>
    <col min="32" max="32" width="8.5546875" style="84" customWidth="1"/>
    <col min="33" max="33" width="13.44140625" style="84" bestFit="1" customWidth="1"/>
    <col min="34" max="34" width="5.5546875" style="84" customWidth="1"/>
    <col min="35" max="35" width="17.6640625" style="84" customWidth="1"/>
    <col min="36" max="36" width="14.33203125" style="84" customWidth="1"/>
    <col min="37" max="37" width="12.5546875" style="84" customWidth="1"/>
    <col min="38" max="38" width="9.33203125" style="186"/>
    <col min="39" max="40" width="9.33203125" style="80"/>
    <col min="41" max="41" width="10.6640625" style="80" customWidth="1"/>
    <col min="42" max="16384" width="9.33203125" style="80"/>
  </cols>
  <sheetData>
    <row r="4" spans="1:42">
      <c r="AI4" s="58" t="s">
        <v>443</v>
      </c>
    </row>
    <row r="5" spans="1:42" ht="16.2">
      <c r="A5" s="4" t="s">
        <v>0</v>
      </c>
      <c r="B5" s="80"/>
      <c r="C5" s="80"/>
      <c r="D5" s="467"/>
      <c r="E5" s="895" t="s">
        <v>2</v>
      </c>
      <c r="F5" s="895"/>
      <c r="G5" s="895"/>
      <c r="H5" s="25"/>
      <c r="I5" s="25"/>
      <c r="J5" s="25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2"/>
      <c r="AE5" s="80"/>
      <c r="AF5" s="80"/>
      <c r="AG5" s="80"/>
      <c r="AH5" s="80"/>
      <c r="AI5" s="26"/>
      <c r="AJ5" s="83"/>
      <c r="AK5" s="80"/>
    </row>
    <row r="6" spans="1:42" ht="30" customHeight="1">
      <c r="E6" s="895" t="s">
        <v>4</v>
      </c>
      <c r="F6" s="895"/>
      <c r="G6" s="895"/>
      <c r="H6" s="25"/>
      <c r="I6" s="25"/>
      <c r="J6" s="25"/>
      <c r="Z6" s="201"/>
      <c r="AE6" s="902" t="s">
        <v>5</v>
      </c>
      <c r="AF6" s="903"/>
      <c r="AG6" s="904"/>
      <c r="AH6" s="86"/>
      <c r="AI6" s="185" t="s">
        <v>444</v>
      </c>
      <c r="AJ6" s="87"/>
    </row>
    <row r="7" spans="1:42" s="484" customFormat="1" ht="51" customHeight="1">
      <c r="A7" s="463" t="s">
        <v>445</v>
      </c>
      <c r="B7" s="463" t="s">
        <v>446</v>
      </c>
      <c r="C7" s="463" t="s">
        <v>447</v>
      </c>
      <c r="D7" s="463" t="s">
        <v>448</v>
      </c>
      <c r="E7" s="474" t="s">
        <v>10</v>
      </c>
      <c r="F7" s="475" t="s">
        <v>11</v>
      </c>
      <c r="G7" s="475" t="s">
        <v>12</v>
      </c>
      <c r="H7" s="476" t="s">
        <v>449</v>
      </c>
      <c r="I7" s="477" t="s">
        <v>450</v>
      </c>
      <c r="J7" s="475"/>
      <c r="K7" s="478">
        <v>45566</v>
      </c>
      <c r="L7" s="478">
        <v>45597</v>
      </c>
      <c r="M7" s="478">
        <v>45627</v>
      </c>
      <c r="N7" s="479" t="s">
        <v>451</v>
      </c>
      <c r="O7" s="479" t="s">
        <v>452</v>
      </c>
      <c r="P7" s="479" t="s">
        <v>453</v>
      </c>
      <c r="Q7" s="479" t="s">
        <v>454</v>
      </c>
      <c r="R7" s="479" t="s">
        <v>455</v>
      </c>
      <c r="S7" s="479" t="s">
        <v>456</v>
      </c>
      <c r="T7" s="479" t="s">
        <v>457</v>
      </c>
      <c r="U7" s="479" t="s">
        <v>458</v>
      </c>
      <c r="V7" s="479" t="s">
        <v>459</v>
      </c>
      <c r="W7" s="479" t="s">
        <v>460</v>
      </c>
      <c r="X7" s="479" t="s">
        <v>461</v>
      </c>
      <c r="Y7" s="479" t="s">
        <v>462</v>
      </c>
      <c r="Z7" s="480">
        <v>45658</v>
      </c>
      <c r="AA7" s="480">
        <v>45689</v>
      </c>
      <c r="AB7" s="480">
        <v>45717</v>
      </c>
      <c r="AC7" s="476" t="s">
        <v>449</v>
      </c>
      <c r="AD7" s="477" t="s">
        <v>450</v>
      </c>
      <c r="AE7" s="481" t="s">
        <v>463</v>
      </c>
      <c r="AF7" s="481" t="s">
        <v>464</v>
      </c>
      <c r="AG7" s="482" t="s">
        <v>15</v>
      </c>
      <c r="AH7" s="463" t="s">
        <v>465</v>
      </c>
      <c r="AI7" s="463" t="s">
        <v>466</v>
      </c>
      <c r="AJ7" s="463" t="s">
        <v>467</v>
      </c>
      <c r="AK7" s="463" t="s">
        <v>18</v>
      </c>
      <c r="AL7" s="483"/>
      <c r="AO7" s="485"/>
    </row>
    <row r="8" spans="1:42" s="484" customFormat="1">
      <c r="A8" s="486"/>
      <c r="B8" s="487"/>
      <c r="C8" s="488"/>
      <c r="D8" s="472"/>
      <c r="E8" s="472"/>
      <c r="F8" s="472"/>
      <c r="G8" s="489"/>
      <c r="H8" s="489"/>
      <c r="I8" s="489"/>
      <c r="J8" s="490"/>
      <c r="K8" s="491"/>
      <c r="L8" s="491"/>
      <c r="M8" s="491"/>
      <c r="N8" s="492"/>
      <c r="O8" s="492"/>
      <c r="P8" s="492"/>
      <c r="Q8" s="492"/>
      <c r="R8" s="492"/>
      <c r="S8" s="492"/>
      <c r="T8" s="492"/>
      <c r="U8" s="492"/>
      <c r="V8" s="492"/>
      <c r="W8" s="492"/>
      <c r="X8" s="492"/>
      <c r="Y8" s="492"/>
      <c r="Z8" s="491"/>
      <c r="AA8" s="491"/>
      <c r="AB8" s="491"/>
      <c r="AC8" s="491"/>
      <c r="AD8" s="493"/>
      <c r="AE8" s="494" t="s">
        <v>468</v>
      </c>
      <c r="AF8" s="494" t="s">
        <v>468</v>
      </c>
      <c r="AG8" s="494"/>
      <c r="AH8" s="495"/>
      <c r="AI8" s="496"/>
      <c r="AJ8" s="496"/>
      <c r="AK8" s="497"/>
      <c r="AL8" s="498"/>
    </row>
    <row r="9" spans="1:42" s="484" customFormat="1">
      <c r="A9" s="499">
        <v>45748</v>
      </c>
      <c r="B9" s="500" t="s">
        <v>469</v>
      </c>
      <c r="C9" s="488">
        <v>137</v>
      </c>
      <c r="D9" s="464" t="str">
        <f>VLOOKUP(C9,'MASTER Name List'!$B$3:$M$186,2,FALSE)</f>
        <v>赖美珍</v>
      </c>
      <c r="E9" s="501">
        <v>45748</v>
      </c>
      <c r="F9" s="502">
        <v>45748</v>
      </c>
      <c r="G9" s="503">
        <v>45748</v>
      </c>
      <c r="H9" s="504">
        <f>DATEDIF(E9,F9,"M")+1</f>
        <v>1</v>
      </c>
      <c r="I9" s="504">
        <v>50</v>
      </c>
      <c r="J9" s="505">
        <f>H9*I9</f>
        <v>50</v>
      </c>
      <c r="K9" s="506"/>
      <c r="L9" s="506"/>
      <c r="M9" s="506"/>
      <c r="N9" s="507"/>
      <c r="O9" s="507"/>
      <c r="P9" s="507"/>
      <c r="Q9" s="508" t="s">
        <v>470</v>
      </c>
      <c r="R9" s="508"/>
      <c r="S9" s="508"/>
      <c r="T9" s="507"/>
      <c r="U9" s="507"/>
      <c r="V9" s="507"/>
      <c r="W9" s="507"/>
      <c r="X9" s="507"/>
      <c r="Y9" s="507"/>
      <c r="Z9" s="506"/>
      <c r="AA9" s="506"/>
      <c r="AB9" s="506"/>
      <c r="AC9" s="509" t="str">
        <f>COUNTIF($K9:$AB9,"X") &amp; ""</f>
        <v>1</v>
      </c>
      <c r="AD9" s="510">
        <v>50</v>
      </c>
      <c r="AE9" s="511">
        <f>COUNTIF($K9:$AB9,"X")*$AD9</f>
        <v>50</v>
      </c>
      <c r="AF9" s="512"/>
      <c r="AG9" s="512"/>
      <c r="AH9" s="513">
        <v>1</v>
      </c>
      <c r="AI9" s="514"/>
      <c r="AJ9" s="515"/>
      <c r="AK9" s="516">
        <v>123</v>
      </c>
      <c r="AL9" s="517"/>
      <c r="AN9" s="518"/>
      <c r="AO9" s="518"/>
    </row>
    <row r="10" spans="1:42" s="484" customFormat="1">
      <c r="A10" s="499">
        <v>45749</v>
      </c>
      <c r="B10" s="500" t="s">
        <v>471</v>
      </c>
      <c r="C10" s="488">
        <v>4</v>
      </c>
      <c r="D10" s="464" t="str">
        <f>VLOOKUP(C10,'MASTER Name List'!$B$3:$M$186,2,FALSE)</f>
        <v>邹运金</v>
      </c>
      <c r="E10" s="501">
        <v>45717</v>
      </c>
      <c r="F10" s="502">
        <v>45748</v>
      </c>
      <c r="G10" s="503" t="s">
        <v>300</v>
      </c>
      <c r="H10" s="504">
        <f>DATEDIF(E10,F10,"M")+1</f>
        <v>2</v>
      </c>
      <c r="I10" s="504">
        <v>50</v>
      </c>
      <c r="J10" s="519">
        <f>H10*I10</f>
        <v>100</v>
      </c>
      <c r="K10" s="506"/>
      <c r="L10" s="506"/>
      <c r="M10" s="506"/>
      <c r="N10" s="507"/>
      <c r="O10" s="507"/>
      <c r="P10" s="507" t="s">
        <v>470</v>
      </c>
      <c r="Q10" s="507" t="s">
        <v>470</v>
      </c>
      <c r="R10" s="507"/>
      <c r="S10" s="507"/>
      <c r="T10" s="507"/>
      <c r="U10" s="507"/>
      <c r="V10" s="507"/>
      <c r="W10" s="507"/>
      <c r="X10" s="507"/>
      <c r="Y10" s="507"/>
      <c r="Z10" s="506"/>
      <c r="AA10" s="506"/>
      <c r="AB10" s="506"/>
      <c r="AC10" s="509" t="str">
        <f t="shared" ref="AC10:AC21" si="0">COUNTIF($K10:$AB10,"X") &amp; ""</f>
        <v>2</v>
      </c>
      <c r="AD10" s="510">
        <v>50</v>
      </c>
      <c r="AE10" s="511">
        <f t="shared" ref="AE10:AE21" si="1">COUNTIF($K10:$AB10,"X")*$AD10</f>
        <v>100</v>
      </c>
      <c r="AF10" s="512"/>
      <c r="AG10" s="512"/>
      <c r="AH10" s="513">
        <v>1</v>
      </c>
      <c r="AI10" s="514"/>
      <c r="AJ10" s="520"/>
      <c r="AK10" s="521"/>
      <c r="AL10" s="522"/>
      <c r="AN10" s="518"/>
      <c r="AO10" s="518"/>
    </row>
    <row r="11" spans="1:42" s="484" customFormat="1">
      <c r="A11" s="499">
        <v>45755</v>
      </c>
      <c r="B11" s="500" t="s">
        <v>472</v>
      </c>
      <c r="C11" s="488">
        <v>132</v>
      </c>
      <c r="D11" s="464" t="str">
        <f>VLOOKUP(C11,'MASTER Name List'!$B$3:$M$186,2,FALSE)</f>
        <v>陈杍䍿</v>
      </c>
      <c r="E11" s="501">
        <v>45778</v>
      </c>
      <c r="F11" s="502">
        <v>45778</v>
      </c>
      <c r="G11" s="523">
        <v>45778</v>
      </c>
      <c r="H11" s="524">
        <f t="shared" ref="H11:H43" si="2">DATEDIF(E11,F11,"M")+1</f>
        <v>1</v>
      </c>
      <c r="I11" s="524">
        <v>50</v>
      </c>
      <c r="J11" s="525">
        <f t="shared" ref="J11:J43" si="3">H11*I11</f>
        <v>50</v>
      </c>
      <c r="K11" s="506"/>
      <c r="L11" s="506"/>
      <c r="M11" s="506"/>
      <c r="N11" s="507"/>
      <c r="O11" s="507"/>
      <c r="P11" s="507"/>
      <c r="Q11" s="507"/>
      <c r="R11" s="507" t="s">
        <v>470</v>
      </c>
      <c r="S11" s="507"/>
      <c r="T11" s="507"/>
      <c r="U11" s="507"/>
      <c r="V11" s="507"/>
      <c r="W11" s="507"/>
      <c r="X11" s="507"/>
      <c r="Y11" s="507"/>
      <c r="Z11" s="506"/>
      <c r="AA11" s="506"/>
      <c r="AB11" s="506"/>
      <c r="AC11" s="509" t="str">
        <f t="shared" si="0"/>
        <v>1</v>
      </c>
      <c r="AD11" s="510">
        <v>50</v>
      </c>
      <c r="AE11" s="511">
        <f t="shared" si="1"/>
        <v>50</v>
      </c>
      <c r="AF11" s="512"/>
      <c r="AG11" s="512"/>
      <c r="AH11" s="513">
        <v>1</v>
      </c>
      <c r="AI11" s="485"/>
      <c r="AJ11" s="520"/>
      <c r="AK11" s="485"/>
      <c r="AL11" s="522"/>
      <c r="AO11" s="518"/>
      <c r="AP11" s="526">
        <v>45536</v>
      </c>
    </row>
    <row r="12" spans="1:42" s="484" customFormat="1">
      <c r="A12" s="499">
        <v>45759</v>
      </c>
      <c r="B12" s="500" t="s">
        <v>473</v>
      </c>
      <c r="C12" s="488">
        <v>69</v>
      </c>
      <c r="D12" s="464" t="str">
        <f>VLOOKUP(C12,'MASTER Name List'!$B$3:$M$186,2,FALSE)</f>
        <v>卢锭伟</v>
      </c>
      <c r="E12" s="501">
        <v>45839</v>
      </c>
      <c r="F12" s="502">
        <v>45992</v>
      </c>
      <c r="G12" s="523" t="s">
        <v>474</v>
      </c>
      <c r="H12" s="524">
        <f t="shared" si="2"/>
        <v>6</v>
      </c>
      <c r="I12" s="524">
        <v>50</v>
      </c>
      <c r="J12" s="525">
        <f t="shared" si="3"/>
        <v>300</v>
      </c>
      <c r="K12" s="506"/>
      <c r="L12" s="506"/>
      <c r="M12" s="506"/>
      <c r="N12" s="507"/>
      <c r="O12" s="507"/>
      <c r="P12" s="507"/>
      <c r="Q12" s="507"/>
      <c r="R12" s="507"/>
      <c r="S12" s="507"/>
      <c r="T12" s="507" t="s">
        <v>470</v>
      </c>
      <c r="U12" s="507" t="s">
        <v>470</v>
      </c>
      <c r="V12" s="507" t="s">
        <v>470</v>
      </c>
      <c r="W12" s="507" t="s">
        <v>470</v>
      </c>
      <c r="X12" s="507" t="s">
        <v>470</v>
      </c>
      <c r="Y12" s="507" t="s">
        <v>470</v>
      </c>
      <c r="Z12" s="506"/>
      <c r="AA12" s="506"/>
      <c r="AB12" s="506"/>
      <c r="AC12" s="509" t="str">
        <f t="shared" si="0"/>
        <v>6</v>
      </c>
      <c r="AD12" s="510">
        <v>50</v>
      </c>
      <c r="AE12" s="511">
        <f t="shared" si="1"/>
        <v>300</v>
      </c>
      <c r="AF12" s="512"/>
      <c r="AG12" s="512"/>
      <c r="AH12" s="513">
        <v>1</v>
      </c>
      <c r="AI12" s="514">
        <f>SUMIF(AH:AH,"1",AE:AE)</f>
        <v>500</v>
      </c>
      <c r="AJ12" s="520" t="s">
        <v>475</v>
      </c>
      <c r="AK12" s="485"/>
      <c r="AL12" s="522"/>
      <c r="AO12" s="518"/>
      <c r="AP12" s="526">
        <v>45566</v>
      </c>
    </row>
    <row r="13" spans="1:42" s="484" customFormat="1">
      <c r="A13" s="499">
        <v>45763</v>
      </c>
      <c r="B13" s="500" t="s">
        <v>476</v>
      </c>
      <c r="C13" s="488">
        <v>43</v>
      </c>
      <c r="D13" s="464" t="str">
        <f>VLOOKUP(C13,'MASTER Name List'!$B$3:$M$186,2,FALSE)</f>
        <v>林德成</v>
      </c>
      <c r="E13" s="501">
        <v>45748</v>
      </c>
      <c r="F13" s="502">
        <v>45809</v>
      </c>
      <c r="G13" s="523" t="s">
        <v>477</v>
      </c>
      <c r="H13" s="524">
        <f t="shared" si="2"/>
        <v>3</v>
      </c>
      <c r="I13" s="524">
        <v>50</v>
      </c>
      <c r="J13" s="525">
        <f t="shared" si="3"/>
        <v>150</v>
      </c>
      <c r="K13" s="506"/>
      <c r="L13" s="506"/>
      <c r="M13" s="506"/>
      <c r="N13" s="507"/>
      <c r="O13" s="507"/>
      <c r="P13" s="507"/>
      <c r="Q13" s="507" t="s">
        <v>470</v>
      </c>
      <c r="R13" s="507" t="s">
        <v>470</v>
      </c>
      <c r="S13" s="507" t="s">
        <v>470</v>
      </c>
      <c r="T13" s="507"/>
      <c r="U13" s="507"/>
      <c r="V13" s="507"/>
      <c r="W13" s="507"/>
      <c r="X13" s="507"/>
      <c r="Y13" s="507"/>
      <c r="Z13" s="506"/>
      <c r="AA13" s="506"/>
      <c r="AB13" s="506"/>
      <c r="AC13" s="509" t="str">
        <f t="shared" si="0"/>
        <v>3</v>
      </c>
      <c r="AD13" s="510">
        <v>50</v>
      </c>
      <c r="AE13" s="511">
        <f t="shared" si="1"/>
        <v>150</v>
      </c>
      <c r="AF13" s="512"/>
      <c r="AG13" s="512"/>
      <c r="AH13" s="513">
        <v>2</v>
      </c>
      <c r="AI13" s="514"/>
      <c r="AJ13" s="520"/>
      <c r="AK13" s="485"/>
      <c r="AL13" s="522"/>
      <c r="AO13" s="518"/>
      <c r="AP13" s="526">
        <v>45597</v>
      </c>
    </row>
    <row r="14" spans="1:42" s="484" customFormat="1">
      <c r="A14" s="499">
        <v>45769</v>
      </c>
      <c r="B14" s="500" t="s">
        <v>478</v>
      </c>
      <c r="C14" s="488">
        <v>185</v>
      </c>
      <c r="D14" s="464" t="str">
        <f>VLOOKUP(C14,'MASTER Name List'!$B$3:$M$186,2,FALSE)</f>
        <v>羅梅瑂</v>
      </c>
      <c r="E14" s="501">
        <v>45717</v>
      </c>
      <c r="F14" s="502">
        <v>45809</v>
      </c>
      <c r="G14" s="523" t="s">
        <v>479</v>
      </c>
      <c r="H14" s="524">
        <f t="shared" si="2"/>
        <v>4</v>
      </c>
      <c r="I14" s="524">
        <v>50</v>
      </c>
      <c r="J14" s="525">
        <f t="shared" si="3"/>
        <v>200</v>
      </c>
      <c r="K14" s="506"/>
      <c r="L14" s="506"/>
      <c r="M14" s="506"/>
      <c r="N14" s="507"/>
      <c r="O14" s="507"/>
      <c r="P14" s="507" t="s">
        <v>470</v>
      </c>
      <c r="Q14" s="507" t="s">
        <v>470</v>
      </c>
      <c r="R14" s="507" t="s">
        <v>470</v>
      </c>
      <c r="S14" s="507" t="s">
        <v>470</v>
      </c>
      <c r="T14" s="507"/>
      <c r="U14" s="507"/>
      <c r="V14" s="507"/>
      <c r="W14" s="507"/>
      <c r="X14" s="507"/>
      <c r="Y14" s="507"/>
      <c r="Z14" s="506"/>
      <c r="AA14" s="506"/>
      <c r="AB14" s="506"/>
      <c r="AC14" s="509" t="str">
        <f t="shared" si="0"/>
        <v>4</v>
      </c>
      <c r="AD14" s="510">
        <v>50</v>
      </c>
      <c r="AE14" s="511">
        <f t="shared" si="1"/>
        <v>200</v>
      </c>
      <c r="AF14" s="512"/>
      <c r="AG14" s="512"/>
      <c r="AH14" s="513">
        <v>2</v>
      </c>
      <c r="AI14" s="514"/>
      <c r="AJ14" s="520"/>
      <c r="AK14" s="485"/>
      <c r="AL14" s="522"/>
      <c r="AO14" s="518"/>
      <c r="AP14" s="526">
        <v>45627</v>
      </c>
    </row>
    <row r="15" spans="1:42" s="484" customFormat="1">
      <c r="A15" s="499">
        <v>45770</v>
      </c>
      <c r="B15" s="500" t="s">
        <v>480</v>
      </c>
      <c r="C15" s="488">
        <v>126</v>
      </c>
      <c r="D15" s="464" t="str">
        <f>VLOOKUP(C15,'MASTER Name List'!$B$3:$M$186,2,FALSE)</f>
        <v>张凤</v>
      </c>
      <c r="E15" s="527">
        <v>45748</v>
      </c>
      <c r="F15" s="502">
        <v>45809</v>
      </c>
      <c r="G15" s="523" t="s">
        <v>477</v>
      </c>
      <c r="H15" s="524">
        <f t="shared" si="2"/>
        <v>3</v>
      </c>
      <c r="I15" s="524">
        <v>50</v>
      </c>
      <c r="J15" s="525">
        <f t="shared" si="3"/>
        <v>150</v>
      </c>
      <c r="K15" s="506"/>
      <c r="L15" s="506"/>
      <c r="M15" s="506"/>
      <c r="N15" s="507"/>
      <c r="O15" s="507"/>
      <c r="P15" s="507"/>
      <c r="Q15" s="507" t="s">
        <v>470</v>
      </c>
      <c r="R15" s="507" t="s">
        <v>470</v>
      </c>
      <c r="S15" s="507" t="s">
        <v>470</v>
      </c>
      <c r="T15" s="507"/>
      <c r="U15" s="507"/>
      <c r="V15" s="507"/>
      <c r="W15" s="507"/>
      <c r="X15" s="507"/>
      <c r="Y15" s="507"/>
      <c r="Z15" s="506"/>
      <c r="AA15" s="506"/>
      <c r="AB15" s="506"/>
      <c r="AC15" s="509" t="str">
        <f t="shared" si="0"/>
        <v>3</v>
      </c>
      <c r="AD15" s="510">
        <v>50</v>
      </c>
      <c r="AE15" s="511">
        <f t="shared" si="1"/>
        <v>150</v>
      </c>
      <c r="AF15" s="512"/>
      <c r="AG15" s="512"/>
      <c r="AH15" s="513">
        <v>2</v>
      </c>
      <c r="AI15" s="514"/>
      <c r="AJ15" s="520"/>
      <c r="AK15" s="485"/>
      <c r="AL15" s="522"/>
      <c r="AO15" s="518"/>
      <c r="AP15" s="528">
        <v>45658</v>
      </c>
    </row>
    <row r="16" spans="1:42" s="484" customFormat="1">
      <c r="A16" s="499">
        <v>45772</v>
      </c>
      <c r="B16" s="500" t="s">
        <v>481</v>
      </c>
      <c r="C16" s="488">
        <v>168</v>
      </c>
      <c r="D16" s="464" t="str">
        <f>VLOOKUP(C16,'MASTER Name List'!$B$3:$M$186,2,FALSE)</f>
        <v>王秋蓉</v>
      </c>
      <c r="E16" s="502">
        <v>45717</v>
      </c>
      <c r="F16" s="502">
        <v>45748</v>
      </c>
      <c r="G16" s="523" t="s">
        <v>300</v>
      </c>
      <c r="H16" s="524">
        <f t="shared" si="2"/>
        <v>2</v>
      </c>
      <c r="I16" s="524">
        <v>50</v>
      </c>
      <c r="J16" s="525">
        <f t="shared" si="3"/>
        <v>100</v>
      </c>
      <c r="K16" s="506"/>
      <c r="L16" s="506"/>
      <c r="M16" s="506"/>
      <c r="N16" s="507"/>
      <c r="O16" s="507"/>
      <c r="P16" s="507" t="s">
        <v>470</v>
      </c>
      <c r="Q16" s="507" t="s">
        <v>470</v>
      </c>
      <c r="R16" s="507"/>
      <c r="S16" s="507"/>
      <c r="T16" s="507"/>
      <c r="U16" s="507"/>
      <c r="V16" s="507"/>
      <c r="W16" s="507"/>
      <c r="X16" s="507"/>
      <c r="Y16" s="507"/>
      <c r="Z16" s="506"/>
      <c r="AA16" s="506"/>
      <c r="AB16" s="506"/>
      <c r="AC16" s="509" t="str">
        <f t="shared" si="0"/>
        <v>2</v>
      </c>
      <c r="AD16" s="510">
        <v>50</v>
      </c>
      <c r="AE16" s="511">
        <f t="shared" si="1"/>
        <v>100</v>
      </c>
      <c r="AF16" s="512"/>
      <c r="AG16" s="512"/>
      <c r="AH16" s="513">
        <v>2</v>
      </c>
      <c r="AI16" s="514">
        <f>SUMIF(AH:AH,"2",AE:AE)</f>
        <v>600</v>
      </c>
      <c r="AJ16" s="520" t="s">
        <v>482</v>
      </c>
      <c r="AK16" s="485"/>
      <c r="AL16" s="522"/>
      <c r="AO16" s="518"/>
      <c r="AP16" s="528">
        <v>45689</v>
      </c>
    </row>
    <row r="17" spans="1:42" s="484" customFormat="1">
      <c r="A17" s="499">
        <v>45775</v>
      </c>
      <c r="B17" s="500" t="s">
        <v>483</v>
      </c>
      <c r="C17" s="488">
        <v>178</v>
      </c>
      <c r="D17" s="464" t="str">
        <f>VLOOKUP(C17,'MASTER Name List'!$B$3:$M$186,2,FALSE)</f>
        <v>颜美葒</v>
      </c>
      <c r="E17" s="502">
        <v>45748</v>
      </c>
      <c r="F17" s="502">
        <v>45809</v>
      </c>
      <c r="G17" s="523" t="s">
        <v>477</v>
      </c>
      <c r="H17" s="524">
        <f t="shared" si="2"/>
        <v>3</v>
      </c>
      <c r="I17" s="524">
        <v>50</v>
      </c>
      <c r="J17" s="525">
        <f t="shared" si="3"/>
        <v>150</v>
      </c>
      <c r="K17" s="506"/>
      <c r="L17" s="506"/>
      <c r="M17" s="506"/>
      <c r="N17" s="507"/>
      <c r="O17" s="507"/>
      <c r="P17" s="507"/>
      <c r="Q17" s="507" t="s">
        <v>470</v>
      </c>
      <c r="R17" s="507" t="s">
        <v>470</v>
      </c>
      <c r="S17" s="507" t="s">
        <v>470</v>
      </c>
      <c r="T17" s="507"/>
      <c r="U17" s="507"/>
      <c r="V17" s="507"/>
      <c r="W17" s="507"/>
      <c r="X17" s="507"/>
      <c r="Y17" s="507"/>
      <c r="Z17" s="506"/>
      <c r="AA17" s="506"/>
      <c r="AB17" s="506"/>
      <c r="AC17" s="509" t="str">
        <f t="shared" si="0"/>
        <v>3</v>
      </c>
      <c r="AD17" s="510">
        <v>50</v>
      </c>
      <c r="AE17" s="511">
        <f t="shared" si="1"/>
        <v>150</v>
      </c>
      <c r="AF17" s="512"/>
      <c r="AG17" s="512"/>
      <c r="AH17" s="513">
        <v>3</v>
      </c>
      <c r="AI17" s="514"/>
      <c r="AJ17" s="520"/>
      <c r="AK17" s="485"/>
      <c r="AL17" s="522"/>
      <c r="AO17" s="518"/>
      <c r="AP17" s="528">
        <v>45717</v>
      </c>
    </row>
    <row r="18" spans="1:42" s="484" customFormat="1">
      <c r="A18" s="499">
        <v>45775</v>
      </c>
      <c r="B18" s="500" t="s">
        <v>484</v>
      </c>
      <c r="C18" s="488">
        <v>131</v>
      </c>
      <c r="D18" s="464" t="str">
        <f>VLOOKUP(C18,'MASTER Name List'!$B$3:$M$186,2,FALSE)</f>
        <v>王康芬</v>
      </c>
      <c r="E18" s="502">
        <v>45748</v>
      </c>
      <c r="F18" s="502">
        <v>45778</v>
      </c>
      <c r="G18" s="523" t="s">
        <v>485</v>
      </c>
      <c r="H18" s="524">
        <f t="shared" si="2"/>
        <v>2</v>
      </c>
      <c r="I18" s="524">
        <v>50</v>
      </c>
      <c r="J18" s="525">
        <f t="shared" si="3"/>
        <v>100</v>
      </c>
      <c r="K18" s="506"/>
      <c r="L18" s="506"/>
      <c r="M18" s="506"/>
      <c r="N18" s="507"/>
      <c r="O18" s="507"/>
      <c r="P18" s="507"/>
      <c r="Q18" s="507" t="s">
        <v>470</v>
      </c>
      <c r="R18" s="507" t="s">
        <v>470</v>
      </c>
      <c r="S18" s="507"/>
      <c r="T18" s="507"/>
      <c r="U18" s="507"/>
      <c r="V18" s="507"/>
      <c r="W18" s="507"/>
      <c r="X18" s="507"/>
      <c r="Y18" s="507"/>
      <c r="Z18" s="506"/>
      <c r="AA18" s="506"/>
      <c r="AB18" s="506"/>
      <c r="AC18" s="509" t="str">
        <f t="shared" si="0"/>
        <v>2</v>
      </c>
      <c r="AD18" s="510">
        <v>50</v>
      </c>
      <c r="AE18" s="511">
        <f t="shared" si="1"/>
        <v>100</v>
      </c>
      <c r="AF18" s="512"/>
      <c r="AG18" s="512"/>
      <c r="AH18" s="513">
        <v>3</v>
      </c>
      <c r="AI18" s="514">
        <f>SUMIF(AH:AH,"3",AE:AE)</f>
        <v>250</v>
      </c>
      <c r="AJ18" s="520" t="s">
        <v>486</v>
      </c>
      <c r="AK18" s="521"/>
      <c r="AL18" s="522"/>
      <c r="AO18" s="518"/>
      <c r="AP18" s="528">
        <v>45748</v>
      </c>
    </row>
    <row r="19" spans="1:42" s="484" customFormat="1">
      <c r="A19" s="499"/>
      <c r="B19" s="500"/>
      <c r="C19" s="488"/>
      <c r="D19" s="464" t="e">
        <f>VLOOKUP(C19,'MASTER Name List'!$B$3:$M$186,2,FALSE)</f>
        <v>#N/A</v>
      </c>
      <c r="E19" s="502"/>
      <c r="F19" s="502"/>
      <c r="G19" s="529"/>
      <c r="H19" s="530">
        <f t="shared" si="2"/>
        <v>1</v>
      </c>
      <c r="I19" s="530">
        <v>50</v>
      </c>
      <c r="J19" s="531">
        <f t="shared" si="3"/>
        <v>50</v>
      </c>
      <c r="K19" s="532"/>
      <c r="L19" s="532"/>
      <c r="M19" s="532"/>
      <c r="N19" s="533"/>
      <c r="O19" s="533"/>
      <c r="P19" s="533"/>
      <c r="Q19" s="533"/>
      <c r="R19" s="533"/>
      <c r="S19" s="533"/>
      <c r="T19" s="533"/>
      <c r="U19" s="533"/>
      <c r="V19" s="533"/>
      <c r="W19" s="533"/>
      <c r="X19" s="533"/>
      <c r="Y19" s="533"/>
      <c r="Z19" s="532"/>
      <c r="AA19" s="532"/>
      <c r="AB19" s="532"/>
      <c r="AC19" s="509" t="str">
        <f t="shared" si="0"/>
        <v>0</v>
      </c>
      <c r="AD19" s="510">
        <v>50</v>
      </c>
      <c r="AE19" s="511">
        <f t="shared" si="1"/>
        <v>0</v>
      </c>
      <c r="AF19" s="512"/>
      <c r="AG19" s="512"/>
      <c r="AH19" s="513"/>
      <c r="AI19" s="514"/>
      <c r="AJ19" s="520"/>
      <c r="AK19" s="521"/>
      <c r="AL19" s="522"/>
      <c r="AO19" s="518"/>
      <c r="AP19" s="528">
        <v>45778</v>
      </c>
    </row>
    <row r="20" spans="1:42" s="484" customFormat="1">
      <c r="A20" s="499"/>
      <c r="B20" s="500"/>
      <c r="C20" s="488"/>
      <c r="D20" s="464" t="e">
        <f>VLOOKUP(C20,'MASTER Name List'!$B$3:$M$186,2,FALSE)</f>
        <v>#N/A</v>
      </c>
      <c r="E20" s="502"/>
      <c r="F20" s="502"/>
      <c r="G20" s="529"/>
      <c r="H20" s="530">
        <f t="shared" si="2"/>
        <v>1</v>
      </c>
      <c r="I20" s="530">
        <v>50</v>
      </c>
      <c r="J20" s="531">
        <f t="shared" si="3"/>
        <v>50</v>
      </c>
      <c r="K20" s="532"/>
      <c r="L20" s="532"/>
      <c r="M20" s="532"/>
      <c r="N20" s="533"/>
      <c r="O20" s="533"/>
      <c r="P20" s="533"/>
      <c r="Q20" s="533"/>
      <c r="R20" s="533"/>
      <c r="S20" s="533"/>
      <c r="T20" s="533"/>
      <c r="U20" s="533"/>
      <c r="V20" s="533"/>
      <c r="W20" s="533"/>
      <c r="X20" s="533"/>
      <c r="Y20" s="533"/>
      <c r="Z20" s="532"/>
      <c r="AA20" s="532"/>
      <c r="AB20" s="532"/>
      <c r="AC20" s="509" t="str">
        <f t="shared" si="0"/>
        <v>0</v>
      </c>
      <c r="AD20" s="510">
        <v>50</v>
      </c>
      <c r="AE20" s="511">
        <f t="shared" si="1"/>
        <v>0</v>
      </c>
      <c r="AF20" s="512"/>
      <c r="AG20" s="512"/>
      <c r="AH20" s="513"/>
      <c r="AI20" s="514"/>
      <c r="AJ20" s="520"/>
      <c r="AK20" s="521"/>
      <c r="AL20" s="522"/>
      <c r="AO20" s="518"/>
      <c r="AP20" s="528">
        <v>45809</v>
      </c>
    </row>
    <row r="21" spans="1:42" s="484" customFormat="1">
      <c r="A21" s="499"/>
      <c r="B21" s="500"/>
      <c r="C21" s="488"/>
      <c r="D21" s="464" t="e">
        <f>VLOOKUP(C21,'MASTER Name List'!$B$3:$M$186,2,FALSE)</f>
        <v>#N/A</v>
      </c>
      <c r="E21" s="502"/>
      <c r="F21" s="502"/>
      <c r="G21" s="529"/>
      <c r="H21" s="530">
        <f t="shared" si="2"/>
        <v>1</v>
      </c>
      <c r="I21" s="530">
        <v>50</v>
      </c>
      <c r="J21" s="531">
        <f t="shared" si="3"/>
        <v>50</v>
      </c>
      <c r="K21" s="532"/>
      <c r="L21" s="532"/>
      <c r="M21" s="532"/>
      <c r="N21" s="533"/>
      <c r="O21" s="533"/>
      <c r="P21" s="533"/>
      <c r="Q21" s="533"/>
      <c r="R21" s="533"/>
      <c r="S21" s="533"/>
      <c r="T21" s="533"/>
      <c r="U21" s="533"/>
      <c r="V21" s="533"/>
      <c r="W21" s="533"/>
      <c r="X21" s="533"/>
      <c r="Y21" s="533"/>
      <c r="Z21" s="532"/>
      <c r="AA21" s="532"/>
      <c r="AB21" s="532"/>
      <c r="AC21" s="509" t="str">
        <f t="shared" si="0"/>
        <v>0</v>
      </c>
      <c r="AD21" s="510">
        <v>50</v>
      </c>
      <c r="AE21" s="511">
        <f t="shared" si="1"/>
        <v>0</v>
      </c>
      <c r="AF21" s="512"/>
      <c r="AG21" s="512"/>
      <c r="AH21" s="513"/>
      <c r="AI21" s="514"/>
      <c r="AJ21" s="520"/>
      <c r="AK21" s="521"/>
      <c r="AL21" s="522"/>
      <c r="AO21" s="518"/>
      <c r="AP21" s="528">
        <v>45839</v>
      </c>
    </row>
    <row r="22" spans="1:42" s="484" customFormat="1">
      <c r="A22" s="499"/>
      <c r="B22" s="500"/>
      <c r="C22" s="488"/>
      <c r="D22" s="464" t="e">
        <f>VLOOKUP(C22,'MASTER Name List'!$B$3:$M$186,2,FALSE)</f>
        <v>#N/A</v>
      </c>
      <c r="E22" s="502"/>
      <c r="F22" s="502"/>
      <c r="G22" s="529"/>
      <c r="H22" s="530">
        <f t="shared" si="2"/>
        <v>1</v>
      </c>
      <c r="I22" s="530">
        <v>50</v>
      </c>
      <c r="J22" s="531">
        <f t="shared" si="3"/>
        <v>50</v>
      </c>
      <c r="K22" s="532"/>
      <c r="L22" s="532"/>
      <c r="M22" s="532"/>
      <c r="N22" s="533"/>
      <c r="O22" s="533"/>
      <c r="P22" s="533"/>
      <c r="Q22" s="533"/>
      <c r="R22" s="533"/>
      <c r="S22" s="533"/>
      <c r="T22" s="533"/>
      <c r="U22" s="533"/>
      <c r="V22" s="533"/>
      <c r="W22" s="533"/>
      <c r="X22" s="533"/>
      <c r="Y22" s="533"/>
      <c r="Z22" s="532"/>
      <c r="AA22" s="532"/>
      <c r="AB22" s="532"/>
      <c r="AC22" s="532"/>
      <c r="AD22" s="534"/>
      <c r="AE22" s="511"/>
      <c r="AF22" s="512"/>
      <c r="AG22" s="512"/>
      <c r="AH22" s="513"/>
      <c r="AI22" s="514"/>
      <c r="AJ22" s="520"/>
      <c r="AK22" s="521"/>
      <c r="AL22" s="522"/>
      <c r="AO22" s="518"/>
      <c r="AP22" s="528">
        <v>45870</v>
      </c>
    </row>
    <row r="23" spans="1:42" s="484" customFormat="1">
      <c r="A23" s="499"/>
      <c r="B23" s="500"/>
      <c r="C23" s="488"/>
      <c r="D23" s="464" t="e">
        <f>VLOOKUP(C23,'MASTER Name List'!$B$3:$M$186,2,FALSE)</f>
        <v>#N/A</v>
      </c>
      <c r="E23" s="502"/>
      <c r="F23" s="502"/>
      <c r="G23" s="535"/>
      <c r="H23" s="536">
        <f t="shared" si="2"/>
        <v>1</v>
      </c>
      <c r="I23" s="536">
        <v>50</v>
      </c>
      <c r="J23" s="537">
        <f t="shared" si="3"/>
        <v>50</v>
      </c>
      <c r="K23" s="468"/>
      <c r="L23" s="468"/>
      <c r="M23" s="468"/>
      <c r="N23" s="538"/>
      <c r="O23" s="538"/>
      <c r="P23" s="538"/>
      <c r="Q23" s="538"/>
      <c r="R23" s="538"/>
      <c r="S23" s="538"/>
      <c r="T23" s="538"/>
      <c r="U23" s="538"/>
      <c r="V23" s="538"/>
      <c r="W23" s="538"/>
      <c r="X23" s="538"/>
      <c r="Y23" s="538"/>
      <c r="Z23" s="468"/>
      <c r="AA23" s="468"/>
      <c r="AB23" s="468"/>
      <c r="AC23" s="468"/>
      <c r="AD23" s="539"/>
      <c r="AE23" s="511"/>
      <c r="AF23" s="512"/>
      <c r="AG23" s="512"/>
      <c r="AH23" s="513"/>
      <c r="AI23" s="514"/>
      <c r="AJ23" s="520"/>
      <c r="AK23" s="516"/>
      <c r="AL23" s="522"/>
      <c r="AO23" s="518"/>
      <c r="AP23" s="528">
        <v>45901</v>
      </c>
    </row>
    <row r="24" spans="1:42" s="484" customFormat="1">
      <c r="A24" s="499"/>
      <c r="B24" s="500"/>
      <c r="C24" s="488"/>
      <c r="D24" s="464"/>
      <c r="E24" s="502"/>
      <c r="F24" s="502"/>
      <c r="G24" s="535"/>
      <c r="H24" s="536">
        <f t="shared" si="2"/>
        <v>1</v>
      </c>
      <c r="I24" s="536">
        <v>50</v>
      </c>
      <c r="J24" s="537">
        <f t="shared" si="3"/>
        <v>50</v>
      </c>
      <c r="K24" s="468"/>
      <c r="L24" s="468"/>
      <c r="M24" s="468"/>
      <c r="N24" s="538"/>
      <c r="O24" s="538"/>
      <c r="P24" s="538"/>
      <c r="Q24" s="538"/>
      <c r="R24" s="538"/>
      <c r="S24" s="538"/>
      <c r="T24" s="538"/>
      <c r="U24" s="538"/>
      <c r="V24" s="538"/>
      <c r="W24" s="538"/>
      <c r="X24" s="538"/>
      <c r="Y24" s="538"/>
      <c r="Z24" s="468"/>
      <c r="AA24" s="468"/>
      <c r="AB24" s="468"/>
      <c r="AC24" s="468"/>
      <c r="AD24" s="539"/>
      <c r="AE24" s="511"/>
      <c r="AF24" s="511"/>
      <c r="AG24" s="511"/>
      <c r="AH24" s="513"/>
      <c r="AI24" s="514"/>
      <c r="AJ24" s="520"/>
      <c r="AK24" s="516"/>
      <c r="AL24" s="522"/>
      <c r="AO24" s="518"/>
      <c r="AP24" s="528">
        <v>45931</v>
      </c>
    </row>
    <row r="25" spans="1:42" s="484" customFormat="1">
      <c r="A25" s="499"/>
      <c r="B25" s="540" t="s">
        <v>487</v>
      </c>
      <c r="C25" s="488"/>
      <c r="D25" s="464"/>
      <c r="E25" s="502"/>
      <c r="F25" s="502"/>
      <c r="G25" s="523"/>
      <c r="H25" s="524">
        <f t="shared" si="2"/>
        <v>1</v>
      </c>
      <c r="I25" s="524">
        <v>50</v>
      </c>
      <c r="J25" s="525">
        <f t="shared" si="3"/>
        <v>50</v>
      </c>
      <c r="K25" s="506"/>
      <c r="L25" s="506"/>
      <c r="M25" s="506"/>
      <c r="N25" s="507"/>
      <c r="O25" s="507"/>
      <c r="P25" s="507"/>
      <c r="Q25" s="507"/>
      <c r="R25" s="507"/>
      <c r="S25" s="507"/>
      <c r="T25" s="507"/>
      <c r="U25" s="507"/>
      <c r="V25" s="507"/>
      <c r="W25" s="507"/>
      <c r="X25" s="507"/>
      <c r="Y25" s="507"/>
      <c r="Z25" s="506"/>
      <c r="AA25" s="506"/>
      <c r="AB25" s="506"/>
      <c r="AC25" s="506"/>
      <c r="AD25" s="510"/>
      <c r="AE25" s="511"/>
      <c r="AF25" s="511"/>
      <c r="AG25" s="511"/>
      <c r="AH25" s="513"/>
      <c r="AI25" s="514"/>
      <c r="AJ25" s="520"/>
      <c r="AK25" s="516"/>
      <c r="AL25" s="522"/>
      <c r="AO25" s="518"/>
      <c r="AP25" s="528">
        <v>45962</v>
      </c>
    </row>
    <row r="26" spans="1:42" s="484" customFormat="1">
      <c r="A26" s="499">
        <v>45748</v>
      </c>
      <c r="B26" s="487" t="s">
        <v>488</v>
      </c>
      <c r="C26" s="488">
        <v>116</v>
      </c>
      <c r="D26" s="464" t="str">
        <f>VLOOKUP(C26,'MASTER Name List'!$B$3:$M$186,2,FALSE)</f>
        <v>李薇薇</v>
      </c>
      <c r="E26" s="502">
        <v>45748</v>
      </c>
      <c r="F26" s="502">
        <v>45748</v>
      </c>
      <c r="G26" s="523" t="s">
        <v>489</v>
      </c>
      <c r="H26" s="524">
        <f t="shared" si="2"/>
        <v>1</v>
      </c>
      <c r="I26" s="524">
        <v>50</v>
      </c>
      <c r="J26" s="525">
        <f t="shared" si="3"/>
        <v>50</v>
      </c>
      <c r="K26" s="506"/>
      <c r="L26" s="506"/>
      <c r="M26" s="506"/>
      <c r="N26" s="507"/>
      <c r="O26" s="507"/>
      <c r="P26" s="508"/>
      <c r="Q26" s="507" t="s">
        <v>470</v>
      </c>
      <c r="R26" s="507"/>
      <c r="S26" s="507"/>
      <c r="T26" s="507"/>
      <c r="U26" s="507"/>
      <c r="V26" s="507"/>
      <c r="W26" s="507"/>
      <c r="X26" s="507"/>
      <c r="Y26" s="507"/>
      <c r="Z26" s="506"/>
      <c r="AA26" s="506"/>
      <c r="AB26" s="506"/>
      <c r="AC26" s="541" t="str">
        <f>COUNTIF($K26:$AB26,"X") &amp; ""</f>
        <v>1</v>
      </c>
      <c r="AD26" s="510">
        <v>50</v>
      </c>
      <c r="AE26" s="512"/>
      <c r="AF26" s="512"/>
      <c r="AG26" s="511">
        <f>COUNTIF($K26:$AB26,"X")*$AD26</f>
        <v>50</v>
      </c>
      <c r="AH26" s="513"/>
      <c r="AI26" s="514"/>
      <c r="AJ26" s="542" t="s">
        <v>166</v>
      </c>
      <c r="AK26" s="516" t="s">
        <v>125</v>
      </c>
      <c r="AL26" s="522" t="s">
        <v>133</v>
      </c>
      <c r="AO26" s="518"/>
      <c r="AP26" s="528">
        <v>45992</v>
      </c>
    </row>
    <row r="27" spans="1:42" s="484" customFormat="1">
      <c r="A27" s="499">
        <v>45749</v>
      </c>
      <c r="B27" s="659" t="s">
        <v>490</v>
      </c>
      <c r="C27" s="488">
        <v>117</v>
      </c>
      <c r="D27" s="464" t="str">
        <f>VLOOKUP(C27,'MASTER Name List'!$B$3:$M$186,2,FALSE)</f>
        <v>张志文</v>
      </c>
      <c r="E27" s="502">
        <v>45748</v>
      </c>
      <c r="F27" s="502">
        <v>45748</v>
      </c>
      <c r="G27" s="523" t="s">
        <v>489</v>
      </c>
      <c r="H27" s="524">
        <f t="shared" si="2"/>
        <v>1</v>
      </c>
      <c r="I27" s="524">
        <v>50</v>
      </c>
      <c r="J27" s="525">
        <f t="shared" si="3"/>
        <v>50</v>
      </c>
      <c r="K27" s="506"/>
      <c r="L27" s="506"/>
      <c r="M27" s="506"/>
      <c r="N27" s="507"/>
      <c r="O27" s="507"/>
      <c r="P27" s="508"/>
      <c r="Q27" s="508" t="s">
        <v>470</v>
      </c>
      <c r="R27" s="508"/>
      <c r="S27" s="507"/>
      <c r="T27" s="507"/>
      <c r="U27" s="507"/>
      <c r="V27" s="507"/>
      <c r="W27" s="507"/>
      <c r="X27" s="507"/>
      <c r="Y27" s="507"/>
      <c r="Z27" s="506"/>
      <c r="AA27" s="506"/>
      <c r="AB27" s="506"/>
      <c r="AC27" s="541" t="str">
        <f t="shared" ref="AC27:AC43" si="4">COUNTIF($K27:$AB27,"X") &amp; ""</f>
        <v>1</v>
      </c>
      <c r="AD27" s="510">
        <v>50</v>
      </c>
      <c r="AE27" s="512"/>
      <c r="AF27" s="512"/>
      <c r="AG27" s="511">
        <f t="shared" ref="AG27:AG44" si="5">COUNTIF($K27:$AB27,"X")*$AD27</f>
        <v>50</v>
      </c>
      <c r="AH27" s="513"/>
      <c r="AI27" s="514"/>
      <c r="AJ27" s="658" t="s">
        <v>491</v>
      </c>
      <c r="AK27" s="516" t="s">
        <v>125</v>
      </c>
      <c r="AL27" s="522" t="s">
        <v>492</v>
      </c>
      <c r="AO27" s="518"/>
      <c r="AP27" s="528">
        <v>46023</v>
      </c>
    </row>
    <row r="28" spans="1:42" s="484" customFormat="1">
      <c r="A28" s="499">
        <v>45749</v>
      </c>
      <c r="B28" s="487" t="s">
        <v>493</v>
      </c>
      <c r="C28" s="488">
        <v>173</v>
      </c>
      <c r="D28" s="464" t="str">
        <f>VLOOKUP(C28,'MASTER Name List'!$B$3:$M$186,2,FALSE)</f>
        <v>张杍䌻</v>
      </c>
      <c r="E28" s="502">
        <v>45689</v>
      </c>
      <c r="F28" s="502">
        <v>45839</v>
      </c>
      <c r="G28" s="523" t="s">
        <v>494</v>
      </c>
      <c r="H28" s="524">
        <f t="shared" si="2"/>
        <v>6</v>
      </c>
      <c r="I28" s="524">
        <v>50</v>
      </c>
      <c r="J28" s="525">
        <f t="shared" si="3"/>
        <v>300</v>
      </c>
      <c r="K28" s="506"/>
      <c r="L28" s="506"/>
      <c r="M28" s="506"/>
      <c r="N28" s="507"/>
      <c r="O28" s="507" t="s">
        <v>470</v>
      </c>
      <c r="P28" s="507" t="s">
        <v>470</v>
      </c>
      <c r="Q28" s="507" t="s">
        <v>470</v>
      </c>
      <c r="R28" s="507" t="s">
        <v>470</v>
      </c>
      <c r="S28" s="507" t="s">
        <v>470</v>
      </c>
      <c r="T28" s="507" t="s">
        <v>470</v>
      </c>
      <c r="U28" s="507"/>
      <c r="V28" s="507"/>
      <c r="W28" s="507"/>
      <c r="X28" s="507"/>
      <c r="Y28" s="507"/>
      <c r="Z28" s="506"/>
      <c r="AA28" s="506"/>
      <c r="AB28" s="506"/>
      <c r="AC28" s="541" t="str">
        <f t="shared" si="4"/>
        <v>6</v>
      </c>
      <c r="AD28" s="510">
        <v>50</v>
      </c>
      <c r="AE28" s="512"/>
      <c r="AF28" s="512"/>
      <c r="AG28" s="511">
        <f t="shared" si="5"/>
        <v>300</v>
      </c>
      <c r="AH28" s="513"/>
      <c r="AI28" s="514"/>
      <c r="AJ28" s="520"/>
      <c r="AK28" s="485" t="s">
        <v>125</v>
      </c>
      <c r="AL28" s="522" t="s">
        <v>495</v>
      </c>
      <c r="AO28" s="518"/>
      <c r="AP28" s="528">
        <v>46054</v>
      </c>
    </row>
    <row r="29" spans="1:42" s="484" customFormat="1">
      <c r="A29" s="499">
        <v>45753</v>
      </c>
      <c r="B29" s="487" t="s">
        <v>496</v>
      </c>
      <c r="C29" s="488">
        <v>162</v>
      </c>
      <c r="D29" s="464" t="str">
        <f>VLOOKUP(C29,'MASTER Name List'!$B$3:$M$186,2,FALSE)</f>
        <v>方惠贤</v>
      </c>
      <c r="E29" s="502">
        <v>45778</v>
      </c>
      <c r="F29" s="502">
        <v>45809</v>
      </c>
      <c r="G29" s="523" t="s">
        <v>497</v>
      </c>
      <c r="H29" s="524">
        <f t="shared" si="2"/>
        <v>2</v>
      </c>
      <c r="I29" s="524">
        <v>50</v>
      </c>
      <c r="J29" s="525">
        <f t="shared" si="3"/>
        <v>100</v>
      </c>
      <c r="K29" s="506"/>
      <c r="L29" s="506"/>
      <c r="M29" s="506"/>
      <c r="N29" s="507"/>
      <c r="O29" s="508"/>
      <c r="P29" s="507"/>
      <c r="Q29" s="507"/>
      <c r="R29" s="507" t="s">
        <v>470</v>
      </c>
      <c r="S29" s="507" t="s">
        <v>470</v>
      </c>
      <c r="T29" s="507"/>
      <c r="U29" s="507"/>
      <c r="V29" s="507"/>
      <c r="W29" s="507"/>
      <c r="X29" s="507"/>
      <c r="Y29" s="507"/>
      <c r="Z29" s="506"/>
      <c r="AA29" s="506"/>
      <c r="AB29" s="506"/>
      <c r="AC29" s="541" t="str">
        <f t="shared" si="4"/>
        <v>2</v>
      </c>
      <c r="AD29" s="510">
        <v>50</v>
      </c>
      <c r="AE29" s="512"/>
      <c r="AF29" s="512"/>
      <c r="AG29" s="511">
        <f t="shared" si="5"/>
        <v>100</v>
      </c>
      <c r="AH29" s="513"/>
      <c r="AI29" s="514"/>
      <c r="AJ29" s="543"/>
      <c r="AK29" s="516" t="s">
        <v>125</v>
      </c>
      <c r="AL29" s="522" t="s">
        <v>126</v>
      </c>
      <c r="AO29" s="518"/>
      <c r="AP29" s="528">
        <v>46082</v>
      </c>
    </row>
    <row r="30" spans="1:42" s="484" customFormat="1">
      <c r="A30" s="499">
        <v>45754</v>
      </c>
      <c r="B30" s="487" t="s">
        <v>498</v>
      </c>
      <c r="C30" s="488">
        <v>172</v>
      </c>
      <c r="D30" s="464" t="str">
        <f>VLOOKUP(C30,'MASTER Name List'!$B$3:$M$186,2,FALSE)</f>
        <v>蔡均镅</v>
      </c>
      <c r="E30" s="502">
        <v>45717</v>
      </c>
      <c r="F30" s="502">
        <v>45748</v>
      </c>
      <c r="G30" s="523" t="s">
        <v>499</v>
      </c>
      <c r="H30" s="524">
        <f t="shared" si="2"/>
        <v>2</v>
      </c>
      <c r="I30" s="524">
        <v>50</v>
      </c>
      <c r="J30" s="525">
        <f t="shared" si="3"/>
        <v>100</v>
      </c>
      <c r="K30" s="506"/>
      <c r="L30" s="506"/>
      <c r="M30" s="506"/>
      <c r="N30" s="507"/>
      <c r="O30" s="507"/>
      <c r="P30" s="508" t="s">
        <v>470</v>
      </c>
      <c r="Q30" s="507" t="s">
        <v>470</v>
      </c>
      <c r="R30" s="507"/>
      <c r="S30" s="507"/>
      <c r="T30" s="507"/>
      <c r="U30" s="507"/>
      <c r="V30" s="507"/>
      <c r="W30" s="507"/>
      <c r="X30" s="507"/>
      <c r="Y30" s="507"/>
      <c r="Z30" s="506"/>
      <c r="AA30" s="506"/>
      <c r="AB30" s="506"/>
      <c r="AC30" s="541" t="str">
        <f t="shared" si="4"/>
        <v>2</v>
      </c>
      <c r="AD30" s="510">
        <v>50</v>
      </c>
      <c r="AE30" s="512"/>
      <c r="AF30" s="512"/>
      <c r="AG30" s="511">
        <f t="shared" si="5"/>
        <v>100</v>
      </c>
      <c r="AH30" s="513"/>
      <c r="AI30" s="514"/>
      <c r="AJ30" s="520"/>
      <c r="AK30" s="516" t="s">
        <v>125</v>
      </c>
      <c r="AL30" s="522" t="s">
        <v>194</v>
      </c>
      <c r="AO30" s="518"/>
      <c r="AP30" s="528">
        <v>46113</v>
      </c>
    </row>
    <row r="31" spans="1:42" s="484" customFormat="1">
      <c r="A31" s="499">
        <v>45755</v>
      </c>
      <c r="B31" s="487" t="s">
        <v>500</v>
      </c>
      <c r="C31" s="488">
        <v>40</v>
      </c>
      <c r="D31" s="464" t="str">
        <f>VLOOKUP(C31,'MASTER Name List'!$B$3:$M$186,2,FALSE)</f>
        <v>何梅歆</v>
      </c>
      <c r="E31" s="502">
        <v>45962</v>
      </c>
      <c r="F31" s="502">
        <v>45992</v>
      </c>
      <c r="G31" s="523" t="s">
        <v>501</v>
      </c>
      <c r="H31" s="524">
        <f t="shared" si="2"/>
        <v>2</v>
      </c>
      <c r="I31" s="524">
        <v>50</v>
      </c>
      <c r="J31" s="525">
        <f t="shared" si="3"/>
        <v>100</v>
      </c>
      <c r="K31" s="506"/>
      <c r="L31" s="506"/>
      <c r="M31" s="506"/>
      <c r="N31" s="507"/>
      <c r="O31" s="507"/>
      <c r="P31" s="508"/>
      <c r="Q31" s="507"/>
      <c r="R31" s="507"/>
      <c r="S31" s="507"/>
      <c r="T31" s="507"/>
      <c r="U31" s="507"/>
      <c r="V31" s="507"/>
      <c r="W31" s="507"/>
      <c r="X31" s="507" t="s">
        <v>470</v>
      </c>
      <c r="Y31" s="507" t="s">
        <v>470</v>
      </c>
      <c r="Z31" s="506"/>
      <c r="AA31" s="506"/>
      <c r="AB31" s="506"/>
      <c r="AC31" s="541" t="str">
        <f t="shared" si="4"/>
        <v>2</v>
      </c>
      <c r="AD31" s="510">
        <v>50</v>
      </c>
      <c r="AE31" s="512"/>
      <c r="AF31" s="512"/>
      <c r="AG31" s="511">
        <f t="shared" si="5"/>
        <v>100</v>
      </c>
      <c r="AH31" s="513"/>
      <c r="AI31" s="514"/>
      <c r="AJ31" s="520"/>
      <c r="AK31" s="516" t="s">
        <v>125</v>
      </c>
      <c r="AL31" s="522" t="s">
        <v>333</v>
      </c>
      <c r="AO31" s="518"/>
      <c r="AP31" s="528">
        <v>46143</v>
      </c>
    </row>
    <row r="32" spans="1:42" s="484" customFormat="1">
      <c r="A32" s="544">
        <v>45759</v>
      </c>
      <c r="B32" s="487" t="s">
        <v>502</v>
      </c>
      <c r="C32" s="545">
        <v>175</v>
      </c>
      <c r="D32" s="464" t="str">
        <f>VLOOKUP(C32,'MASTER Name List'!$B$3:$M$186,2,FALSE)</f>
        <v>洪鼎惟</v>
      </c>
      <c r="E32" s="502">
        <v>45748</v>
      </c>
      <c r="F32" s="502">
        <v>45748</v>
      </c>
      <c r="G32" s="546" t="s">
        <v>489</v>
      </c>
      <c r="H32" s="547">
        <f t="shared" si="2"/>
        <v>1</v>
      </c>
      <c r="I32" s="547">
        <v>50</v>
      </c>
      <c r="J32" s="548">
        <f t="shared" si="3"/>
        <v>50</v>
      </c>
      <c r="K32" s="506"/>
      <c r="L32" s="506"/>
      <c r="M32" s="506"/>
      <c r="N32" s="507"/>
      <c r="O32" s="507"/>
      <c r="P32" s="507"/>
      <c r="Q32" s="507" t="s">
        <v>470</v>
      </c>
      <c r="R32" s="507"/>
      <c r="S32" s="507"/>
      <c r="T32" s="507"/>
      <c r="U32" s="507"/>
      <c r="V32" s="507"/>
      <c r="W32" s="507"/>
      <c r="X32" s="507"/>
      <c r="Y32" s="507"/>
      <c r="Z32" s="506"/>
      <c r="AA32" s="506"/>
      <c r="AB32" s="506"/>
      <c r="AC32" s="541" t="str">
        <f t="shared" si="4"/>
        <v>1</v>
      </c>
      <c r="AD32" s="510">
        <v>50</v>
      </c>
      <c r="AE32" s="512"/>
      <c r="AF32" s="512"/>
      <c r="AG32" s="511">
        <f t="shared" si="5"/>
        <v>50</v>
      </c>
      <c r="AH32" s="513"/>
      <c r="AI32" s="514"/>
      <c r="AJ32" s="520"/>
      <c r="AK32" s="516" t="s">
        <v>125</v>
      </c>
      <c r="AL32" s="522" t="s">
        <v>148</v>
      </c>
      <c r="AO32" s="518"/>
      <c r="AP32" s="528">
        <v>46174</v>
      </c>
    </row>
    <row r="33" spans="1:42" s="484" customFormat="1">
      <c r="A33" s="499">
        <v>45760</v>
      </c>
      <c r="B33" s="487" t="s">
        <v>503</v>
      </c>
      <c r="C33" s="488">
        <v>130</v>
      </c>
      <c r="D33" s="464" t="str">
        <f>VLOOKUP(C33,'MASTER Name List'!$B$3:$M$186,2,FALSE)</f>
        <v>王丽珠</v>
      </c>
      <c r="E33" s="502">
        <v>45597</v>
      </c>
      <c r="F33" s="502">
        <v>45778</v>
      </c>
      <c r="G33" s="523" t="s">
        <v>504</v>
      </c>
      <c r="H33" s="524">
        <f t="shared" si="2"/>
        <v>7</v>
      </c>
      <c r="I33" s="524">
        <v>50</v>
      </c>
      <c r="J33" s="525">
        <f t="shared" si="3"/>
        <v>350</v>
      </c>
      <c r="K33" s="506"/>
      <c r="L33" s="506" t="s">
        <v>470</v>
      </c>
      <c r="M33" s="506" t="s">
        <v>470</v>
      </c>
      <c r="N33" s="507" t="s">
        <v>470</v>
      </c>
      <c r="O33" s="507" t="s">
        <v>470</v>
      </c>
      <c r="P33" s="507" t="s">
        <v>470</v>
      </c>
      <c r="Q33" s="507" t="s">
        <v>470</v>
      </c>
      <c r="R33" s="507" t="s">
        <v>470</v>
      </c>
      <c r="S33" s="507"/>
      <c r="T33" s="507"/>
      <c r="U33" s="507"/>
      <c r="V33" s="507"/>
      <c r="W33" s="507"/>
      <c r="X33" s="507"/>
      <c r="Y33" s="507"/>
      <c r="Z33" s="506"/>
      <c r="AA33" s="506"/>
      <c r="AB33" s="506"/>
      <c r="AC33" s="541" t="str">
        <f t="shared" si="4"/>
        <v>7</v>
      </c>
      <c r="AD33" s="510">
        <v>50</v>
      </c>
      <c r="AE33" s="512"/>
      <c r="AF33" s="512"/>
      <c r="AG33" s="511">
        <f t="shared" si="5"/>
        <v>350</v>
      </c>
      <c r="AH33" s="513"/>
      <c r="AI33" s="514"/>
      <c r="AJ33" s="520"/>
      <c r="AK33" s="485" t="s">
        <v>125</v>
      </c>
      <c r="AL33" s="522" t="s">
        <v>505</v>
      </c>
      <c r="AO33" s="518"/>
      <c r="AP33" s="528">
        <v>46204</v>
      </c>
    </row>
    <row r="34" spans="1:42" s="484" customFormat="1">
      <c r="A34" s="499">
        <v>45761</v>
      </c>
      <c r="B34" s="487" t="s">
        <v>506</v>
      </c>
      <c r="C34" s="488">
        <v>52</v>
      </c>
      <c r="D34" s="464" t="str">
        <f>VLOOKUP(C34,'MASTER Name List'!$B$3:$M$186,2,FALSE)</f>
        <v>陈宝蓉</v>
      </c>
      <c r="E34" s="502">
        <v>45717</v>
      </c>
      <c r="F34" s="502">
        <v>45748</v>
      </c>
      <c r="G34" s="523" t="s">
        <v>507</v>
      </c>
      <c r="H34" s="524">
        <f t="shared" si="2"/>
        <v>2</v>
      </c>
      <c r="I34" s="524">
        <v>50</v>
      </c>
      <c r="J34" s="525">
        <f t="shared" si="3"/>
        <v>100</v>
      </c>
      <c r="K34" s="506"/>
      <c r="L34" s="506"/>
      <c r="M34" s="506"/>
      <c r="N34" s="507"/>
      <c r="O34" s="507"/>
      <c r="P34" s="507" t="s">
        <v>470</v>
      </c>
      <c r="Q34" s="507" t="s">
        <v>470</v>
      </c>
      <c r="R34" s="507"/>
      <c r="S34" s="507"/>
      <c r="T34" s="507"/>
      <c r="U34" s="507"/>
      <c r="V34" s="507"/>
      <c r="W34" s="507"/>
      <c r="X34" s="507"/>
      <c r="Y34" s="507"/>
      <c r="Z34" s="506"/>
      <c r="AA34" s="506"/>
      <c r="AB34" s="506"/>
      <c r="AC34" s="541" t="str">
        <f t="shared" si="4"/>
        <v>2</v>
      </c>
      <c r="AD34" s="510">
        <v>50</v>
      </c>
      <c r="AE34" s="512"/>
      <c r="AF34" s="512"/>
      <c r="AG34" s="511">
        <f t="shared" si="5"/>
        <v>100</v>
      </c>
      <c r="AH34" s="513"/>
      <c r="AI34" s="514"/>
      <c r="AJ34" s="520"/>
      <c r="AK34" s="520" t="s">
        <v>125</v>
      </c>
      <c r="AL34" s="549" t="s">
        <v>330</v>
      </c>
      <c r="AO34" s="518"/>
      <c r="AP34" s="528">
        <v>46235</v>
      </c>
    </row>
    <row r="35" spans="1:42" s="484" customFormat="1">
      <c r="A35" s="499">
        <v>45769</v>
      </c>
      <c r="B35" s="487" t="s">
        <v>508</v>
      </c>
      <c r="C35" s="488">
        <v>94</v>
      </c>
      <c r="D35" s="464" t="str">
        <f>VLOOKUP(C35,'MASTER Name List'!$B$3:$M$186,2,FALSE)</f>
        <v>余合福</v>
      </c>
      <c r="E35" s="708">
        <v>45839</v>
      </c>
      <c r="F35" s="708">
        <v>46174</v>
      </c>
      <c r="G35" s="523" t="s">
        <v>509</v>
      </c>
      <c r="H35" s="524">
        <f>DATEDIF(E35,F35,"M")+1</f>
        <v>12</v>
      </c>
      <c r="I35" s="524">
        <v>50</v>
      </c>
      <c r="J35" s="525">
        <f t="shared" si="3"/>
        <v>600</v>
      </c>
      <c r="K35" s="506"/>
      <c r="L35" s="506"/>
      <c r="M35" s="506"/>
      <c r="N35" s="507"/>
      <c r="O35" s="507"/>
      <c r="P35" s="507"/>
      <c r="Q35" s="507"/>
      <c r="R35" s="507"/>
      <c r="S35" s="507"/>
      <c r="T35" s="507" t="s">
        <v>470</v>
      </c>
      <c r="U35" s="507" t="s">
        <v>470</v>
      </c>
      <c r="V35" s="507" t="s">
        <v>470</v>
      </c>
      <c r="W35" s="507" t="s">
        <v>470</v>
      </c>
      <c r="X35" s="507" t="s">
        <v>470</v>
      </c>
      <c r="Y35" s="507" t="s">
        <v>470</v>
      </c>
      <c r="Z35" s="506" t="s">
        <v>470</v>
      </c>
      <c r="AA35" s="506" t="s">
        <v>470</v>
      </c>
      <c r="AB35" s="506" t="s">
        <v>470</v>
      </c>
      <c r="AC35" s="541" t="str">
        <f t="shared" si="4"/>
        <v>9</v>
      </c>
      <c r="AD35" s="510">
        <v>50</v>
      </c>
      <c r="AE35" s="512"/>
      <c r="AF35" s="512"/>
      <c r="AG35" s="511">
        <f t="shared" si="5"/>
        <v>450</v>
      </c>
      <c r="AH35" s="513"/>
      <c r="AI35" s="514"/>
      <c r="AJ35" s="520"/>
      <c r="AK35" s="520" t="s">
        <v>125</v>
      </c>
      <c r="AL35" s="549" t="s">
        <v>510</v>
      </c>
      <c r="AO35" s="518"/>
      <c r="AP35" s="528">
        <v>46266</v>
      </c>
    </row>
    <row r="36" spans="1:42" s="484" customFormat="1">
      <c r="A36" s="499">
        <v>45777</v>
      </c>
      <c r="B36" s="487" t="s">
        <v>511</v>
      </c>
      <c r="C36" s="488">
        <v>80</v>
      </c>
      <c r="D36" s="464" t="str">
        <f>VLOOKUP(C36,'MASTER Name List'!$B$3:$M$186,2,FALSE)</f>
        <v>黄淑芬</v>
      </c>
      <c r="E36" s="502">
        <v>45778</v>
      </c>
      <c r="F36" s="502">
        <v>45778</v>
      </c>
      <c r="G36" s="523">
        <v>45778</v>
      </c>
      <c r="H36" s="524">
        <f t="shared" si="2"/>
        <v>1</v>
      </c>
      <c r="I36" s="524">
        <v>50</v>
      </c>
      <c r="J36" s="525">
        <f t="shared" si="3"/>
        <v>50</v>
      </c>
      <c r="K36" s="506"/>
      <c r="L36" s="506"/>
      <c r="M36" s="506"/>
      <c r="N36" s="507"/>
      <c r="O36" s="507"/>
      <c r="P36" s="507"/>
      <c r="Q36" s="507"/>
      <c r="R36" s="507" t="s">
        <v>470</v>
      </c>
      <c r="S36" s="507"/>
      <c r="T36" s="507"/>
      <c r="U36" s="507"/>
      <c r="V36" s="507"/>
      <c r="W36" s="507"/>
      <c r="X36" s="507"/>
      <c r="Y36" s="507"/>
      <c r="Z36" s="506"/>
      <c r="AA36" s="506"/>
      <c r="AB36" s="506"/>
      <c r="AC36" s="541" t="str">
        <f t="shared" si="4"/>
        <v>1</v>
      </c>
      <c r="AD36" s="510">
        <v>50</v>
      </c>
      <c r="AE36" s="512"/>
      <c r="AF36" s="512"/>
      <c r="AG36" s="511">
        <f t="shared" si="5"/>
        <v>50</v>
      </c>
      <c r="AH36" s="513"/>
      <c r="AI36" s="514"/>
      <c r="AJ36" s="520"/>
      <c r="AK36" s="496" t="s">
        <v>125</v>
      </c>
      <c r="AL36" s="550" t="s">
        <v>179</v>
      </c>
      <c r="AO36" s="518"/>
      <c r="AP36" s="528">
        <v>46296</v>
      </c>
    </row>
    <row r="37" spans="1:42" s="484" customFormat="1">
      <c r="A37" s="499">
        <v>45777</v>
      </c>
      <c r="B37" s="487" t="s">
        <v>512</v>
      </c>
      <c r="C37" s="488">
        <v>224</v>
      </c>
      <c r="D37" s="464" t="str">
        <f>VLOOKUP(C37,'MASTER Name List'!$B$3:$M$186,2,FALSE)</f>
        <v xml:space="preserve">黄文勝 </v>
      </c>
      <c r="E37" s="502">
        <v>45778</v>
      </c>
      <c r="F37" s="502">
        <v>45778</v>
      </c>
      <c r="G37" s="523">
        <v>45778</v>
      </c>
      <c r="H37" s="524">
        <f t="shared" si="2"/>
        <v>1</v>
      </c>
      <c r="I37" s="524">
        <v>50</v>
      </c>
      <c r="J37" s="525">
        <f t="shared" si="3"/>
        <v>50</v>
      </c>
      <c r="K37" s="506"/>
      <c r="L37" s="506"/>
      <c r="M37" s="506"/>
      <c r="N37" s="507"/>
      <c r="O37" s="507"/>
      <c r="P37" s="507"/>
      <c r="Q37" s="507"/>
      <c r="R37" s="507" t="s">
        <v>470</v>
      </c>
      <c r="S37" s="507"/>
      <c r="T37" s="507"/>
      <c r="U37" s="507"/>
      <c r="V37" s="507"/>
      <c r="W37" s="507"/>
      <c r="X37" s="507"/>
      <c r="Y37" s="507"/>
      <c r="Z37" s="506"/>
      <c r="AA37" s="506"/>
      <c r="AB37" s="506"/>
      <c r="AC37" s="541" t="str">
        <f t="shared" si="4"/>
        <v>1</v>
      </c>
      <c r="AD37" s="510">
        <v>50</v>
      </c>
      <c r="AE37" s="512"/>
      <c r="AF37" s="512"/>
      <c r="AG37" s="511">
        <f t="shared" si="5"/>
        <v>50</v>
      </c>
      <c r="AH37" s="513"/>
      <c r="AI37" s="514"/>
      <c r="AJ37" s="520"/>
      <c r="AK37" s="551"/>
      <c r="AL37" s="552"/>
      <c r="AO37" s="518"/>
      <c r="AP37" s="528">
        <v>46327</v>
      </c>
    </row>
    <row r="38" spans="1:42" s="484" customFormat="1">
      <c r="A38" s="499"/>
      <c r="B38" s="487"/>
      <c r="C38" s="488"/>
      <c r="D38" s="464" t="e">
        <f>VLOOKUP(C38,'MASTER Name List'!$B$3:$M$186,2,FALSE)</f>
        <v>#N/A</v>
      </c>
      <c r="E38" s="502"/>
      <c r="F38" s="502"/>
      <c r="G38" s="523"/>
      <c r="H38" s="524">
        <f t="shared" si="2"/>
        <v>1</v>
      </c>
      <c r="I38" s="524">
        <v>50</v>
      </c>
      <c r="J38" s="525">
        <f t="shared" si="3"/>
        <v>50</v>
      </c>
      <c r="K38" s="506"/>
      <c r="L38" s="506"/>
      <c r="M38" s="506"/>
      <c r="N38" s="507"/>
      <c r="O38" s="507"/>
      <c r="P38" s="507"/>
      <c r="Q38" s="507"/>
      <c r="R38" s="507"/>
      <c r="S38" s="507"/>
      <c r="T38" s="507"/>
      <c r="U38" s="507"/>
      <c r="V38" s="507"/>
      <c r="W38" s="507"/>
      <c r="X38" s="507"/>
      <c r="Y38" s="507"/>
      <c r="Z38" s="506"/>
      <c r="AA38" s="506"/>
      <c r="AB38" s="506"/>
      <c r="AC38" s="541" t="str">
        <f t="shared" si="4"/>
        <v>0</v>
      </c>
      <c r="AD38" s="510">
        <v>50</v>
      </c>
      <c r="AE38" s="512"/>
      <c r="AF38" s="512"/>
      <c r="AG38" s="511">
        <f t="shared" si="5"/>
        <v>0</v>
      </c>
      <c r="AH38" s="513"/>
      <c r="AI38" s="514"/>
      <c r="AJ38" s="520"/>
      <c r="AK38" s="553"/>
      <c r="AL38" s="549"/>
      <c r="AO38" s="518"/>
      <c r="AP38" s="528">
        <v>46357</v>
      </c>
    </row>
    <row r="39" spans="1:42" s="484" customFormat="1">
      <c r="A39" s="499"/>
      <c r="B39" s="487"/>
      <c r="C39" s="488"/>
      <c r="D39" s="464" t="e">
        <f>VLOOKUP(C39,'MASTER Name List'!$B$3:$M$186,2,FALSE)</f>
        <v>#N/A</v>
      </c>
      <c r="E39" s="502"/>
      <c r="F39" s="502"/>
      <c r="G39" s="523"/>
      <c r="H39" s="524">
        <f t="shared" si="2"/>
        <v>1</v>
      </c>
      <c r="I39" s="524">
        <v>50</v>
      </c>
      <c r="J39" s="525">
        <f t="shared" si="3"/>
        <v>50</v>
      </c>
      <c r="K39" s="506"/>
      <c r="L39" s="506"/>
      <c r="M39" s="506"/>
      <c r="N39" s="507"/>
      <c r="O39" s="507"/>
      <c r="P39" s="507"/>
      <c r="Q39" s="507"/>
      <c r="R39" s="507"/>
      <c r="S39" s="507"/>
      <c r="T39" s="507"/>
      <c r="U39" s="507"/>
      <c r="V39" s="507"/>
      <c r="W39" s="507"/>
      <c r="X39" s="507"/>
      <c r="Y39" s="507"/>
      <c r="Z39" s="506"/>
      <c r="AA39" s="506"/>
      <c r="AB39" s="506"/>
      <c r="AC39" s="541" t="str">
        <f t="shared" si="4"/>
        <v>0</v>
      </c>
      <c r="AD39" s="510">
        <v>50</v>
      </c>
      <c r="AE39" s="512"/>
      <c r="AF39" s="512"/>
      <c r="AG39" s="511">
        <f t="shared" si="5"/>
        <v>0</v>
      </c>
      <c r="AH39" s="513"/>
      <c r="AI39" s="514"/>
      <c r="AJ39" s="520"/>
      <c r="AK39" s="516"/>
      <c r="AL39" s="549"/>
      <c r="AO39" s="518"/>
      <c r="AP39" s="528">
        <v>46388</v>
      </c>
    </row>
    <row r="40" spans="1:42" s="484" customFormat="1">
      <c r="A40" s="499"/>
      <c r="B40" s="487"/>
      <c r="C40" s="488"/>
      <c r="D40" s="464" t="e">
        <f>VLOOKUP(C40,'MASTER Name List'!$B$3:$M$186,2,FALSE)</f>
        <v>#N/A</v>
      </c>
      <c r="E40" s="502"/>
      <c r="F40" s="502"/>
      <c r="G40" s="523"/>
      <c r="H40" s="524">
        <f t="shared" si="2"/>
        <v>1</v>
      </c>
      <c r="I40" s="524">
        <v>50</v>
      </c>
      <c r="J40" s="525">
        <f t="shared" si="3"/>
        <v>50</v>
      </c>
      <c r="K40" s="506"/>
      <c r="L40" s="506"/>
      <c r="M40" s="506"/>
      <c r="N40" s="507"/>
      <c r="O40" s="507"/>
      <c r="P40" s="507"/>
      <c r="Q40" s="507"/>
      <c r="R40" s="507"/>
      <c r="S40" s="507"/>
      <c r="T40" s="507"/>
      <c r="U40" s="507"/>
      <c r="V40" s="507"/>
      <c r="W40" s="507"/>
      <c r="X40" s="507"/>
      <c r="Y40" s="507"/>
      <c r="Z40" s="506"/>
      <c r="AA40" s="506"/>
      <c r="AB40" s="506"/>
      <c r="AC40" s="541" t="str">
        <f t="shared" si="4"/>
        <v>0</v>
      </c>
      <c r="AD40" s="510">
        <v>50</v>
      </c>
      <c r="AE40" s="512"/>
      <c r="AF40" s="512"/>
      <c r="AG40" s="511">
        <f t="shared" si="5"/>
        <v>0</v>
      </c>
      <c r="AH40" s="513"/>
      <c r="AI40" s="514"/>
      <c r="AJ40" s="520"/>
      <c r="AK40" s="516"/>
      <c r="AL40" s="549"/>
      <c r="AO40" s="518"/>
      <c r="AP40" s="518"/>
    </row>
    <row r="41" spans="1:42" s="484" customFormat="1">
      <c r="A41" s="499"/>
      <c r="B41" s="487"/>
      <c r="C41" s="488"/>
      <c r="D41" s="464" t="e">
        <f>VLOOKUP(C41,'MASTER Name List'!$B$3:$M$186,2,FALSE)</f>
        <v>#N/A</v>
      </c>
      <c r="E41" s="502"/>
      <c r="F41" s="502"/>
      <c r="G41" s="523"/>
      <c r="H41" s="524">
        <f t="shared" si="2"/>
        <v>1</v>
      </c>
      <c r="I41" s="524">
        <v>50</v>
      </c>
      <c r="J41" s="525">
        <f t="shared" si="3"/>
        <v>50</v>
      </c>
      <c r="K41" s="506"/>
      <c r="L41" s="506"/>
      <c r="M41" s="506"/>
      <c r="N41" s="507"/>
      <c r="O41" s="507"/>
      <c r="P41" s="507"/>
      <c r="Q41" s="507"/>
      <c r="R41" s="507"/>
      <c r="S41" s="507"/>
      <c r="T41" s="507"/>
      <c r="U41" s="507"/>
      <c r="V41" s="507"/>
      <c r="W41" s="507"/>
      <c r="X41" s="507"/>
      <c r="Y41" s="507"/>
      <c r="Z41" s="506"/>
      <c r="AA41" s="506"/>
      <c r="AB41" s="506"/>
      <c r="AC41" s="541" t="str">
        <f t="shared" si="4"/>
        <v>0</v>
      </c>
      <c r="AD41" s="510">
        <v>50</v>
      </c>
      <c r="AE41" s="512"/>
      <c r="AF41" s="512"/>
      <c r="AG41" s="511">
        <f t="shared" si="5"/>
        <v>0</v>
      </c>
      <c r="AH41" s="513"/>
      <c r="AI41" s="514"/>
      <c r="AJ41" s="520"/>
      <c r="AK41" s="516"/>
      <c r="AL41" s="549"/>
      <c r="AO41" s="518"/>
      <c r="AP41" s="518"/>
    </row>
    <row r="42" spans="1:42" s="484" customFormat="1">
      <c r="A42" s="499"/>
      <c r="B42" s="487"/>
      <c r="C42" s="488"/>
      <c r="D42" s="464" t="e">
        <f>VLOOKUP(C42,'MASTER Name List'!$B$3:$M$186,2,FALSE)</f>
        <v>#N/A</v>
      </c>
      <c r="E42" s="502"/>
      <c r="F42" s="502"/>
      <c r="G42" s="523"/>
      <c r="H42" s="524">
        <f t="shared" si="2"/>
        <v>1</v>
      </c>
      <c r="I42" s="524">
        <v>50</v>
      </c>
      <c r="J42" s="525">
        <f t="shared" si="3"/>
        <v>50</v>
      </c>
      <c r="K42" s="506"/>
      <c r="L42" s="506"/>
      <c r="M42" s="506"/>
      <c r="N42" s="507"/>
      <c r="O42" s="507"/>
      <c r="P42" s="507"/>
      <c r="Q42" s="507"/>
      <c r="R42" s="507"/>
      <c r="S42" s="507"/>
      <c r="T42" s="507"/>
      <c r="U42" s="507"/>
      <c r="V42" s="507"/>
      <c r="W42" s="507"/>
      <c r="X42" s="507"/>
      <c r="Y42" s="507"/>
      <c r="Z42" s="506"/>
      <c r="AA42" s="506"/>
      <c r="AB42" s="506"/>
      <c r="AC42" s="541" t="str">
        <f t="shared" si="4"/>
        <v>0</v>
      </c>
      <c r="AD42" s="510">
        <v>50</v>
      </c>
      <c r="AE42" s="512"/>
      <c r="AF42" s="512"/>
      <c r="AG42" s="511">
        <f t="shared" si="5"/>
        <v>0</v>
      </c>
      <c r="AH42" s="513"/>
      <c r="AI42" s="514"/>
      <c r="AJ42" s="520"/>
      <c r="AK42" s="516"/>
      <c r="AL42" s="549"/>
      <c r="AN42" s="518"/>
      <c r="AO42" s="518"/>
    </row>
    <row r="43" spans="1:42" s="484" customFormat="1">
      <c r="A43" s="499"/>
      <c r="B43" s="487"/>
      <c r="C43" s="488"/>
      <c r="D43" s="464" t="e">
        <f>VLOOKUP(C43,'MASTER Name List'!$B$3:$M$186,2,FALSE)</f>
        <v>#N/A</v>
      </c>
      <c r="E43" s="502"/>
      <c r="F43" s="502"/>
      <c r="G43" s="523"/>
      <c r="H43" s="524">
        <f t="shared" si="2"/>
        <v>1</v>
      </c>
      <c r="I43" s="524">
        <v>50</v>
      </c>
      <c r="J43" s="525">
        <f t="shared" si="3"/>
        <v>50</v>
      </c>
      <c r="K43" s="506"/>
      <c r="L43" s="506"/>
      <c r="M43" s="506"/>
      <c r="N43" s="507"/>
      <c r="O43" s="507"/>
      <c r="P43" s="507"/>
      <c r="Q43" s="507"/>
      <c r="R43" s="507"/>
      <c r="S43" s="507"/>
      <c r="T43" s="507"/>
      <c r="U43" s="507"/>
      <c r="V43" s="507"/>
      <c r="W43" s="507"/>
      <c r="X43" s="507"/>
      <c r="Y43" s="507"/>
      <c r="Z43" s="506"/>
      <c r="AA43" s="506"/>
      <c r="AB43" s="506"/>
      <c r="AC43" s="541" t="str">
        <f t="shared" si="4"/>
        <v>0</v>
      </c>
      <c r="AD43" s="510">
        <v>50</v>
      </c>
      <c r="AE43" s="512"/>
      <c r="AF43" s="512"/>
      <c r="AG43" s="511">
        <f t="shared" si="5"/>
        <v>0</v>
      </c>
      <c r="AH43" s="513"/>
      <c r="AI43" s="514"/>
      <c r="AJ43" s="520"/>
      <c r="AK43" s="516"/>
      <c r="AL43" s="549"/>
      <c r="AN43" s="518"/>
      <c r="AO43" s="518"/>
    </row>
    <row r="44" spans="1:42" s="484" customFormat="1">
      <c r="A44" s="499"/>
      <c r="B44" s="488"/>
      <c r="C44" s="488"/>
      <c r="D44" s="464"/>
      <c r="E44" s="502"/>
      <c r="F44" s="502"/>
      <c r="G44" s="535"/>
      <c r="H44" s="535"/>
      <c r="I44" s="535"/>
      <c r="J44" s="537"/>
      <c r="K44" s="468"/>
      <c r="L44" s="468"/>
      <c r="M44" s="468"/>
      <c r="N44" s="538"/>
      <c r="O44" s="538"/>
      <c r="P44" s="538"/>
      <c r="Q44" s="538"/>
      <c r="R44" s="538"/>
      <c r="S44" s="538"/>
      <c r="T44" s="538"/>
      <c r="U44" s="538"/>
      <c r="V44" s="538"/>
      <c r="W44" s="538"/>
      <c r="X44" s="538"/>
      <c r="Y44" s="538"/>
      <c r="Z44" s="468"/>
      <c r="AA44" s="468"/>
      <c r="AB44" s="468"/>
      <c r="AC44" s="468"/>
      <c r="AD44" s="539"/>
      <c r="AE44" s="512"/>
      <c r="AF44" s="512"/>
      <c r="AG44" s="511">
        <f t="shared" si="5"/>
        <v>0</v>
      </c>
      <c r="AH44" s="513"/>
      <c r="AI44" s="514"/>
      <c r="AJ44" s="520"/>
      <c r="AK44" s="553"/>
      <c r="AL44" s="549"/>
      <c r="AN44" s="518"/>
      <c r="AO44" s="518"/>
    </row>
    <row r="45" spans="1:42" s="484" customFormat="1">
      <c r="A45" s="499"/>
      <c r="B45" s="554"/>
      <c r="C45" s="555"/>
      <c r="D45" s="465"/>
      <c r="E45" s="556"/>
      <c r="F45" s="556"/>
      <c r="G45" s="557"/>
      <c r="H45" s="557"/>
      <c r="I45" s="557"/>
      <c r="J45" s="558"/>
      <c r="K45" s="469"/>
      <c r="L45" s="469"/>
      <c r="M45" s="46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469"/>
      <c r="AA45" s="469"/>
      <c r="AB45" s="469"/>
      <c r="AC45" s="469"/>
      <c r="AD45" s="560"/>
      <c r="AE45" s="561"/>
      <c r="AF45" s="561"/>
      <c r="AG45" s="561"/>
      <c r="AH45" s="562"/>
      <c r="AI45" s="551"/>
      <c r="AJ45" s="551"/>
      <c r="AK45" s="551"/>
      <c r="AL45" s="563"/>
    </row>
    <row r="46" spans="1:42" s="484" customFormat="1">
      <c r="A46" s="485"/>
      <c r="B46" s="564"/>
      <c r="C46" s="564"/>
      <c r="D46" s="473"/>
      <c r="E46" s="485"/>
      <c r="F46" s="485"/>
      <c r="G46" s="565"/>
      <c r="H46" s="565"/>
      <c r="I46" s="565"/>
      <c r="J46" s="565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  <c r="AA46" s="485"/>
      <c r="AB46" s="485"/>
      <c r="AC46" s="485"/>
      <c r="AD46" s="566"/>
      <c r="AE46" s="567"/>
      <c r="AF46" s="567"/>
      <c r="AG46" s="567"/>
      <c r="AH46" s="568"/>
      <c r="AI46" s="485"/>
      <c r="AJ46" s="485"/>
      <c r="AK46" s="485"/>
      <c r="AL46" s="563"/>
    </row>
    <row r="47" spans="1:42" s="484" customFormat="1" ht="16.2" thickBot="1">
      <c r="A47" s="485"/>
      <c r="B47" s="564"/>
      <c r="C47" s="564"/>
      <c r="D47" s="473"/>
      <c r="E47" s="485"/>
      <c r="F47" s="485"/>
      <c r="G47" s="565"/>
      <c r="H47" s="565"/>
      <c r="I47" s="565"/>
      <c r="J47" s="56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566"/>
      <c r="AE47" s="569">
        <f>SUM(AE8:AE46)</f>
        <v>1350</v>
      </c>
      <c r="AF47" s="569">
        <f>SUM(AF8:AF46)</f>
        <v>0</v>
      </c>
      <c r="AG47" s="569">
        <f>SUM(AG8:AG46)</f>
        <v>1750</v>
      </c>
      <c r="AH47" s="570"/>
      <c r="AI47" s="571">
        <f>SUM(AI8:AI46)</f>
        <v>1350</v>
      </c>
      <c r="AJ47" s="485"/>
      <c r="AK47" s="485"/>
      <c r="AL47" s="563"/>
    </row>
    <row r="48" spans="1:42" s="484" customFormat="1" ht="16.2" thickTop="1">
      <c r="A48" s="485"/>
      <c r="B48" s="485"/>
      <c r="C48" s="485"/>
      <c r="D48" s="473"/>
      <c r="E48" s="485"/>
      <c r="F48" s="485"/>
      <c r="G48" s="565"/>
      <c r="H48" s="565"/>
      <c r="I48" s="565"/>
      <c r="J48" s="565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566"/>
      <c r="AE48" s="572"/>
      <c r="AF48" s="572"/>
      <c r="AG48" s="572"/>
      <c r="AH48" s="568"/>
      <c r="AI48" s="485"/>
      <c r="AJ48" s="485"/>
      <c r="AK48" s="485"/>
      <c r="AL48" s="563"/>
    </row>
    <row r="49" spans="4:38" s="485" customFormat="1">
      <c r="D49" s="473"/>
      <c r="G49" s="565"/>
      <c r="H49" s="565"/>
      <c r="I49" s="565"/>
      <c r="J49" s="565"/>
      <c r="AD49" s="566"/>
      <c r="AE49" s="573"/>
      <c r="AF49" s="573"/>
      <c r="AG49" s="573"/>
      <c r="AL49" s="563"/>
    </row>
  </sheetData>
  <mergeCells count="3">
    <mergeCell ref="AE6:AG6"/>
    <mergeCell ref="E5:G5"/>
    <mergeCell ref="E6:G6"/>
  </mergeCells>
  <phoneticPr fontId="35" type="noConversion"/>
  <dataValidations count="2">
    <dataValidation type="list" allowBlank="1" showInputMessage="1" showErrorMessage="1" sqref="E9" xr:uid="{AB5B47FC-96B0-4D14-B3B9-C8190A2C1156}">
      <formula1>$AP$11:$AP$41</formula1>
    </dataValidation>
    <dataValidation type="list" allowBlank="1" showInputMessage="1" showErrorMessage="1" sqref="F9 E10:F45" xr:uid="{9BAC6F56-74A0-4D3B-82BE-0E832DFCAABA}">
      <formula1>$AP$11:$AP$40</formula1>
    </dataValidation>
  </dataValidations>
  <pageMargins left="0.31496062992125984" right="0.31496062992125984" top="0.74803149606299213" bottom="0.74803149606299213" header="0.31496062992125984" footer="0.31496062992125984"/>
  <pageSetup paperSize="9" scale="90" orientation="landscape" r:id="rId1"/>
  <headerFooter>
    <oddFooter>&amp;RPrepared by : 汶娟
日期 : 18.09.2025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CC44-7DDB-4BFD-8989-814AA0605B3A}">
  <dimension ref="A4:AM49"/>
  <sheetViews>
    <sheetView zoomScale="90" zoomScaleNormal="90" workbookViewId="0">
      <pane xSplit="2" ySplit="8" topLeftCell="C25" activePane="bottomRight" state="frozen"/>
      <selection pane="topRight" activeCell="C1" sqref="C1"/>
      <selection pane="bottomLeft" activeCell="A9" sqref="A9"/>
      <selection pane="bottomRight" activeCell="B9" sqref="B9"/>
    </sheetView>
  </sheetViews>
  <sheetFormatPr defaultColWidth="9.33203125" defaultRowHeight="14.4"/>
  <cols>
    <col min="1" max="1" width="12" style="84" customWidth="1"/>
    <col min="2" max="2" width="14.6640625" style="84" customWidth="1"/>
    <col min="3" max="3" width="10.33203125" style="84" customWidth="1"/>
    <col min="4" max="4" width="16" style="470" customWidth="1"/>
    <col min="5" max="5" width="13" style="81" customWidth="1"/>
    <col min="6" max="6" width="5.6640625" style="84" bestFit="1" customWidth="1"/>
    <col min="7" max="7" width="5.6640625" style="84" customWidth="1"/>
    <col min="8" max="8" width="5.6640625" style="84" bestFit="1" customWidth="1"/>
    <col min="9" max="9" width="3.6640625" style="84" customWidth="1"/>
    <col min="10" max="10" width="3.5546875" style="84" bestFit="1" customWidth="1"/>
    <col min="11" max="11" width="4.44140625" style="84" bestFit="1" customWidth="1"/>
    <col min="12" max="12" width="3.6640625" style="84" bestFit="1" customWidth="1"/>
    <col min="13" max="13" width="4.44140625" style="84" bestFit="1" customWidth="1"/>
    <col min="14" max="14" width="3.6640625" style="84" bestFit="1" customWidth="1"/>
    <col min="15" max="15" width="3.44140625" style="84" bestFit="1" customWidth="1"/>
    <col min="16" max="16" width="3.44140625" style="84" customWidth="1"/>
    <col min="17" max="17" width="4.33203125" style="84" bestFit="1" customWidth="1"/>
    <col min="18" max="18" width="3.5546875" style="84" bestFit="1" customWidth="1"/>
    <col min="19" max="19" width="4" style="84" bestFit="1" customWidth="1"/>
    <col min="20" max="20" width="4" style="84" customWidth="1"/>
    <col min="21" max="23" width="7" style="84" bestFit="1" customWidth="1"/>
    <col min="24" max="24" width="6.33203125" style="84" bestFit="1" customWidth="1"/>
    <col min="25" max="25" width="7.33203125" style="85" bestFit="1" customWidth="1"/>
    <col min="26" max="26" width="11" style="84" bestFit="1" customWidth="1"/>
    <col min="27" max="28" width="8.5546875" style="84" customWidth="1"/>
    <col min="29" max="29" width="6" style="84" bestFit="1" customWidth="1"/>
    <col min="30" max="30" width="17.6640625" style="84" customWidth="1"/>
    <col min="31" max="31" width="14.33203125" style="84" customWidth="1"/>
    <col min="32" max="32" width="12.5546875" style="84" customWidth="1"/>
    <col min="33" max="33" width="9.33203125" style="186"/>
    <col min="34" max="35" width="9.33203125" style="80"/>
    <col min="36" max="36" width="10.6640625" style="80" customWidth="1"/>
    <col min="37" max="16384" width="9.33203125" style="80"/>
  </cols>
  <sheetData>
    <row r="4" spans="1:39" ht="15">
      <c r="AD4" s="58" t="s">
        <v>513</v>
      </c>
    </row>
    <row r="5" spans="1:39" ht="16.2">
      <c r="A5" s="4" t="s">
        <v>0</v>
      </c>
      <c r="B5" s="80"/>
      <c r="C5" s="80"/>
      <c r="D5" s="471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2"/>
      <c r="Z5" s="80"/>
      <c r="AA5" s="80"/>
      <c r="AB5" s="80"/>
      <c r="AC5" s="80"/>
      <c r="AD5" s="26"/>
      <c r="AE5" s="83"/>
      <c r="AF5" s="80"/>
    </row>
    <row r="6" spans="1:39" ht="30" customHeight="1">
      <c r="F6" s="84">
        <v>10</v>
      </c>
      <c r="G6" s="84">
        <v>11</v>
      </c>
      <c r="H6" s="84">
        <v>12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201" t="s">
        <v>514</v>
      </c>
      <c r="V6" s="84">
        <v>2</v>
      </c>
      <c r="W6" s="84">
        <v>3</v>
      </c>
      <c r="Z6" s="902" t="s">
        <v>5</v>
      </c>
      <c r="AA6" s="903"/>
      <c r="AB6" s="904"/>
      <c r="AC6" s="86"/>
      <c r="AD6" s="185" t="s">
        <v>444</v>
      </c>
      <c r="AE6" s="87"/>
    </row>
    <row r="7" spans="1:39" ht="51" customHeight="1">
      <c r="A7" s="88" t="s">
        <v>445</v>
      </c>
      <c r="B7" s="88" t="s">
        <v>446</v>
      </c>
      <c r="C7" s="88" t="s">
        <v>447</v>
      </c>
      <c r="D7" s="88" t="s">
        <v>448</v>
      </c>
      <c r="E7" s="6" t="s">
        <v>515</v>
      </c>
      <c r="F7" s="199">
        <v>45566</v>
      </c>
      <c r="G7" s="199">
        <v>45597</v>
      </c>
      <c r="H7" s="199">
        <v>45627</v>
      </c>
      <c r="I7" s="202" t="s">
        <v>451</v>
      </c>
      <c r="J7" s="202" t="s">
        <v>452</v>
      </c>
      <c r="K7" s="202" t="s">
        <v>453</v>
      </c>
      <c r="L7" s="202" t="s">
        <v>454</v>
      </c>
      <c r="M7" s="202" t="s">
        <v>455</v>
      </c>
      <c r="N7" s="202" t="s">
        <v>456</v>
      </c>
      <c r="O7" s="202" t="s">
        <v>457</v>
      </c>
      <c r="P7" s="202" t="s">
        <v>458</v>
      </c>
      <c r="Q7" s="202" t="s">
        <v>459</v>
      </c>
      <c r="R7" s="202" t="s">
        <v>460</v>
      </c>
      <c r="S7" s="202" t="s">
        <v>461</v>
      </c>
      <c r="T7" s="202" t="s">
        <v>462</v>
      </c>
      <c r="U7" s="200">
        <v>45658</v>
      </c>
      <c r="V7" s="200">
        <v>45689</v>
      </c>
      <c r="W7" s="200">
        <v>45717</v>
      </c>
      <c r="X7" s="89" t="s">
        <v>449</v>
      </c>
      <c r="Y7" s="90" t="s">
        <v>450</v>
      </c>
      <c r="Z7" s="91" t="s">
        <v>463</v>
      </c>
      <c r="AA7" s="91" t="s">
        <v>464</v>
      </c>
      <c r="AB7" s="183" t="s">
        <v>15</v>
      </c>
      <c r="AC7" s="88" t="s">
        <v>465</v>
      </c>
      <c r="AD7" s="88" t="s">
        <v>466</v>
      </c>
      <c r="AE7" s="88" t="s">
        <v>467</v>
      </c>
      <c r="AF7" s="88" t="s">
        <v>18</v>
      </c>
      <c r="AG7" s="187"/>
      <c r="AJ7" s="84"/>
    </row>
    <row r="8" spans="1:39" ht="15">
      <c r="A8" s="92"/>
      <c r="B8" s="93"/>
      <c r="C8" s="94"/>
      <c r="D8" s="95"/>
      <c r="E8" s="96"/>
      <c r="F8" s="97"/>
      <c r="G8" s="97"/>
      <c r="H8" s="97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97"/>
      <c r="V8" s="97"/>
      <c r="W8" s="97"/>
      <c r="X8" s="97"/>
      <c r="Y8" s="98"/>
      <c r="Z8" s="99" t="s">
        <v>468</v>
      </c>
      <c r="AA8" s="99" t="s">
        <v>468</v>
      </c>
      <c r="AB8" s="99"/>
      <c r="AC8" s="100"/>
      <c r="AD8" s="101"/>
      <c r="AE8" s="101"/>
      <c r="AF8" s="101"/>
    </row>
    <row r="9" spans="1:39" ht="15">
      <c r="A9" s="772">
        <v>45782</v>
      </c>
      <c r="B9" s="177" t="s">
        <v>516</v>
      </c>
      <c r="C9" s="178">
        <v>168</v>
      </c>
      <c r="D9" s="103" t="str">
        <f>VLOOKUP(C9,'MASTER Name List'!$B$3:$M$186,2,FALSE)</f>
        <v>王秋蓉</v>
      </c>
      <c r="E9" s="796" t="s">
        <v>517</v>
      </c>
      <c r="F9" s="104"/>
      <c r="G9" s="104"/>
      <c r="H9" s="104"/>
      <c r="I9" s="204"/>
      <c r="J9" s="204"/>
      <c r="K9" s="204"/>
      <c r="L9" s="205"/>
      <c r="M9" s="205" t="s">
        <v>470</v>
      </c>
      <c r="N9" s="205" t="s">
        <v>470</v>
      </c>
      <c r="O9" s="204"/>
      <c r="P9" s="204"/>
      <c r="Q9" s="204"/>
      <c r="R9" s="204"/>
      <c r="S9" s="204"/>
      <c r="T9" s="204"/>
      <c r="U9" s="104"/>
      <c r="V9" s="104"/>
      <c r="W9" s="104"/>
      <c r="X9" s="105" t="str">
        <f>COUNTIF($F9:$W9,"X") &amp; ""</f>
        <v>2</v>
      </c>
      <c r="Y9" s="106">
        <v>50</v>
      </c>
      <c r="Z9" s="107">
        <f>COUNTIF($F9:$W9,"X")*$Y9</f>
        <v>100</v>
      </c>
      <c r="AA9" s="184"/>
      <c r="AB9" s="184"/>
      <c r="AC9" s="108">
        <v>1</v>
      </c>
      <c r="AD9" s="797"/>
      <c r="AE9" s="109"/>
      <c r="AF9" s="110">
        <v>123</v>
      </c>
      <c r="AG9" s="214"/>
      <c r="AI9" s="111"/>
      <c r="AJ9" s="111"/>
    </row>
    <row r="10" spans="1:39" ht="15">
      <c r="A10" s="772">
        <v>45787</v>
      </c>
      <c r="B10" s="177" t="s">
        <v>518</v>
      </c>
      <c r="C10" s="178">
        <v>186</v>
      </c>
      <c r="D10" s="103" t="str">
        <f>VLOOKUP(C10,'MASTER Name List'!$B$3:$M$186,2,FALSE)</f>
        <v>刘玉云</v>
      </c>
      <c r="E10" s="796" t="s">
        <v>517</v>
      </c>
      <c r="F10" s="104"/>
      <c r="G10" s="104"/>
      <c r="H10" s="104"/>
      <c r="I10" s="204"/>
      <c r="J10" s="204"/>
      <c r="K10" s="204"/>
      <c r="L10" s="204"/>
      <c r="M10" s="798" t="s">
        <v>470</v>
      </c>
      <c r="N10" s="798" t="s">
        <v>470</v>
      </c>
      <c r="O10" s="204"/>
      <c r="P10" s="204"/>
      <c r="Q10" s="204"/>
      <c r="R10" s="204"/>
      <c r="S10" s="204"/>
      <c r="T10" s="204"/>
      <c r="U10" s="104"/>
      <c r="V10" s="104"/>
      <c r="W10" s="104"/>
      <c r="X10" s="105" t="str">
        <f t="shared" ref="X10:X21" si="0">COUNTIF($F10:$W10,"X") &amp; ""</f>
        <v>2</v>
      </c>
      <c r="Y10" s="106">
        <v>50</v>
      </c>
      <c r="Z10" s="107">
        <f t="shared" ref="Z10:Z21" si="1">COUNTIF($F10:$W10,"X")*$Y10</f>
        <v>100</v>
      </c>
      <c r="AA10" s="184"/>
      <c r="AB10" s="184"/>
      <c r="AC10" s="108">
        <v>1</v>
      </c>
      <c r="AD10" s="799"/>
      <c r="AE10" s="231"/>
      <c r="AF10" s="231"/>
      <c r="AG10" s="191"/>
      <c r="AI10" s="111"/>
      <c r="AJ10" s="111"/>
    </row>
    <row r="11" spans="1:39" ht="15">
      <c r="A11" s="772">
        <v>45789</v>
      </c>
      <c r="B11" s="177" t="s">
        <v>519</v>
      </c>
      <c r="C11" s="178">
        <v>73</v>
      </c>
      <c r="D11" s="103" t="str">
        <f>VLOOKUP(C11,'MASTER Name List'!$B$3:$M$186,2,FALSE)</f>
        <v>李宝明</v>
      </c>
      <c r="E11" s="800" t="s">
        <v>520</v>
      </c>
      <c r="F11" s="104"/>
      <c r="G11" s="104"/>
      <c r="H11" s="104"/>
      <c r="I11" s="204"/>
      <c r="J11" s="204"/>
      <c r="K11" s="204"/>
      <c r="L11" s="204"/>
      <c r="M11" s="798" t="s">
        <v>470</v>
      </c>
      <c r="N11" s="798" t="s">
        <v>470</v>
      </c>
      <c r="O11" s="798" t="s">
        <v>470</v>
      </c>
      <c r="P11" s="798" t="s">
        <v>470</v>
      </c>
      <c r="Q11" s="204"/>
      <c r="R11" s="204"/>
      <c r="S11" s="204"/>
      <c r="T11" s="204"/>
      <c r="U11" s="104"/>
      <c r="V11" s="104"/>
      <c r="W11" s="104"/>
      <c r="X11" s="105" t="str">
        <f t="shared" si="0"/>
        <v>4</v>
      </c>
      <c r="Y11" s="106">
        <v>50</v>
      </c>
      <c r="Z11" s="107">
        <f t="shared" si="1"/>
        <v>200</v>
      </c>
      <c r="AA11" s="184"/>
      <c r="AB11" s="184"/>
      <c r="AC11" s="108">
        <v>1</v>
      </c>
      <c r="AD11" s="232"/>
      <c r="AE11" s="233"/>
      <c r="AF11" s="233"/>
      <c r="AG11" s="191"/>
      <c r="AI11" s="111"/>
      <c r="AJ11" s="111"/>
    </row>
    <row r="12" spans="1:39" ht="15">
      <c r="A12" s="772">
        <v>45789</v>
      </c>
      <c r="B12" s="177" t="s">
        <v>521</v>
      </c>
      <c r="C12" s="178">
        <v>208</v>
      </c>
      <c r="D12" s="103" t="str">
        <f>VLOOKUP(C12,'MASTER Name List'!$B$3:$M$186,2,FALSE)</f>
        <v>萧志倫</v>
      </c>
      <c r="E12" s="800" t="s">
        <v>485</v>
      </c>
      <c r="F12" s="104"/>
      <c r="G12" s="104"/>
      <c r="H12" s="104"/>
      <c r="I12" s="204"/>
      <c r="J12" s="204"/>
      <c r="K12" s="204"/>
      <c r="L12" s="798" t="s">
        <v>470</v>
      </c>
      <c r="M12" s="798" t="s">
        <v>470</v>
      </c>
      <c r="N12" s="204"/>
      <c r="O12" s="204"/>
      <c r="P12" s="204"/>
      <c r="Q12" s="204"/>
      <c r="R12" s="204"/>
      <c r="S12" s="204"/>
      <c r="T12" s="204"/>
      <c r="U12" s="104"/>
      <c r="V12" s="104"/>
      <c r="W12" s="104"/>
      <c r="X12" s="105" t="str">
        <f t="shared" si="0"/>
        <v>2</v>
      </c>
      <c r="Y12" s="106">
        <v>50</v>
      </c>
      <c r="Z12" s="107">
        <f t="shared" si="1"/>
        <v>100</v>
      </c>
      <c r="AA12" s="184"/>
      <c r="AB12" s="184"/>
      <c r="AC12" s="108">
        <v>1</v>
      </c>
      <c r="AD12" s="801"/>
      <c r="AE12" s="233"/>
      <c r="AF12" s="233"/>
      <c r="AG12" s="191"/>
      <c r="AI12" s="111"/>
      <c r="AJ12" s="111"/>
    </row>
    <row r="13" spans="1:39" ht="15">
      <c r="A13" s="772">
        <v>45789</v>
      </c>
      <c r="B13" s="177" t="s">
        <v>522</v>
      </c>
      <c r="C13" s="178">
        <v>178</v>
      </c>
      <c r="D13" s="103" t="str">
        <f>VLOOKUP(C13,'MASTER Name List'!$B$3:$M$186,2,FALSE)</f>
        <v>颜美葒</v>
      </c>
      <c r="E13" s="800" t="s">
        <v>523</v>
      </c>
      <c r="F13" s="104"/>
      <c r="G13" s="104"/>
      <c r="H13" s="104"/>
      <c r="I13" s="204"/>
      <c r="J13" s="204"/>
      <c r="K13" s="204"/>
      <c r="L13" s="204"/>
      <c r="M13" s="204"/>
      <c r="N13" s="204"/>
      <c r="O13" s="798" t="s">
        <v>470</v>
      </c>
      <c r="P13" s="204"/>
      <c r="Q13" s="204"/>
      <c r="R13" s="204"/>
      <c r="S13" s="204"/>
      <c r="T13" s="204"/>
      <c r="U13" s="104"/>
      <c r="V13" s="104"/>
      <c r="W13" s="104"/>
      <c r="X13" s="105" t="str">
        <f t="shared" si="0"/>
        <v>1</v>
      </c>
      <c r="Y13" s="106">
        <v>50</v>
      </c>
      <c r="Z13" s="107">
        <f t="shared" si="1"/>
        <v>50</v>
      </c>
      <c r="AA13" s="184"/>
      <c r="AB13" s="184"/>
      <c r="AC13" s="108">
        <v>1</v>
      </c>
      <c r="AD13" s="801"/>
      <c r="AE13" s="233"/>
      <c r="AF13" s="233"/>
      <c r="AG13" s="191"/>
      <c r="AI13" s="111"/>
      <c r="AJ13" s="111"/>
    </row>
    <row r="14" spans="1:39" ht="15">
      <c r="A14" s="210">
        <v>45789</v>
      </c>
      <c r="B14" s="177" t="s">
        <v>524</v>
      </c>
      <c r="C14" s="178">
        <v>97</v>
      </c>
      <c r="D14" s="103" t="str">
        <f>VLOOKUP(C14,'MASTER Name List'!$B$3:$M$186,2,FALSE)</f>
        <v>陈素秋</v>
      </c>
      <c r="E14" s="800" t="s">
        <v>520</v>
      </c>
      <c r="F14" s="104"/>
      <c r="G14" s="104"/>
      <c r="H14" s="104"/>
      <c r="I14" s="204"/>
      <c r="J14" s="204"/>
      <c r="K14" s="204"/>
      <c r="L14" s="204"/>
      <c r="M14" s="798" t="s">
        <v>470</v>
      </c>
      <c r="N14" s="798" t="s">
        <v>470</v>
      </c>
      <c r="O14" s="798" t="s">
        <v>470</v>
      </c>
      <c r="P14" s="798" t="s">
        <v>470</v>
      </c>
      <c r="Q14" s="204"/>
      <c r="R14" s="204"/>
      <c r="S14" s="204"/>
      <c r="T14" s="204"/>
      <c r="U14" s="104"/>
      <c r="V14" s="104"/>
      <c r="W14" s="104"/>
      <c r="X14" s="105" t="str">
        <f t="shared" si="0"/>
        <v>4</v>
      </c>
      <c r="Y14" s="106">
        <v>50</v>
      </c>
      <c r="Z14" s="107">
        <f t="shared" si="1"/>
        <v>200</v>
      </c>
      <c r="AA14" s="184"/>
      <c r="AB14" s="184"/>
      <c r="AC14" s="108">
        <v>1</v>
      </c>
      <c r="AD14" s="801">
        <f>SUMIF(AC:AC,"1",Z:Z)</f>
        <v>750</v>
      </c>
      <c r="AE14" s="233" t="s">
        <v>486</v>
      </c>
      <c r="AF14" s="233">
        <v>123</v>
      </c>
      <c r="AG14" s="191"/>
      <c r="AI14" s="111"/>
      <c r="AJ14" s="111"/>
    </row>
    <row r="15" spans="1:39" ht="15">
      <c r="A15" s="772">
        <v>45792</v>
      </c>
      <c r="B15" s="177" t="s">
        <v>525</v>
      </c>
      <c r="C15" s="178">
        <v>229</v>
      </c>
      <c r="D15" s="103" t="str">
        <f>VLOOKUP(C15,'MASTER Name List'!$B$3:$M$186,2,FALSE)</f>
        <v>陈丽珍</v>
      </c>
      <c r="E15" s="800" t="s">
        <v>520</v>
      </c>
      <c r="F15" s="104"/>
      <c r="G15" s="104"/>
      <c r="H15" s="104"/>
      <c r="I15" s="204"/>
      <c r="J15" s="204"/>
      <c r="K15" s="204"/>
      <c r="L15" s="204"/>
      <c r="M15" s="798" t="s">
        <v>470</v>
      </c>
      <c r="N15" s="798" t="s">
        <v>470</v>
      </c>
      <c r="O15" s="798" t="s">
        <v>470</v>
      </c>
      <c r="P15" s="798" t="s">
        <v>470</v>
      </c>
      <c r="Q15" s="204"/>
      <c r="R15" s="204"/>
      <c r="S15" s="204"/>
      <c r="T15" s="204"/>
      <c r="U15" s="204"/>
      <c r="V15" s="204"/>
      <c r="W15" s="204"/>
      <c r="X15" s="105" t="str">
        <f t="shared" si="0"/>
        <v>4</v>
      </c>
      <c r="Y15" s="106">
        <v>50</v>
      </c>
      <c r="Z15" s="107">
        <f t="shared" si="1"/>
        <v>200</v>
      </c>
      <c r="AA15" s="184"/>
      <c r="AB15" s="184"/>
      <c r="AC15" s="108">
        <v>2</v>
      </c>
      <c r="AD15" s="234"/>
      <c r="AE15" s="234"/>
      <c r="AF15" s="235">
        <v>124</v>
      </c>
      <c r="AG15" s="802"/>
      <c r="AH15" s="84"/>
      <c r="AI15" s="84"/>
      <c r="AJ15" s="191"/>
      <c r="AL15" s="111"/>
      <c r="AM15" s="111"/>
    </row>
    <row r="16" spans="1:39" ht="15">
      <c r="A16" s="772">
        <v>45793</v>
      </c>
      <c r="B16" s="177" t="s">
        <v>526</v>
      </c>
      <c r="C16" s="178">
        <v>183</v>
      </c>
      <c r="D16" s="103" t="str">
        <f>VLOOKUP(C16,'MASTER Name List'!$B$3:$M$186,2,FALSE)</f>
        <v>郭丽诗</v>
      </c>
      <c r="E16" s="800" t="s">
        <v>527</v>
      </c>
      <c r="F16" s="104"/>
      <c r="G16" s="104"/>
      <c r="H16" s="104"/>
      <c r="I16" s="204"/>
      <c r="J16" s="204"/>
      <c r="K16" s="204"/>
      <c r="L16" s="204"/>
      <c r="M16" s="204"/>
      <c r="N16" s="798" t="s">
        <v>470</v>
      </c>
      <c r="O16" s="798" t="s">
        <v>470</v>
      </c>
      <c r="P16" s="798" t="s">
        <v>470</v>
      </c>
      <c r="Q16" s="798" t="s">
        <v>470</v>
      </c>
      <c r="R16" s="798" t="s">
        <v>470</v>
      </c>
      <c r="S16" s="798" t="s">
        <v>470</v>
      </c>
      <c r="T16" s="798" t="s">
        <v>470</v>
      </c>
      <c r="U16" s="104"/>
      <c r="V16" s="104"/>
      <c r="W16" s="104"/>
      <c r="X16" s="105" t="str">
        <f t="shared" si="0"/>
        <v>7</v>
      </c>
      <c r="Y16" s="106">
        <v>50</v>
      </c>
      <c r="Z16" s="107">
        <f t="shared" si="1"/>
        <v>350</v>
      </c>
      <c r="AA16" s="184"/>
      <c r="AB16" s="184"/>
      <c r="AC16" s="108">
        <v>2</v>
      </c>
      <c r="AD16" s="801">
        <f>SUMIF(AC:AC,"2",Z:Z)</f>
        <v>550</v>
      </c>
      <c r="AE16" s="233" t="s">
        <v>486</v>
      </c>
      <c r="AF16" s="233"/>
      <c r="AG16" s="191"/>
      <c r="AI16" s="111"/>
      <c r="AJ16" s="111"/>
    </row>
    <row r="17" spans="1:36" ht="15">
      <c r="A17" s="772">
        <v>45799</v>
      </c>
      <c r="B17" s="177" t="s">
        <v>528</v>
      </c>
      <c r="C17" s="178">
        <v>181</v>
      </c>
      <c r="D17" s="103" t="str">
        <f>VLOOKUP(C17,'MASTER Name List'!$B$3:$M$186,2,FALSE)</f>
        <v>陈金清</v>
      </c>
      <c r="E17" s="800" t="s">
        <v>517</v>
      </c>
      <c r="F17" s="104"/>
      <c r="G17" s="104"/>
      <c r="H17" s="104"/>
      <c r="I17" s="204"/>
      <c r="J17" s="204"/>
      <c r="K17" s="204"/>
      <c r="L17" s="204"/>
      <c r="M17" s="798" t="s">
        <v>470</v>
      </c>
      <c r="N17" s="798" t="s">
        <v>470</v>
      </c>
      <c r="O17" s="204"/>
      <c r="P17" s="204"/>
      <c r="Q17" s="204"/>
      <c r="R17" s="204"/>
      <c r="S17" s="204"/>
      <c r="T17" s="204"/>
      <c r="U17" s="104"/>
      <c r="V17" s="104"/>
      <c r="W17" s="104"/>
      <c r="X17" s="105" t="str">
        <f t="shared" si="0"/>
        <v>2</v>
      </c>
      <c r="Y17" s="106">
        <v>50</v>
      </c>
      <c r="Z17" s="107">
        <f t="shared" si="1"/>
        <v>100</v>
      </c>
      <c r="AA17" s="184"/>
      <c r="AB17" s="184"/>
      <c r="AC17" s="108">
        <v>3</v>
      </c>
      <c r="AD17" s="801"/>
      <c r="AE17" s="233"/>
      <c r="AF17" s="233"/>
      <c r="AG17" s="191"/>
      <c r="AI17" s="111"/>
      <c r="AJ17" s="111"/>
    </row>
    <row r="18" spans="1:36" ht="15">
      <c r="A18" s="772">
        <v>45801</v>
      </c>
      <c r="B18" s="177" t="s">
        <v>529</v>
      </c>
      <c r="C18" s="178">
        <v>184</v>
      </c>
      <c r="D18" s="103" t="str">
        <f>VLOOKUP(C18,'MASTER Name List'!$B$3:$M$186,2,FALSE)</f>
        <v>赖奕坊</v>
      </c>
      <c r="E18" s="800" t="s">
        <v>530</v>
      </c>
      <c r="F18" s="104"/>
      <c r="G18" s="104"/>
      <c r="H18" s="104"/>
      <c r="I18" s="204"/>
      <c r="J18" s="204"/>
      <c r="K18" s="204"/>
      <c r="L18" s="798" t="s">
        <v>470</v>
      </c>
      <c r="M18" s="798" t="s">
        <v>470</v>
      </c>
      <c r="N18" s="798" t="s">
        <v>470</v>
      </c>
      <c r="O18" s="798" t="s">
        <v>470</v>
      </c>
      <c r="P18" s="204"/>
      <c r="Q18" s="204"/>
      <c r="R18" s="204"/>
      <c r="S18" s="204"/>
      <c r="T18" s="204"/>
      <c r="U18" s="104"/>
      <c r="V18" s="104"/>
      <c r="W18" s="104"/>
      <c r="X18" s="105" t="str">
        <f t="shared" si="0"/>
        <v>4</v>
      </c>
      <c r="Y18" s="106">
        <v>50</v>
      </c>
      <c r="Z18" s="107">
        <f t="shared" si="1"/>
        <v>200</v>
      </c>
      <c r="AA18" s="184"/>
      <c r="AB18" s="184"/>
      <c r="AC18" s="108">
        <v>3</v>
      </c>
      <c r="AD18" s="803"/>
      <c r="AE18" s="236"/>
      <c r="AF18" s="236"/>
      <c r="AG18" s="191"/>
      <c r="AI18" s="111"/>
      <c r="AJ18" s="111"/>
    </row>
    <row r="19" spans="1:36" ht="15">
      <c r="A19" s="772">
        <v>45804</v>
      </c>
      <c r="B19" s="177" t="s">
        <v>531</v>
      </c>
      <c r="C19" s="178">
        <v>74</v>
      </c>
      <c r="D19" s="103" t="str">
        <f>VLOOKUP(C19,'MASTER Name List'!$B$3:$M$186,2,FALSE)</f>
        <v>黄得财</v>
      </c>
      <c r="E19" s="804" t="s">
        <v>527</v>
      </c>
      <c r="F19" s="115"/>
      <c r="G19" s="115"/>
      <c r="H19" s="115"/>
      <c r="I19" s="206"/>
      <c r="J19" s="206"/>
      <c r="K19" s="206"/>
      <c r="L19" s="206"/>
      <c r="M19" s="206"/>
      <c r="N19" s="805" t="s">
        <v>470</v>
      </c>
      <c r="O19" s="805" t="s">
        <v>470</v>
      </c>
      <c r="P19" s="805" t="s">
        <v>470</v>
      </c>
      <c r="Q19" s="805" t="s">
        <v>470</v>
      </c>
      <c r="R19" s="805" t="s">
        <v>470</v>
      </c>
      <c r="S19" s="805" t="s">
        <v>470</v>
      </c>
      <c r="T19" s="805" t="s">
        <v>470</v>
      </c>
      <c r="U19" s="115"/>
      <c r="V19" s="115"/>
      <c r="W19" s="115"/>
      <c r="X19" s="105" t="str">
        <f t="shared" si="0"/>
        <v>7</v>
      </c>
      <c r="Y19" s="106">
        <v>50</v>
      </c>
      <c r="Z19" s="107">
        <f t="shared" si="1"/>
        <v>350</v>
      </c>
      <c r="AA19" s="184"/>
      <c r="AB19" s="184"/>
      <c r="AC19" s="108">
        <v>3</v>
      </c>
      <c r="AD19" s="797"/>
      <c r="AE19" s="113"/>
      <c r="AF19" s="110"/>
      <c r="AG19" s="191"/>
      <c r="AI19" s="111"/>
      <c r="AJ19" s="111"/>
    </row>
    <row r="20" spans="1:36" ht="15">
      <c r="A20" s="772">
        <v>45804</v>
      </c>
      <c r="B20" s="177" t="s">
        <v>532</v>
      </c>
      <c r="C20" s="178">
        <v>103</v>
      </c>
      <c r="D20" s="103" t="str">
        <f>VLOOKUP(C20,'MASTER Name List'!$B$3:$M$186,2,FALSE)</f>
        <v>林采諺</v>
      </c>
      <c r="E20" s="804" t="s">
        <v>520</v>
      </c>
      <c r="F20" s="115"/>
      <c r="G20" s="115"/>
      <c r="H20" s="115"/>
      <c r="I20" s="206"/>
      <c r="J20" s="206"/>
      <c r="K20" s="206"/>
      <c r="L20" s="206"/>
      <c r="M20" s="805" t="s">
        <v>470</v>
      </c>
      <c r="N20" s="805" t="s">
        <v>470</v>
      </c>
      <c r="O20" s="805" t="s">
        <v>470</v>
      </c>
      <c r="P20" s="805" t="s">
        <v>470</v>
      </c>
      <c r="Q20" s="206"/>
      <c r="R20" s="206"/>
      <c r="S20" s="206"/>
      <c r="T20" s="206"/>
      <c r="U20" s="115"/>
      <c r="V20" s="115"/>
      <c r="W20" s="115"/>
      <c r="X20" s="105" t="str">
        <f t="shared" si="0"/>
        <v>4</v>
      </c>
      <c r="Y20" s="106">
        <v>50</v>
      </c>
      <c r="Z20" s="107">
        <f t="shared" si="1"/>
        <v>200</v>
      </c>
      <c r="AA20" s="184"/>
      <c r="AB20" s="184"/>
      <c r="AC20" s="108">
        <v>3</v>
      </c>
      <c r="AD20" s="797"/>
      <c r="AE20" s="113"/>
      <c r="AF20" s="110"/>
      <c r="AG20" s="191"/>
      <c r="AI20" s="111"/>
      <c r="AJ20" s="111"/>
    </row>
    <row r="21" spans="1:36" ht="15">
      <c r="A21" s="772">
        <v>45804</v>
      </c>
      <c r="B21" s="177" t="s">
        <v>533</v>
      </c>
      <c r="C21" s="178">
        <v>131</v>
      </c>
      <c r="D21" s="103" t="str">
        <f>VLOOKUP(C21,'MASTER Name List'!$B$3:$M$186,2,FALSE)</f>
        <v>王康芬</v>
      </c>
      <c r="E21" s="804" t="s">
        <v>534</v>
      </c>
      <c r="F21" s="115"/>
      <c r="G21" s="115"/>
      <c r="H21" s="115"/>
      <c r="I21" s="206"/>
      <c r="J21" s="206"/>
      <c r="K21" s="206"/>
      <c r="L21" s="206"/>
      <c r="M21" s="206"/>
      <c r="N21" s="805" t="s">
        <v>470</v>
      </c>
      <c r="O21" s="805" t="s">
        <v>470</v>
      </c>
      <c r="P21" s="805" t="s">
        <v>470</v>
      </c>
      <c r="Q21" s="206"/>
      <c r="R21" s="206"/>
      <c r="S21" s="206"/>
      <c r="T21" s="206"/>
      <c r="U21" s="115"/>
      <c r="V21" s="115"/>
      <c r="W21" s="115"/>
      <c r="X21" s="105" t="str">
        <f t="shared" si="0"/>
        <v>3</v>
      </c>
      <c r="Y21" s="106">
        <v>50</v>
      </c>
      <c r="Z21" s="107">
        <f t="shared" si="1"/>
        <v>150</v>
      </c>
      <c r="AA21" s="184"/>
      <c r="AB21" s="184"/>
      <c r="AC21" s="108">
        <v>3</v>
      </c>
      <c r="AD21" s="801">
        <f>SUMIF(AC:AC,"3",Z:Z)</f>
        <v>1000</v>
      </c>
      <c r="AE21" s="113" t="s">
        <v>535</v>
      </c>
      <c r="AF21" s="110"/>
      <c r="AG21" s="191"/>
      <c r="AI21" s="111"/>
      <c r="AJ21" s="111"/>
    </row>
    <row r="22" spans="1:36" ht="15">
      <c r="A22" s="772"/>
      <c r="B22" s="177"/>
      <c r="C22" s="178"/>
      <c r="D22" s="103" t="e">
        <f>VLOOKUP(C22,'MASTER Name List'!$B$3:$M$186,2,FALSE)</f>
        <v>#N/A</v>
      </c>
      <c r="E22" s="174"/>
      <c r="F22" s="115"/>
      <c r="G22" s="115"/>
      <c r="H22" s="115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115"/>
      <c r="V22" s="115"/>
      <c r="W22" s="115"/>
      <c r="X22" s="115"/>
      <c r="Y22" s="116"/>
      <c r="Z22" s="107"/>
      <c r="AA22" s="184"/>
      <c r="AB22" s="184"/>
      <c r="AC22" s="108"/>
      <c r="AD22" s="797"/>
      <c r="AE22" s="113"/>
      <c r="AF22" s="110"/>
      <c r="AG22" s="191"/>
      <c r="AI22" s="111"/>
      <c r="AJ22" s="111"/>
    </row>
    <row r="23" spans="1:36" ht="15">
      <c r="A23" s="772"/>
      <c r="B23" s="177"/>
      <c r="C23" s="178"/>
      <c r="D23" s="103" t="e">
        <f>VLOOKUP(C23,'MASTER Name List'!$B$3:$M$186,2,FALSE)</f>
        <v>#N/A</v>
      </c>
      <c r="E23" s="175"/>
      <c r="F23" s="117"/>
      <c r="G23" s="117"/>
      <c r="H23" s="11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117"/>
      <c r="V23" s="117"/>
      <c r="W23" s="117"/>
      <c r="X23" s="117"/>
      <c r="Y23" s="118"/>
      <c r="Z23" s="107"/>
      <c r="AA23" s="184"/>
      <c r="AB23" s="184"/>
      <c r="AC23" s="108"/>
      <c r="AD23" s="797"/>
      <c r="AE23" s="113"/>
      <c r="AF23" s="110"/>
      <c r="AG23" s="191"/>
      <c r="AI23" s="111"/>
      <c r="AJ23" s="111"/>
    </row>
    <row r="24" spans="1:36" ht="15">
      <c r="A24" s="772"/>
      <c r="B24" s="177"/>
      <c r="C24" s="178"/>
      <c r="D24" s="103"/>
      <c r="E24" s="175"/>
      <c r="F24" s="117"/>
      <c r="G24" s="117"/>
      <c r="H24" s="11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117"/>
      <c r="V24" s="117"/>
      <c r="W24" s="117"/>
      <c r="X24" s="117"/>
      <c r="Y24" s="118"/>
      <c r="Z24" s="107"/>
      <c r="AA24" s="107"/>
      <c r="AB24" s="107"/>
      <c r="AC24" s="108"/>
      <c r="AD24" s="797"/>
      <c r="AE24" s="113"/>
      <c r="AF24" s="110"/>
      <c r="AG24" s="191"/>
      <c r="AI24" s="111"/>
      <c r="AJ24" s="111"/>
    </row>
    <row r="25" spans="1:36" ht="15">
      <c r="A25" s="806"/>
      <c r="B25" s="179" t="s">
        <v>487</v>
      </c>
      <c r="C25" s="211"/>
      <c r="D25" s="212"/>
      <c r="E25" s="213"/>
      <c r="F25" s="104"/>
      <c r="G25" s="104"/>
      <c r="H25" s="1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104"/>
      <c r="V25" s="104"/>
      <c r="W25" s="104"/>
      <c r="X25" s="104"/>
      <c r="Y25" s="106"/>
      <c r="Z25" s="107"/>
      <c r="AA25" s="107"/>
      <c r="AB25" s="107"/>
      <c r="AC25" s="108"/>
      <c r="AD25" s="797"/>
      <c r="AE25" s="113"/>
      <c r="AF25" s="110"/>
      <c r="AG25" s="191"/>
      <c r="AI25" s="111"/>
      <c r="AJ25" s="111"/>
    </row>
    <row r="26" spans="1:36" ht="15">
      <c r="A26" s="772">
        <v>45778</v>
      </c>
      <c r="B26" s="180"/>
      <c r="C26" s="178">
        <v>145</v>
      </c>
      <c r="D26" s="103" t="str">
        <f>VLOOKUP(C26,'MASTER Name List'!$B$3:$M$186,2,FALSE)</f>
        <v>许俊豪</v>
      </c>
      <c r="E26" s="800" t="s">
        <v>536</v>
      </c>
      <c r="F26" s="104"/>
      <c r="G26" s="104"/>
      <c r="H26" s="104"/>
      <c r="I26" s="204"/>
      <c r="J26" s="204"/>
      <c r="K26" s="205"/>
      <c r="L26" s="798"/>
      <c r="M26" s="798" t="s">
        <v>470</v>
      </c>
      <c r="N26" s="798" t="s">
        <v>470</v>
      </c>
      <c r="O26" s="798" t="s">
        <v>470</v>
      </c>
      <c r="P26" s="798" t="s">
        <v>470</v>
      </c>
      <c r="Q26" s="204"/>
      <c r="R26" s="204"/>
      <c r="S26" s="204"/>
      <c r="T26" s="204"/>
      <c r="U26" s="104"/>
      <c r="V26" s="104"/>
      <c r="W26" s="104"/>
      <c r="X26" s="112" t="str">
        <f>COUNTIF($F26:$W26,"X") &amp; ""</f>
        <v>4</v>
      </c>
      <c r="Y26" s="106">
        <v>50</v>
      </c>
      <c r="Z26" s="184"/>
      <c r="AA26" s="184"/>
      <c r="AB26" s="107">
        <f>COUNTIF($F26:$W26,"X")*$Y26</f>
        <v>200</v>
      </c>
      <c r="AC26" s="108"/>
      <c r="AD26" s="797"/>
      <c r="AE26" s="113"/>
      <c r="AF26" s="110" t="s">
        <v>125</v>
      </c>
      <c r="AG26" s="807" t="s">
        <v>431</v>
      </c>
      <c r="AI26" s="111"/>
      <c r="AJ26" s="111" t="s">
        <v>537</v>
      </c>
    </row>
    <row r="27" spans="1:36" ht="15">
      <c r="A27" s="772">
        <v>45779</v>
      </c>
      <c r="B27" s="180"/>
      <c r="C27" s="178">
        <v>116</v>
      </c>
      <c r="D27" s="103" t="str">
        <f>VLOOKUP(C27,'MASTER Name List'!$B$3:$M$186,2,FALSE)</f>
        <v>李薇薇</v>
      </c>
      <c r="E27" s="800">
        <v>45778</v>
      </c>
      <c r="F27" s="104"/>
      <c r="G27" s="104"/>
      <c r="H27" s="104"/>
      <c r="I27" s="204"/>
      <c r="J27" s="204"/>
      <c r="K27" s="205"/>
      <c r="L27" s="205"/>
      <c r="M27" s="205" t="s">
        <v>470</v>
      </c>
      <c r="N27" s="798"/>
      <c r="O27" s="204"/>
      <c r="P27" s="204"/>
      <c r="Q27" s="204"/>
      <c r="R27" s="204"/>
      <c r="S27" s="204"/>
      <c r="T27" s="204"/>
      <c r="U27" s="104"/>
      <c r="V27" s="104"/>
      <c r="W27" s="104"/>
      <c r="X27" s="112" t="str">
        <f t="shared" ref="X27:X43" si="2">COUNTIF($F27:$W27,"X") &amp; ""</f>
        <v>1</v>
      </c>
      <c r="Y27" s="106">
        <v>50</v>
      </c>
      <c r="Z27" s="184"/>
      <c r="AA27" s="184"/>
      <c r="AB27" s="107">
        <f t="shared" ref="AB27:AB44" si="3">COUNTIF($F27:$W27,"X")*$Y27</f>
        <v>50</v>
      </c>
      <c r="AC27" s="108"/>
      <c r="AD27" s="797"/>
      <c r="AE27" s="113"/>
      <c r="AF27" s="110" t="s">
        <v>125</v>
      </c>
      <c r="AG27" s="807" t="s">
        <v>133</v>
      </c>
      <c r="AI27" s="111"/>
      <c r="AJ27" s="111" t="s">
        <v>538</v>
      </c>
    </row>
    <row r="28" spans="1:36" ht="15">
      <c r="A28" s="772">
        <v>45779</v>
      </c>
      <c r="B28" s="180"/>
      <c r="C28" s="178">
        <v>117</v>
      </c>
      <c r="D28" s="103" t="str">
        <f>VLOOKUP(C28,'MASTER Name List'!$B$3:$M$186,2,FALSE)</f>
        <v>张志文</v>
      </c>
      <c r="E28" s="800">
        <v>45778</v>
      </c>
      <c r="F28" s="104"/>
      <c r="G28" s="104"/>
      <c r="H28" s="104"/>
      <c r="I28" s="204"/>
      <c r="J28" s="798"/>
      <c r="K28" s="798"/>
      <c r="L28" s="798"/>
      <c r="M28" s="798" t="s">
        <v>470</v>
      </c>
      <c r="N28" s="798"/>
      <c r="O28" s="798"/>
      <c r="P28" s="204"/>
      <c r="Q28" s="204"/>
      <c r="R28" s="204"/>
      <c r="S28" s="204"/>
      <c r="T28" s="204"/>
      <c r="U28" s="104"/>
      <c r="V28" s="104"/>
      <c r="W28" s="104"/>
      <c r="X28" s="112" t="str">
        <f t="shared" si="2"/>
        <v>1</v>
      </c>
      <c r="Y28" s="106">
        <v>50</v>
      </c>
      <c r="Z28" s="184"/>
      <c r="AA28" s="184"/>
      <c r="AB28" s="107">
        <f t="shared" si="3"/>
        <v>50</v>
      </c>
      <c r="AC28" s="108"/>
      <c r="AD28" s="797"/>
      <c r="AE28" s="113"/>
      <c r="AF28" s="215" t="s">
        <v>125</v>
      </c>
      <c r="AG28" s="807" t="s">
        <v>492</v>
      </c>
      <c r="AI28" s="111"/>
      <c r="AJ28" s="111" t="s">
        <v>539</v>
      </c>
    </row>
    <row r="29" spans="1:36" ht="15">
      <c r="A29" s="772">
        <v>45779</v>
      </c>
      <c r="B29" s="180"/>
      <c r="C29" s="178">
        <v>123</v>
      </c>
      <c r="D29" s="103" t="str">
        <f>VLOOKUP(C29,'MASTER Name List'!$B$3:$M$186,2,FALSE)</f>
        <v>黄丽娟</v>
      </c>
      <c r="E29" s="800" t="s">
        <v>540</v>
      </c>
      <c r="F29" s="104"/>
      <c r="G29" s="104"/>
      <c r="H29" s="104"/>
      <c r="I29" s="204"/>
      <c r="J29" s="204"/>
      <c r="K29" s="205"/>
      <c r="L29" s="205"/>
      <c r="M29" s="205" t="s">
        <v>470</v>
      </c>
      <c r="N29" s="798" t="s">
        <v>470</v>
      </c>
      <c r="O29" s="204"/>
      <c r="P29" s="204"/>
      <c r="Q29" s="204"/>
      <c r="R29" s="204"/>
      <c r="S29" s="204"/>
      <c r="T29" s="204"/>
      <c r="U29" s="104"/>
      <c r="V29" s="104"/>
      <c r="W29" s="104"/>
      <c r="X29" s="112" t="str">
        <f t="shared" si="2"/>
        <v>2</v>
      </c>
      <c r="Y29" s="106">
        <v>50</v>
      </c>
      <c r="Z29" s="184"/>
      <c r="AA29" s="184"/>
      <c r="AB29" s="107">
        <f t="shared" si="3"/>
        <v>100</v>
      </c>
      <c r="AC29" s="108"/>
      <c r="AD29" s="797"/>
      <c r="AE29" s="119"/>
      <c r="AF29" s="110" t="s">
        <v>125</v>
      </c>
      <c r="AG29" s="807" t="s">
        <v>197</v>
      </c>
      <c r="AI29" s="111" t="s">
        <v>541</v>
      </c>
      <c r="AJ29" s="111"/>
    </row>
    <row r="30" spans="1:36" ht="15">
      <c r="A30" s="772">
        <v>45781</v>
      </c>
      <c r="B30" s="180"/>
      <c r="C30" s="178">
        <v>137</v>
      </c>
      <c r="D30" s="103" t="str">
        <f>VLOOKUP(C30,'MASTER Name List'!$B$3:$M$186,2,FALSE)</f>
        <v>赖美珍</v>
      </c>
      <c r="E30" s="800">
        <v>45778</v>
      </c>
      <c r="F30" s="104"/>
      <c r="G30" s="104"/>
      <c r="H30" s="104"/>
      <c r="I30" s="204"/>
      <c r="J30" s="204"/>
      <c r="K30" s="205"/>
      <c r="L30" s="205"/>
      <c r="M30" s="205" t="s">
        <v>470</v>
      </c>
      <c r="N30" s="798"/>
      <c r="O30" s="204"/>
      <c r="P30" s="204"/>
      <c r="Q30" s="204"/>
      <c r="R30" s="204"/>
      <c r="S30" s="204"/>
      <c r="T30" s="204"/>
      <c r="U30" s="104"/>
      <c r="V30" s="808"/>
      <c r="W30" s="808"/>
      <c r="X30" s="112" t="str">
        <f t="shared" si="2"/>
        <v>1</v>
      </c>
      <c r="Y30" s="106">
        <v>50</v>
      </c>
      <c r="Z30" s="184"/>
      <c r="AA30" s="184"/>
      <c r="AB30" s="107">
        <f t="shared" si="3"/>
        <v>50</v>
      </c>
      <c r="AC30" s="108"/>
      <c r="AD30" s="797"/>
      <c r="AE30" s="113"/>
      <c r="AF30" s="110" t="s">
        <v>325</v>
      </c>
      <c r="AG30" s="807"/>
      <c r="AI30" s="111" t="s">
        <v>542</v>
      </c>
      <c r="AJ30" s="111"/>
    </row>
    <row r="31" spans="1:36" ht="15">
      <c r="A31" s="772">
        <v>45781</v>
      </c>
      <c r="B31" s="180"/>
      <c r="C31" s="178">
        <v>68</v>
      </c>
      <c r="D31" s="103" t="str">
        <f>VLOOKUP(C31,'MASTER Name List'!$B$3:$M$186,2,FALSE)</f>
        <v>沈观胜</v>
      </c>
      <c r="E31" s="800" t="s">
        <v>543</v>
      </c>
      <c r="F31" s="104"/>
      <c r="G31" s="104"/>
      <c r="H31" s="104"/>
      <c r="I31" s="204"/>
      <c r="J31" s="204"/>
      <c r="K31" s="205"/>
      <c r="L31" s="205" t="s">
        <v>470</v>
      </c>
      <c r="M31" s="205" t="s">
        <v>470</v>
      </c>
      <c r="N31" s="798" t="s">
        <v>470</v>
      </c>
      <c r="O31" s="204"/>
      <c r="P31" s="204"/>
      <c r="Q31" s="204"/>
      <c r="R31" s="204"/>
      <c r="S31" s="798"/>
      <c r="T31" s="798"/>
      <c r="U31" s="808"/>
      <c r="V31" s="808"/>
      <c r="W31" s="808"/>
      <c r="X31" s="112" t="str">
        <f t="shared" si="2"/>
        <v>3</v>
      </c>
      <c r="Y31" s="106">
        <v>50</v>
      </c>
      <c r="Z31" s="184"/>
      <c r="AA31" s="184"/>
      <c r="AB31" s="107">
        <f t="shared" si="3"/>
        <v>150</v>
      </c>
      <c r="AC31" s="108"/>
      <c r="AD31" s="797"/>
      <c r="AE31" s="113"/>
      <c r="AF31" s="110" t="s">
        <v>125</v>
      </c>
      <c r="AG31" s="807" t="s">
        <v>211</v>
      </c>
      <c r="AI31" s="111" t="s">
        <v>544</v>
      </c>
      <c r="AJ31" s="111"/>
    </row>
    <row r="32" spans="1:36" ht="15">
      <c r="A32" s="772">
        <v>45782</v>
      </c>
      <c r="B32" s="180"/>
      <c r="C32" s="178">
        <v>104</v>
      </c>
      <c r="D32" s="103" t="str">
        <f>VLOOKUP(C32,'MASTER Name List'!$B$3:$M$186,2,FALSE)</f>
        <v>连美丽</v>
      </c>
      <c r="E32" s="800" t="s">
        <v>540</v>
      </c>
      <c r="F32" s="104"/>
      <c r="G32" s="104"/>
      <c r="H32" s="104"/>
      <c r="I32" s="204"/>
      <c r="J32" s="204"/>
      <c r="K32" s="205"/>
      <c r="L32" s="205"/>
      <c r="M32" s="205" t="s">
        <v>470</v>
      </c>
      <c r="N32" s="798" t="s">
        <v>470</v>
      </c>
      <c r="O32" s="204"/>
      <c r="P32" s="204"/>
      <c r="Q32" s="204"/>
      <c r="R32" s="204"/>
      <c r="S32" s="798"/>
      <c r="T32" s="798"/>
      <c r="U32" s="808"/>
      <c r="V32" s="104"/>
      <c r="W32" s="104"/>
      <c r="X32" s="112" t="str">
        <f t="shared" si="2"/>
        <v>2</v>
      </c>
      <c r="Y32" s="106">
        <v>50</v>
      </c>
      <c r="Z32" s="184"/>
      <c r="AA32" s="184"/>
      <c r="AB32" s="107">
        <f t="shared" si="3"/>
        <v>100</v>
      </c>
      <c r="AC32" s="108"/>
      <c r="AD32" s="797"/>
      <c r="AE32" s="113"/>
      <c r="AF32" s="110" t="s">
        <v>125</v>
      </c>
      <c r="AG32" s="807" t="s">
        <v>142</v>
      </c>
      <c r="AI32" s="111" t="s">
        <v>545</v>
      </c>
      <c r="AJ32" s="111"/>
    </row>
    <row r="33" spans="1:36" ht="15">
      <c r="A33" s="772">
        <v>45786</v>
      </c>
      <c r="B33" s="180"/>
      <c r="C33" s="178">
        <v>172</v>
      </c>
      <c r="D33" s="103" t="str">
        <f>VLOOKUP(C33,'MASTER Name List'!$B$3:$M$186,2,FALSE)</f>
        <v>蔡均镅</v>
      </c>
      <c r="E33" s="800" t="s">
        <v>540</v>
      </c>
      <c r="F33" s="808"/>
      <c r="G33" s="808"/>
      <c r="H33" s="808"/>
      <c r="I33" s="204"/>
      <c r="J33" s="204"/>
      <c r="K33" s="205"/>
      <c r="L33" s="798"/>
      <c r="M33" s="798" t="s">
        <v>470</v>
      </c>
      <c r="N33" s="798" t="s">
        <v>470</v>
      </c>
      <c r="O33" s="204"/>
      <c r="P33" s="204"/>
      <c r="Q33" s="204"/>
      <c r="R33" s="204"/>
      <c r="S33" s="798"/>
      <c r="T33" s="798"/>
      <c r="U33" s="808"/>
      <c r="V33" s="104"/>
      <c r="W33" s="104"/>
      <c r="X33" s="112" t="str">
        <f t="shared" si="2"/>
        <v>2</v>
      </c>
      <c r="Y33" s="106">
        <v>50</v>
      </c>
      <c r="Z33" s="184"/>
      <c r="AA33" s="184"/>
      <c r="AB33" s="107">
        <f t="shared" si="3"/>
        <v>100</v>
      </c>
      <c r="AC33" s="108"/>
      <c r="AD33" s="797"/>
      <c r="AE33" s="113"/>
      <c r="AF33" s="110" t="s">
        <v>125</v>
      </c>
      <c r="AG33" s="807" t="s">
        <v>194</v>
      </c>
      <c r="AI33" s="111"/>
      <c r="AJ33" s="111"/>
    </row>
    <row r="34" spans="1:36" ht="15">
      <c r="A34" s="772">
        <v>45787</v>
      </c>
      <c r="B34" s="180"/>
      <c r="C34" s="178">
        <v>24</v>
      </c>
      <c r="D34" s="103" t="str">
        <f>VLOOKUP(C34,'MASTER Name List'!$B$3:$M$186,2,FALSE)</f>
        <v>陈淑心</v>
      </c>
      <c r="E34" s="800" t="s">
        <v>543</v>
      </c>
      <c r="F34" s="808"/>
      <c r="G34" s="808"/>
      <c r="H34" s="808"/>
      <c r="I34" s="204"/>
      <c r="J34" s="204"/>
      <c r="K34" s="205"/>
      <c r="L34" s="798" t="s">
        <v>470</v>
      </c>
      <c r="M34" s="798" t="s">
        <v>470</v>
      </c>
      <c r="N34" s="798" t="s">
        <v>470</v>
      </c>
      <c r="O34" s="204"/>
      <c r="P34" s="204"/>
      <c r="Q34" s="204"/>
      <c r="R34" s="204"/>
      <c r="S34" s="798"/>
      <c r="T34" s="798"/>
      <c r="U34" s="808"/>
      <c r="V34" s="104"/>
      <c r="W34" s="104"/>
      <c r="X34" s="112" t="str">
        <f t="shared" si="2"/>
        <v>3</v>
      </c>
      <c r="Y34" s="106">
        <v>50</v>
      </c>
      <c r="Z34" s="184"/>
      <c r="AA34" s="184"/>
      <c r="AB34" s="107">
        <f t="shared" si="3"/>
        <v>150</v>
      </c>
      <c r="AC34" s="108"/>
      <c r="AD34" s="797"/>
      <c r="AE34" s="113"/>
      <c r="AF34" s="215" t="s">
        <v>125</v>
      </c>
      <c r="AG34" s="807"/>
      <c r="AI34" s="111"/>
      <c r="AJ34" s="111"/>
    </row>
    <row r="35" spans="1:36" ht="15">
      <c r="A35" s="772">
        <v>45788</v>
      </c>
      <c r="B35" s="180"/>
      <c r="C35" s="178">
        <v>155</v>
      </c>
      <c r="D35" s="103" t="str">
        <f>VLOOKUP(C35,'MASTER Name List'!$B$3:$M$186,2,FALSE)</f>
        <v>李宝珠</v>
      </c>
      <c r="E35" s="800" t="s">
        <v>540</v>
      </c>
      <c r="F35" s="104"/>
      <c r="G35" s="104"/>
      <c r="H35" s="104"/>
      <c r="I35" s="204"/>
      <c r="J35" s="204"/>
      <c r="K35" s="205"/>
      <c r="L35" s="204"/>
      <c r="M35" s="798" t="s">
        <v>470</v>
      </c>
      <c r="N35" s="798" t="s">
        <v>470</v>
      </c>
      <c r="O35" s="798"/>
      <c r="P35" s="204"/>
      <c r="Q35" s="204"/>
      <c r="R35" s="204"/>
      <c r="S35" s="204"/>
      <c r="T35" s="204"/>
      <c r="U35" s="104"/>
      <c r="V35" s="104"/>
      <c r="W35" s="104"/>
      <c r="X35" s="112" t="str">
        <f t="shared" si="2"/>
        <v>2</v>
      </c>
      <c r="Y35" s="106">
        <v>50</v>
      </c>
      <c r="Z35" s="184"/>
      <c r="AA35" s="184"/>
      <c r="AB35" s="107">
        <f t="shared" si="3"/>
        <v>100</v>
      </c>
      <c r="AC35" s="108"/>
      <c r="AD35" s="797"/>
      <c r="AE35" s="113"/>
      <c r="AF35" s="113" t="s">
        <v>125</v>
      </c>
      <c r="AG35" s="807" t="s">
        <v>546</v>
      </c>
      <c r="AI35" s="111"/>
      <c r="AJ35" s="111"/>
    </row>
    <row r="36" spans="1:36" ht="15">
      <c r="A36" s="772">
        <v>45789</v>
      </c>
      <c r="B36" s="180"/>
      <c r="C36" s="178">
        <v>175</v>
      </c>
      <c r="D36" s="103" t="str">
        <f>VLOOKUP(C36,'MASTER Name List'!$B$3:$M$186,2,FALSE)</f>
        <v>洪鼎惟</v>
      </c>
      <c r="E36" s="800">
        <v>45778</v>
      </c>
      <c r="F36" s="104"/>
      <c r="G36" s="104"/>
      <c r="H36" s="104"/>
      <c r="I36" s="798"/>
      <c r="J36" s="798"/>
      <c r="K36" s="798"/>
      <c r="L36" s="798"/>
      <c r="M36" s="798" t="s">
        <v>470</v>
      </c>
      <c r="N36" s="798"/>
      <c r="O36" s="204"/>
      <c r="P36" s="204"/>
      <c r="Q36" s="204"/>
      <c r="R36" s="204"/>
      <c r="S36" s="204"/>
      <c r="T36" s="204"/>
      <c r="U36" s="104"/>
      <c r="V36" s="104"/>
      <c r="W36" s="104"/>
      <c r="X36" s="112" t="str">
        <f t="shared" si="2"/>
        <v>1</v>
      </c>
      <c r="Y36" s="106">
        <v>50</v>
      </c>
      <c r="Z36" s="184"/>
      <c r="AA36" s="184"/>
      <c r="AB36" s="107">
        <f t="shared" si="3"/>
        <v>50</v>
      </c>
      <c r="AC36" s="108"/>
      <c r="AD36" s="797"/>
      <c r="AE36" s="113"/>
      <c r="AF36" s="110" t="s">
        <v>125</v>
      </c>
      <c r="AG36" s="27" t="s">
        <v>148</v>
      </c>
      <c r="AI36" s="111"/>
      <c r="AJ36" s="111"/>
    </row>
    <row r="37" spans="1:36" ht="15">
      <c r="A37" s="772">
        <v>45791</v>
      </c>
      <c r="B37" s="180"/>
      <c r="C37" s="178">
        <v>40</v>
      </c>
      <c r="D37" s="103" t="str">
        <f>VLOOKUP(C37,'MASTER Name List'!$B$3:$M$186,2,FALSE)</f>
        <v>何梅歆</v>
      </c>
      <c r="E37" s="173">
        <v>46023</v>
      </c>
      <c r="F37" s="104"/>
      <c r="G37" s="104"/>
      <c r="H37" s="104"/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808" t="s">
        <v>470</v>
      </c>
      <c r="V37" s="104"/>
      <c r="W37" s="104"/>
      <c r="X37" s="112" t="str">
        <f t="shared" si="2"/>
        <v>1</v>
      </c>
      <c r="Y37" s="106">
        <v>50</v>
      </c>
      <c r="Z37" s="184"/>
      <c r="AA37" s="184"/>
      <c r="AB37" s="107">
        <f t="shared" si="3"/>
        <v>50</v>
      </c>
      <c r="AC37" s="108"/>
      <c r="AD37" s="797"/>
      <c r="AE37" s="113"/>
      <c r="AF37" s="110"/>
      <c r="AG37" s="809" t="s">
        <v>333</v>
      </c>
      <c r="AI37" s="111"/>
      <c r="AJ37" s="111"/>
    </row>
    <row r="38" spans="1:36" ht="15">
      <c r="A38" s="772"/>
      <c r="B38" s="180"/>
      <c r="C38" s="178"/>
      <c r="D38" s="103" t="e">
        <f>VLOOKUP(C38,'MASTER Name List'!$B$3:$M$186,2,FALSE)</f>
        <v>#N/A</v>
      </c>
      <c r="E38" s="173"/>
      <c r="F38" s="104"/>
      <c r="G38" s="104"/>
      <c r="H38" s="104"/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104"/>
      <c r="V38" s="104"/>
      <c r="W38" s="104"/>
      <c r="X38" s="112" t="str">
        <f t="shared" si="2"/>
        <v>0</v>
      </c>
      <c r="Y38" s="106">
        <v>50</v>
      </c>
      <c r="Z38" s="184"/>
      <c r="AA38" s="184"/>
      <c r="AB38" s="107">
        <f t="shared" si="3"/>
        <v>0</v>
      </c>
      <c r="AC38" s="108"/>
      <c r="AD38" s="797"/>
      <c r="AE38" s="113"/>
      <c r="AF38" s="110"/>
      <c r="AG38" s="191"/>
      <c r="AI38" s="111"/>
      <c r="AJ38" s="111"/>
    </row>
    <row r="39" spans="1:36" ht="15">
      <c r="A39" s="772"/>
      <c r="B39" s="180"/>
      <c r="C39" s="178"/>
      <c r="D39" s="103" t="e">
        <f>VLOOKUP(C39,'MASTER Name List'!$B$3:$M$186,2,FALSE)</f>
        <v>#N/A</v>
      </c>
      <c r="E39" s="173"/>
      <c r="F39" s="104"/>
      <c r="G39" s="104"/>
      <c r="H39" s="104"/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104"/>
      <c r="V39" s="104"/>
      <c r="W39" s="104"/>
      <c r="X39" s="112" t="str">
        <f t="shared" si="2"/>
        <v>0</v>
      </c>
      <c r="Y39" s="106">
        <v>50</v>
      </c>
      <c r="Z39" s="184"/>
      <c r="AA39" s="184"/>
      <c r="AB39" s="107">
        <f t="shared" si="3"/>
        <v>0</v>
      </c>
      <c r="AC39" s="108"/>
      <c r="AD39" s="797"/>
      <c r="AE39" s="113"/>
      <c r="AF39" s="110"/>
      <c r="AG39" s="191"/>
      <c r="AI39" s="111"/>
      <c r="AJ39" s="111"/>
    </row>
    <row r="40" spans="1:36" ht="15">
      <c r="A40" s="772"/>
      <c r="B40" s="180"/>
      <c r="C40" s="178"/>
      <c r="D40" s="103" t="e">
        <f>VLOOKUP(C40,'MASTER Name List'!$B$3:$M$186,2,FALSE)</f>
        <v>#N/A</v>
      </c>
      <c r="E40" s="173"/>
      <c r="F40" s="104"/>
      <c r="G40" s="104"/>
      <c r="H40" s="1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104"/>
      <c r="V40" s="104"/>
      <c r="W40" s="104"/>
      <c r="X40" s="112" t="str">
        <f t="shared" si="2"/>
        <v>0</v>
      </c>
      <c r="Y40" s="106">
        <v>50</v>
      </c>
      <c r="Z40" s="184"/>
      <c r="AA40" s="184"/>
      <c r="AB40" s="107">
        <f t="shared" si="3"/>
        <v>0</v>
      </c>
      <c r="AC40" s="108"/>
      <c r="AD40" s="797"/>
      <c r="AE40" s="113"/>
      <c r="AF40" s="110"/>
      <c r="AG40" s="191"/>
      <c r="AI40" s="111"/>
      <c r="AJ40" s="111"/>
    </row>
    <row r="41" spans="1:36" ht="15">
      <c r="A41" s="772"/>
      <c r="B41" s="180"/>
      <c r="C41" s="178"/>
      <c r="D41" s="103" t="e">
        <f>VLOOKUP(C41,'MASTER Name List'!$B$3:$M$186,2,FALSE)</f>
        <v>#N/A</v>
      </c>
      <c r="E41" s="173"/>
      <c r="F41" s="104"/>
      <c r="G41" s="104"/>
      <c r="H41" s="1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104"/>
      <c r="V41" s="104"/>
      <c r="W41" s="104"/>
      <c r="X41" s="112" t="str">
        <f t="shared" si="2"/>
        <v>0</v>
      </c>
      <c r="Y41" s="106">
        <v>50</v>
      </c>
      <c r="Z41" s="184"/>
      <c r="AA41" s="184"/>
      <c r="AB41" s="107">
        <f t="shared" si="3"/>
        <v>0</v>
      </c>
      <c r="AC41" s="108"/>
      <c r="AD41" s="797"/>
      <c r="AE41" s="113"/>
      <c r="AF41" s="110"/>
      <c r="AG41" s="191"/>
      <c r="AI41" s="111"/>
      <c r="AJ41" s="111"/>
    </row>
    <row r="42" spans="1:36" ht="15">
      <c r="A42" s="772"/>
      <c r="B42" s="180"/>
      <c r="C42" s="178"/>
      <c r="D42" s="103" t="e">
        <f>VLOOKUP(C42,'MASTER Name List'!$B$3:$M$186,2,FALSE)</f>
        <v>#N/A</v>
      </c>
      <c r="E42" s="173"/>
      <c r="F42" s="104"/>
      <c r="G42" s="104"/>
      <c r="H42" s="1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104"/>
      <c r="V42" s="104"/>
      <c r="W42" s="104"/>
      <c r="X42" s="112" t="str">
        <f t="shared" si="2"/>
        <v>0</v>
      </c>
      <c r="Y42" s="106">
        <v>50</v>
      </c>
      <c r="Z42" s="184"/>
      <c r="AA42" s="184"/>
      <c r="AB42" s="107">
        <f t="shared" si="3"/>
        <v>0</v>
      </c>
      <c r="AC42" s="108"/>
      <c r="AD42" s="797"/>
      <c r="AE42" s="113"/>
      <c r="AF42" s="110"/>
      <c r="AG42" s="191"/>
      <c r="AI42" s="111"/>
      <c r="AJ42" s="111"/>
    </row>
    <row r="43" spans="1:36" ht="15">
      <c r="A43" s="772"/>
      <c r="B43" s="180"/>
      <c r="C43" s="178"/>
      <c r="D43" s="103" t="e">
        <f>VLOOKUP(C43,'MASTER Name List'!$B$3:$M$186,2,FALSE)</f>
        <v>#N/A</v>
      </c>
      <c r="E43" s="173"/>
      <c r="F43" s="104"/>
      <c r="G43" s="104"/>
      <c r="H43" s="1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104"/>
      <c r="V43" s="104"/>
      <c r="W43" s="104"/>
      <c r="X43" s="112" t="str">
        <f t="shared" si="2"/>
        <v>0</v>
      </c>
      <c r="Y43" s="106">
        <v>50</v>
      </c>
      <c r="Z43" s="184"/>
      <c r="AA43" s="184"/>
      <c r="AB43" s="107">
        <f t="shared" si="3"/>
        <v>0</v>
      </c>
      <c r="AC43" s="108"/>
      <c r="AD43" s="797"/>
      <c r="AE43" s="113"/>
      <c r="AF43" s="110"/>
      <c r="AG43" s="191"/>
      <c r="AI43" s="111"/>
      <c r="AJ43" s="111"/>
    </row>
    <row r="44" spans="1:36" ht="15">
      <c r="A44" s="772"/>
      <c r="B44" s="178"/>
      <c r="C44" s="178"/>
      <c r="D44" s="103"/>
      <c r="E44" s="175"/>
      <c r="F44" s="117"/>
      <c r="G44" s="117"/>
      <c r="H44" s="117"/>
      <c r="I44" s="207"/>
      <c r="J44" s="207"/>
      <c r="K44" s="207"/>
      <c r="L44" s="207"/>
      <c r="M44" s="207"/>
      <c r="N44" s="207"/>
      <c r="O44" s="207"/>
      <c r="P44" s="207"/>
      <c r="Q44" s="207"/>
      <c r="R44" s="207"/>
      <c r="S44" s="207"/>
      <c r="T44" s="207"/>
      <c r="U44" s="117"/>
      <c r="V44" s="117"/>
      <c r="W44" s="117"/>
      <c r="X44" s="117"/>
      <c r="Y44" s="118"/>
      <c r="Z44" s="184"/>
      <c r="AA44" s="184"/>
      <c r="AB44" s="107">
        <f t="shared" si="3"/>
        <v>0</v>
      </c>
      <c r="AC44" s="108"/>
      <c r="AD44" s="797"/>
      <c r="AE44" s="113"/>
      <c r="AF44" s="120"/>
      <c r="AG44" s="191"/>
      <c r="AI44" s="111"/>
      <c r="AJ44" s="111"/>
    </row>
    <row r="45" spans="1:36" ht="15">
      <c r="A45" s="772"/>
      <c r="B45" s="181"/>
      <c r="C45" s="182"/>
      <c r="D45" s="121"/>
      <c r="E45" s="176"/>
      <c r="F45" s="122"/>
      <c r="G45" s="122"/>
      <c r="H45" s="122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122"/>
      <c r="V45" s="122"/>
      <c r="W45" s="122"/>
      <c r="X45" s="122"/>
      <c r="Y45" s="123"/>
      <c r="Z45" s="124"/>
      <c r="AA45" s="124"/>
      <c r="AB45" s="124"/>
      <c r="AC45" s="125"/>
      <c r="AD45" s="126"/>
      <c r="AE45" s="126"/>
      <c r="AF45" s="126"/>
    </row>
    <row r="46" spans="1:36" ht="15">
      <c r="A46" s="772"/>
      <c r="B46" s="127"/>
      <c r="C46" s="127"/>
      <c r="Z46" s="128"/>
      <c r="AA46" s="128"/>
      <c r="AB46" s="128"/>
      <c r="AC46" s="129"/>
    </row>
    <row r="47" spans="1:36" ht="15.6" thickBot="1">
      <c r="A47" s="772"/>
      <c r="B47" s="127"/>
      <c r="C47" s="127"/>
      <c r="Z47" s="130">
        <f>SUM(Z8:Z46)</f>
        <v>2300</v>
      </c>
      <c r="AA47" s="130">
        <f>SUM(AA8:AA46)</f>
        <v>0</v>
      </c>
      <c r="AB47" s="130">
        <f>SUM(AB8:AB46)</f>
        <v>1150</v>
      </c>
      <c r="AC47" s="131"/>
      <c r="AD47" s="132">
        <f>SUM(AD8:AD46)</f>
        <v>2300</v>
      </c>
    </row>
    <row r="48" spans="1:36" ht="15" thickTop="1">
      <c r="Z48" s="133"/>
      <c r="AA48" s="133"/>
      <c r="AB48" s="133"/>
      <c r="AC48" s="129"/>
    </row>
    <row r="49" spans="4:33" s="84" customFormat="1">
      <c r="D49" s="470"/>
      <c r="E49" s="81"/>
      <c r="Y49" s="85"/>
      <c r="Z49" s="134"/>
      <c r="AA49" s="134"/>
      <c r="AB49" s="134"/>
      <c r="AG49" s="186"/>
    </row>
  </sheetData>
  <mergeCells count="1">
    <mergeCell ref="Z6:AB6"/>
  </mergeCells>
  <phoneticPr fontId="3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9280-7A9B-4687-8456-1CF397D1623C}">
  <sheetPr>
    <tabColor rgb="FF00B0F0"/>
  </sheetPr>
  <dimension ref="A4:U49"/>
  <sheetViews>
    <sheetView zoomScale="90" zoomScaleNormal="90" workbookViewId="0">
      <pane ySplit="8" topLeftCell="A18" activePane="bottomLeft" state="frozen"/>
      <selection activeCell="E38" sqref="E38"/>
      <selection pane="bottomLeft" activeCell="H9" sqref="H9"/>
    </sheetView>
  </sheetViews>
  <sheetFormatPr defaultColWidth="9.33203125" defaultRowHeight="14.4"/>
  <cols>
    <col min="1" max="1" width="15.33203125" style="343" customWidth="1"/>
    <col min="2" max="2" width="14.6640625" style="343" customWidth="1"/>
    <col min="3" max="3" width="10.33203125" style="343" customWidth="1"/>
    <col min="4" max="4" width="16" style="343" customWidth="1"/>
    <col min="5" max="5" width="12.109375" style="343" bestFit="1" customWidth="1"/>
    <col min="6" max="6" width="10.5546875" style="343" bestFit="1" customWidth="1"/>
    <col min="7" max="7" width="13" style="344" customWidth="1"/>
    <col min="8" max="8" width="6.33203125" style="343" bestFit="1" customWidth="1"/>
    <col min="9" max="9" width="8.88671875" style="345" bestFit="1" customWidth="1"/>
    <col min="10" max="10" width="12" style="343" bestFit="1" customWidth="1"/>
    <col min="11" max="11" width="8.5546875" style="343" customWidth="1"/>
    <col min="12" max="12" width="13.33203125" style="343" bestFit="1" customWidth="1"/>
    <col min="13" max="13" width="5.6640625" style="343" bestFit="1" customWidth="1"/>
    <col min="14" max="14" width="17.6640625" style="343" customWidth="1"/>
    <col min="15" max="15" width="14.33203125" style="343" customWidth="1"/>
    <col min="16" max="16" width="12.5546875" style="343" customWidth="1"/>
    <col min="17" max="17" width="9.33203125" style="346"/>
    <col min="18" max="19" width="9.33203125" style="347"/>
    <col min="20" max="20" width="10.6640625" style="347" customWidth="1"/>
    <col min="21" max="21" width="9.33203125" style="347" bestFit="1" customWidth="1"/>
    <col min="22" max="16384" width="9.33203125" style="347"/>
  </cols>
  <sheetData>
    <row r="4" spans="1:21" ht="15">
      <c r="N4" s="58" t="s">
        <v>513</v>
      </c>
    </row>
    <row r="5" spans="1:21" ht="16.2">
      <c r="A5" s="4" t="s">
        <v>0</v>
      </c>
      <c r="B5" s="347"/>
      <c r="C5" s="347"/>
      <c r="D5" s="347"/>
      <c r="E5" s="895" t="s">
        <v>2</v>
      </c>
      <c r="F5" s="895"/>
      <c r="G5" s="895"/>
      <c r="H5" s="347"/>
      <c r="I5" s="348"/>
      <c r="J5" s="347"/>
      <c r="K5" s="347"/>
      <c r="L5" s="347"/>
      <c r="M5" s="347"/>
      <c r="N5" s="345"/>
      <c r="O5" s="349"/>
      <c r="P5" s="347"/>
    </row>
    <row r="6" spans="1:21" ht="30" customHeight="1">
      <c r="E6" s="895" t="s">
        <v>4</v>
      </c>
      <c r="F6" s="895"/>
      <c r="G6" s="895"/>
      <c r="J6" s="905" t="s">
        <v>5</v>
      </c>
      <c r="K6" s="906"/>
      <c r="L6" s="907"/>
      <c r="M6" s="350"/>
      <c r="N6" s="351" t="s">
        <v>444</v>
      </c>
      <c r="O6" s="352"/>
    </row>
    <row r="7" spans="1:21" ht="51" customHeight="1">
      <c r="A7" s="353" t="s">
        <v>445</v>
      </c>
      <c r="B7" s="353" t="s">
        <v>446</v>
      </c>
      <c r="C7" s="353" t="s">
        <v>447</v>
      </c>
      <c r="D7" s="353" t="s">
        <v>448</v>
      </c>
      <c r="E7" s="5" t="s">
        <v>10</v>
      </c>
      <c r="F7" s="6" t="s">
        <v>11</v>
      </c>
      <c r="G7" s="6" t="s">
        <v>12</v>
      </c>
      <c r="H7" s="354" t="s">
        <v>449</v>
      </c>
      <c r="I7" s="355" t="s">
        <v>450</v>
      </c>
      <c r="J7" s="356" t="s">
        <v>463</v>
      </c>
      <c r="K7" s="356" t="s">
        <v>464</v>
      </c>
      <c r="L7" s="357" t="s">
        <v>15</v>
      </c>
      <c r="M7" s="353" t="s">
        <v>465</v>
      </c>
      <c r="N7" s="353" t="s">
        <v>466</v>
      </c>
      <c r="O7" s="353" t="s">
        <v>467</v>
      </c>
      <c r="P7" s="353" t="s">
        <v>18</v>
      </c>
      <c r="Q7" s="358"/>
      <c r="T7" s="343"/>
    </row>
    <row r="8" spans="1:21" s="584" customFormat="1" ht="15.6">
      <c r="A8" s="574"/>
      <c r="B8" s="575"/>
      <c r="C8" s="576"/>
      <c r="D8" s="577"/>
      <c r="E8" s="577"/>
      <c r="F8" s="577"/>
      <c r="G8" s="578"/>
      <c r="H8" s="579"/>
      <c r="I8" s="580"/>
      <c r="J8" s="494" t="s">
        <v>468</v>
      </c>
      <c r="K8" s="494" t="s">
        <v>468</v>
      </c>
      <c r="L8" s="494"/>
      <c r="M8" s="495"/>
      <c r="N8" s="581"/>
      <c r="O8" s="581"/>
      <c r="P8" s="582"/>
      <c r="Q8" s="583"/>
    </row>
    <row r="9" spans="1:21" s="584" customFormat="1" ht="15.6">
      <c r="A9" s="574">
        <v>45782</v>
      </c>
      <c r="B9" s="500" t="s">
        <v>516</v>
      </c>
      <c r="C9" s="576">
        <v>168</v>
      </c>
      <c r="D9" s="585" t="str">
        <f>VLOOKUP(C9,'MASTER Name List'!$B$3:$M$186,2,FALSE)</f>
        <v>王秋蓉</v>
      </c>
      <c r="E9" s="586">
        <v>45778</v>
      </c>
      <c r="F9" s="586">
        <v>45809</v>
      </c>
      <c r="G9" s="587" t="s">
        <v>517</v>
      </c>
      <c r="H9" s="524">
        <f>DATEDIF(E9,F9,"M")+1</f>
        <v>2</v>
      </c>
      <c r="I9" s="588">
        <v>50</v>
      </c>
      <c r="J9" s="511">
        <f>$H9*$I9</f>
        <v>100</v>
      </c>
      <c r="K9" s="512"/>
      <c r="L9" s="512"/>
      <c r="M9" s="513">
        <v>1</v>
      </c>
      <c r="N9" s="589"/>
      <c r="O9" s="590"/>
      <c r="P9" s="591">
        <v>123</v>
      </c>
      <c r="Q9" s="592"/>
      <c r="S9" s="593"/>
      <c r="T9" s="593"/>
    </row>
    <row r="10" spans="1:21" s="584" customFormat="1" ht="15.6">
      <c r="A10" s="574">
        <v>45787</v>
      </c>
      <c r="B10" s="500" t="s">
        <v>518</v>
      </c>
      <c r="C10" s="576">
        <v>186</v>
      </c>
      <c r="D10" s="585" t="str">
        <f>VLOOKUP(C10,'MASTER Name List'!$B$3:$M$186,2,FALSE)</f>
        <v>刘玉云</v>
      </c>
      <c r="E10" s="586">
        <v>45778</v>
      </c>
      <c r="F10" s="586">
        <v>45809</v>
      </c>
      <c r="G10" s="587" t="s">
        <v>517</v>
      </c>
      <c r="H10" s="524">
        <f>DATEDIF(E10,F10,"M")+1</f>
        <v>2</v>
      </c>
      <c r="I10" s="588">
        <v>50</v>
      </c>
      <c r="J10" s="511">
        <f t="shared" ref="J10:J22" si="0">$H10*$I10</f>
        <v>100</v>
      </c>
      <c r="K10" s="512"/>
      <c r="L10" s="512"/>
      <c r="M10" s="513">
        <v>1</v>
      </c>
      <c r="N10" s="594"/>
      <c r="O10" s="595"/>
      <c r="P10" s="595"/>
      <c r="Q10" s="596"/>
      <c r="S10" s="593"/>
      <c r="T10" s="593"/>
      <c r="U10" s="526">
        <v>45536</v>
      </c>
    </row>
    <row r="11" spans="1:21" s="584" customFormat="1" ht="15.6">
      <c r="A11" s="574">
        <v>45789</v>
      </c>
      <c r="B11" s="500" t="s">
        <v>519</v>
      </c>
      <c r="C11" s="576">
        <v>73</v>
      </c>
      <c r="D11" s="585" t="str">
        <f>VLOOKUP(C11,'MASTER Name List'!$B$3:$M$186,2,FALSE)</f>
        <v>李宝明</v>
      </c>
      <c r="E11" s="586">
        <v>45778</v>
      </c>
      <c r="F11" s="586">
        <v>45870</v>
      </c>
      <c r="G11" s="587" t="s">
        <v>520</v>
      </c>
      <c r="H11" s="524">
        <f>DATEDIF(E11,F11,"M")+1</f>
        <v>4</v>
      </c>
      <c r="I11" s="588">
        <v>50</v>
      </c>
      <c r="J11" s="511">
        <f t="shared" si="0"/>
        <v>200</v>
      </c>
      <c r="K11" s="512"/>
      <c r="L11" s="512"/>
      <c r="M11" s="513">
        <v>1</v>
      </c>
      <c r="N11" s="597"/>
      <c r="O11" s="598"/>
      <c r="P11" s="598"/>
      <c r="Q11" s="596"/>
      <c r="S11" s="593"/>
      <c r="T11" s="593"/>
      <c r="U11" s="526">
        <v>45566</v>
      </c>
    </row>
    <row r="12" spans="1:21" s="584" customFormat="1" ht="15.6">
      <c r="A12" s="574">
        <v>45789</v>
      </c>
      <c r="B12" s="500" t="s">
        <v>521</v>
      </c>
      <c r="C12" s="576">
        <v>208</v>
      </c>
      <c r="D12" s="585" t="str">
        <f>VLOOKUP(C12,'MASTER Name List'!$B$3:$M$186,2,FALSE)</f>
        <v>萧志倫</v>
      </c>
      <c r="E12" s="586">
        <v>45748</v>
      </c>
      <c r="F12" s="586">
        <v>45778</v>
      </c>
      <c r="G12" s="587" t="s">
        <v>485</v>
      </c>
      <c r="H12" s="524">
        <f>DATEDIF(E12,F12,"M")+1</f>
        <v>2</v>
      </c>
      <c r="I12" s="588">
        <v>50</v>
      </c>
      <c r="J12" s="511">
        <f t="shared" si="0"/>
        <v>100</v>
      </c>
      <c r="K12" s="512"/>
      <c r="L12" s="512"/>
      <c r="M12" s="513">
        <v>1</v>
      </c>
      <c r="N12" s="599"/>
      <c r="O12" s="598"/>
      <c r="P12" s="598"/>
      <c r="Q12" s="596"/>
      <c r="S12" s="593"/>
      <c r="T12" s="593"/>
      <c r="U12" s="526">
        <v>45597</v>
      </c>
    </row>
    <row r="13" spans="1:21" s="584" customFormat="1" ht="15.6">
      <c r="A13" s="574">
        <v>45789</v>
      </c>
      <c r="B13" s="500" t="s">
        <v>522</v>
      </c>
      <c r="C13" s="576">
        <v>178</v>
      </c>
      <c r="D13" s="585" t="str">
        <f>VLOOKUP(C13,'MASTER Name List'!$B$3:$M$186,2,FALSE)</f>
        <v>颜美葒</v>
      </c>
      <c r="E13" s="586">
        <v>45839</v>
      </c>
      <c r="F13" s="586">
        <v>45839</v>
      </c>
      <c r="G13" s="587" t="s">
        <v>523</v>
      </c>
      <c r="H13" s="524">
        <f t="shared" ref="H13:H23" si="1">DATEDIF(E13,F13,"M")+1</f>
        <v>1</v>
      </c>
      <c r="I13" s="588">
        <v>50</v>
      </c>
      <c r="J13" s="511">
        <f>$H13*$I13</f>
        <v>50</v>
      </c>
      <c r="K13" s="512"/>
      <c r="L13" s="512"/>
      <c r="M13" s="513">
        <v>1</v>
      </c>
      <c r="N13" s="599"/>
      <c r="O13" s="598"/>
      <c r="P13" s="598"/>
      <c r="Q13" s="596"/>
      <c r="S13" s="593"/>
      <c r="T13" s="593"/>
      <c r="U13" s="526">
        <v>45627</v>
      </c>
    </row>
    <row r="14" spans="1:21" s="584" customFormat="1" ht="15.6">
      <c r="A14" s="600">
        <v>45789</v>
      </c>
      <c r="B14" s="500" t="s">
        <v>524</v>
      </c>
      <c r="C14" s="576">
        <v>97</v>
      </c>
      <c r="D14" s="585" t="str">
        <f>VLOOKUP(C14,'MASTER Name List'!$B$3:$M$186,2,FALSE)</f>
        <v>陈素秋</v>
      </c>
      <c r="E14" s="586">
        <v>45778</v>
      </c>
      <c r="F14" s="586">
        <v>45870</v>
      </c>
      <c r="G14" s="587" t="s">
        <v>520</v>
      </c>
      <c r="H14" s="524">
        <f t="shared" si="1"/>
        <v>4</v>
      </c>
      <c r="I14" s="588">
        <v>50</v>
      </c>
      <c r="J14" s="511">
        <f t="shared" si="0"/>
        <v>200</v>
      </c>
      <c r="K14" s="512"/>
      <c r="L14" s="512"/>
      <c r="M14" s="513">
        <v>1</v>
      </c>
      <c r="N14" s="599">
        <f>SUMIF(M:M,"1",J:J)</f>
        <v>750</v>
      </c>
      <c r="O14" s="598" t="s">
        <v>486</v>
      </c>
      <c r="P14" s="598">
        <v>123</v>
      </c>
      <c r="Q14" s="596"/>
      <c r="S14" s="593"/>
      <c r="T14" s="593"/>
      <c r="U14" s="601">
        <v>45658</v>
      </c>
    </row>
    <row r="15" spans="1:21" s="584" customFormat="1" ht="15.6">
      <c r="A15" s="574">
        <v>45792</v>
      </c>
      <c r="B15" s="500" t="s">
        <v>525</v>
      </c>
      <c r="C15" s="576">
        <v>229</v>
      </c>
      <c r="D15" s="585" t="str">
        <f>VLOOKUP(C15,'MASTER Name List'!$B$3:$M$186,2,FALSE)</f>
        <v>陈丽珍</v>
      </c>
      <c r="E15" s="586">
        <v>45778</v>
      </c>
      <c r="F15" s="586">
        <v>45870</v>
      </c>
      <c r="G15" s="587" t="s">
        <v>520</v>
      </c>
      <c r="H15" s="524">
        <f t="shared" si="1"/>
        <v>4</v>
      </c>
      <c r="I15" s="588">
        <v>50</v>
      </c>
      <c r="J15" s="511">
        <f t="shared" si="0"/>
        <v>200</v>
      </c>
      <c r="K15" s="512"/>
      <c r="L15" s="512"/>
      <c r="M15" s="513">
        <v>2</v>
      </c>
      <c r="N15" s="602"/>
      <c r="O15" s="602"/>
      <c r="P15" s="603">
        <v>124</v>
      </c>
      <c r="Q15" s="596"/>
      <c r="S15" s="593"/>
      <c r="T15" s="593"/>
      <c r="U15" s="601">
        <v>45689</v>
      </c>
    </row>
    <row r="16" spans="1:21" s="584" customFormat="1" ht="15.6">
      <c r="A16" s="574">
        <v>45793</v>
      </c>
      <c r="B16" s="500" t="s">
        <v>526</v>
      </c>
      <c r="C16" s="576">
        <v>183</v>
      </c>
      <c r="D16" s="585" t="str">
        <f>VLOOKUP(C16,'MASTER Name List'!$B$3:$M$186,2,FALSE)</f>
        <v>郭丽诗</v>
      </c>
      <c r="E16" s="586">
        <v>45809</v>
      </c>
      <c r="F16" s="586">
        <v>45992</v>
      </c>
      <c r="G16" s="587" t="s">
        <v>527</v>
      </c>
      <c r="H16" s="524">
        <f t="shared" si="1"/>
        <v>7</v>
      </c>
      <c r="I16" s="588">
        <v>50</v>
      </c>
      <c r="J16" s="511">
        <f t="shared" si="0"/>
        <v>350</v>
      </c>
      <c r="K16" s="512"/>
      <c r="L16" s="512"/>
      <c r="M16" s="513">
        <v>2</v>
      </c>
      <c r="N16" s="599">
        <f>SUMIF(M:M,"2",J:J)</f>
        <v>550</v>
      </c>
      <c r="O16" s="598" t="s">
        <v>486</v>
      </c>
      <c r="P16" s="598"/>
      <c r="Q16" s="596"/>
      <c r="S16" s="593"/>
      <c r="T16" s="593"/>
      <c r="U16" s="601">
        <v>45717</v>
      </c>
    </row>
    <row r="17" spans="1:21" s="584" customFormat="1" ht="15.6">
      <c r="A17" s="574">
        <v>45799</v>
      </c>
      <c r="B17" s="500" t="s">
        <v>528</v>
      </c>
      <c r="C17" s="576">
        <v>181</v>
      </c>
      <c r="D17" s="585" t="str">
        <f>VLOOKUP(C17,'MASTER Name List'!$B$3:$M$186,2,FALSE)</f>
        <v>陈金清</v>
      </c>
      <c r="E17" s="586">
        <v>45778</v>
      </c>
      <c r="F17" s="586">
        <v>45809</v>
      </c>
      <c r="G17" s="587" t="s">
        <v>517</v>
      </c>
      <c r="H17" s="524">
        <f t="shared" si="1"/>
        <v>2</v>
      </c>
      <c r="I17" s="588">
        <v>50</v>
      </c>
      <c r="J17" s="511">
        <f t="shared" si="0"/>
        <v>100</v>
      </c>
      <c r="K17" s="512"/>
      <c r="L17" s="512"/>
      <c r="M17" s="513">
        <v>3</v>
      </c>
      <c r="N17" s="599"/>
      <c r="O17" s="598"/>
      <c r="P17" s="598"/>
      <c r="Q17" s="596"/>
      <c r="S17" s="593"/>
      <c r="T17" s="593"/>
      <c r="U17" s="601">
        <v>45748</v>
      </c>
    </row>
    <row r="18" spans="1:21" s="584" customFormat="1" ht="15.6">
      <c r="A18" s="574">
        <v>45801</v>
      </c>
      <c r="B18" s="500" t="s">
        <v>529</v>
      </c>
      <c r="C18" s="576">
        <v>184</v>
      </c>
      <c r="D18" s="585" t="str">
        <f>VLOOKUP(C18,'MASTER Name List'!$B$3:$M$186,2,FALSE)</f>
        <v>赖奕坊</v>
      </c>
      <c r="E18" s="586">
        <v>45748</v>
      </c>
      <c r="F18" s="586">
        <v>45839</v>
      </c>
      <c r="G18" s="587" t="s">
        <v>530</v>
      </c>
      <c r="H18" s="524">
        <f t="shared" si="1"/>
        <v>4</v>
      </c>
      <c r="I18" s="588">
        <v>50</v>
      </c>
      <c r="J18" s="511">
        <f t="shared" si="0"/>
        <v>200</v>
      </c>
      <c r="K18" s="512"/>
      <c r="L18" s="512"/>
      <c r="M18" s="513">
        <v>3</v>
      </c>
      <c r="N18" s="604"/>
      <c r="O18" s="605"/>
      <c r="P18" s="605"/>
      <c r="Q18" s="596"/>
      <c r="S18" s="593"/>
      <c r="T18" s="593"/>
      <c r="U18" s="601">
        <v>45778</v>
      </c>
    </row>
    <row r="19" spans="1:21" s="584" customFormat="1" ht="15.6">
      <c r="A19" s="574">
        <v>45804</v>
      </c>
      <c r="B19" s="500" t="s">
        <v>531</v>
      </c>
      <c r="C19" s="576">
        <v>74</v>
      </c>
      <c r="D19" s="585" t="str">
        <f>VLOOKUP(C19,'MASTER Name List'!$B$3:$M$186,2,FALSE)</f>
        <v>黄得财</v>
      </c>
      <c r="E19" s="586">
        <v>45809</v>
      </c>
      <c r="F19" s="586">
        <v>45992</v>
      </c>
      <c r="G19" s="606" t="s">
        <v>527</v>
      </c>
      <c r="H19" s="524">
        <f t="shared" si="1"/>
        <v>7</v>
      </c>
      <c r="I19" s="588">
        <v>50</v>
      </c>
      <c r="J19" s="511">
        <f>$H19*$I19</f>
        <v>350</v>
      </c>
      <c r="K19" s="512"/>
      <c r="L19" s="512"/>
      <c r="M19" s="513">
        <v>3</v>
      </c>
      <c r="N19" s="589"/>
      <c r="O19" s="607"/>
      <c r="P19" s="591"/>
      <c r="Q19" s="596"/>
      <c r="S19" s="593"/>
      <c r="T19" s="593"/>
      <c r="U19" s="601">
        <v>45809</v>
      </c>
    </row>
    <row r="20" spans="1:21" s="584" customFormat="1" ht="15.6">
      <c r="A20" s="574">
        <v>45804</v>
      </c>
      <c r="B20" s="500" t="s">
        <v>532</v>
      </c>
      <c r="C20" s="576">
        <v>103</v>
      </c>
      <c r="D20" s="585" t="str">
        <f>VLOOKUP(C20,'MASTER Name List'!$B$3:$M$186,2,FALSE)</f>
        <v>林采諺</v>
      </c>
      <c r="E20" s="586">
        <v>45778</v>
      </c>
      <c r="F20" s="586">
        <v>45870</v>
      </c>
      <c r="G20" s="606" t="s">
        <v>520</v>
      </c>
      <c r="H20" s="524">
        <f t="shared" si="1"/>
        <v>4</v>
      </c>
      <c r="I20" s="588">
        <v>50</v>
      </c>
      <c r="J20" s="511">
        <f t="shared" si="0"/>
        <v>200</v>
      </c>
      <c r="K20" s="512"/>
      <c r="L20" s="512"/>
      <c r="M20" s="513">
        <v>3</v>
      </c>
      <c r="N20" s="589"/>
      <c r="O20" s="607"/>
      <c r="P20" s="591"/>
      <c r="Q20" s="596"/>
      <c r="S20" s="593"/>
      <c r="T20" s="593"/>
      <c r="U20" s="601">
        <v>45839</v>
      </c>
    </row>
    <row r="21" spans="1:21" s="584" customFormat="1" ht="15.6">
      <c r="A21" s="574">
        <v>45804</v>
      </c>
      <c r="B21" s="500" t="s">
        <v>533</v>
      </c>
      <c r="C21" s="576">
        <v>131</v>
      </c>
      <c r="D21" s="585" t="str">
        <f>VLOOKUP(C21,'MASTER Name List'!$B$3:$M$186,2,FALSE)</f>
        <v>王康芬</v>
      </c>
      <c r="E21" s="586">
        <v>45809</v>
      </c>
      <c r="F21" s="586">
        <v>45870</v>
      </c>
      <c r="G21" s="606" t="s">
        <v>534</v>
      </c>
      <c r="H21" s="524">
        <f t="shared" si="1"/>
        <v>3</v>
      </c>
      <c r="I21" s="588">
        <v>50</v>
      </c>
      <c r="J21" s="511">
        <f t="shared" si="0"/>
        <v>150</v>
      </c>
      <c r="K21" s="512"/>
      <c r="L21" s="512"/>
      <c r="M21" s="513">
        <v>3</v>
      </c>
      <c r="N21" s="599">
        <f>SUMIF(M:M,"3",J:J)</f>
        <v>1000</v>
      </c>
      <c r="O21" s="607" t="s">
        <v>535</v>
      </c>
      <c r="P21" s="591"/>
      <c r="Q21" s="596"/>
      <c r="S21" s="593"/>
      <c r="T21" s="593"/>
      <c r="U21" s="601">
        <v>45870</v>
      </c>
    </row>
    <row r="22" spans="1:21" s="584" customFormat="1" ht="15.6">
      <c r="A22" s="574"/>
      <c r="B22" s="500"/>
      <c r="C22" s="576"/>
      <c r="D22" s="585" t="e">
        <f>VLOOKUP(C22,'MASTER Name List'!$B$3:$M$186,2,FALSE)</f>
        <v>#N/A</v>
      </c>
      <c r="E22" s="586"/>
      <c r="F22" s="586"/>
      <c r="G22" s="606"/>
      <c r="H22" s="524">
        <f t="shared" si="1"/>
        <v>1</v>
      </c>
      <c r="I22" s="588">
        <v>50</v>
      </c>
      <c r="J22" s="511">
        <f t="shared" si="0"/>
        <v>50</v>
      </c>
      <c r="K22" s="512"/>
      <c r="L22" s="512"/>
      <c r="M22" s="513"/>
      <c r="N22" s="589"/>
      <c r="O22" s="607"/>
      <c r="P22" s="608"/>
      <c r="Q22" s="596"/>
      <c r="S22" s="593"/>
      <c r="T22" s="593"/>
      <c r="U22" s="601">
        <v>45901</v>
      </c>
    </row>
    <row r="23" spans="1:21" s="584" customFormat="1" ht="15.6">
      <c r="A23" s="574"/>
      <c r="B23" s="500"/>
      <c r="C23" s="576"/>
      <c r="D23" s="585" t="e">
        <f>VLOOKUP(C23,'MASTER Name List'!$B$3:$M$186,2,FALSE)</f>
        <v>#N/A</v>
      </c>
      <c r="E23" s="586"/>
      <c r="F23" s="586"/>
      <c r="G23" s="609"/>
      <c r="H23" s="524">
        <f t="shared" si="1"/>
        <v>1</v>
      </c>
      <c r="I23" s="588">
        <v>50</v>
      </c>
      <c r="J23" s="511">
        <f>$H23*$I23</f>
        <v>50</v>
      </c>
      <c r="K23" s="512"/>
      <c r="L23" s="512"/>
      <c r="M23" s="513"/>
      <c r="N23" s="589"/>
      <c r="O23" s="607"/>
      <c r="P23" s="591"/>
      <c r="Q23" s="596"/>
      <c r="S23" s="593"/>
      <c r="T23" s="593"/>
      <c r="U23" s="601">
        <v>45931</v>
      </c>
    </row>
    <row r="24" spans="1:21" s="584" customFormat="1" ht="15.6">
      <c r="A24" s="574"/>
      <c r="B24" s="500"/>
      <c r="C24" s="576"/>
      <c r="D24" s="585"/>
      <c r="E24" s="586"/>
      <c r="F24" s="586"/>
      <c r="G24" s="609"/>
      <c r="H24" s="610"/>
      <c r="I24" s="611"/>
      <c r="J24" s="511"/>
      <c r="K24" s="511"/>
      <c r="L24" s="511"/>
      <c r="M24" s="513"/>
      <c r="N24" s="589"/>
      <c r="O24" s="607"/>
      <c r="P24" s="591"/>
      <c r="Q24" s="596"/>
      <c r="S24" s="593"/>
      <c r="T24" s="593"/>
      <c r="U24" s="601">
        <v>45962</v>
      </c>
    </row>
    <row r="25" spans="1:21" s="584" customFormat="1" ht="15.6">
      <c r="A25" s="574"/>
      <c r="B25" s="612" t="s">
        <v>487</v>
      </c>
      <c r="C25" s="576"/>
      <c r="D25" s="585"/>
      <c r="E25" s="586"/>
      <c r="F25" s="586"/>
      <c r="G25" s="587"/>
      <c r="H25" s="613"/>
      <c r="I25" s="588"/>
      <c r="J25" s="511"/>
      <c r="K25" s="511"/>
      <c r="L25" s="511"/>
      <c r="M25" s="513"/>
      <c r="N25" s="589"/>
      <c r="O25" s="607"/>
      <c r="P25" s="591"/>
      <c r="Q25" s="596"/>
      <c r="S25" s="593"/>
      <c r="T25" s="593"/>
      <c r="U25" s="601">
        <v>45992</v>
      </c>
    </row>
    <row r="26" spans="1:21" s="584" customFormat="1" ht="15.6">
      <c r="A26" s="499">
        <v>45778</v>
      </c>
      <c r="B26" s="810" t="s">
        <v>547</v>
      </c>
      <c r="C26" s="488">
        <v>145</v>
      </c>
      <c r="D26" s="585" t="str">
        <f>VLOOKUP(C26,'MASTER Name List'!$B$3:$M$186,2,FALSE)</f>
        <v>许俊豪</v>
      </c>
      <c r="E26" s="586">
        <v>45778</v>
      </c>
      <c r="F26" s="586">
        <v>45870</v>
      </c>
      <c r="G26" s="523" t="s">
        <v>536</v>
      </c>
      <c r="H26" s="524">
        <f>DATEDIF(E26,F26,"M")+1</f>
        <v>4</v>
      </c>
      <c r="I26" s="588">
        <v>50</v>
      </c>
      <c r="J26" s="512"/>
      <c r="K26" s="512"/>
      <c r="L26" s="511">
        <f>$H26*$I26</f>
        <v>200</v>
      </c>
      <c r="M26" s="513"/>
      <c r="N26" s="589"/>
      <c r="O26" s="607" t="s">
        <v>491</v>
      </c>
      <c r="P26" s="516" t="s">
        <v>125</v>
      </c>
      <c r="Q26" s="549" t="s">
        <v>431</v>
      </c>
      <c r="R26" s="484"/>
      <c r="S26" s="518"/>
      <c r="T26" s="518" t="s">
        <v>537</v>
      </c>
      <c r="U26" s="601">
        <v>46023</v>
      </c>
    </row>
    <row r="27" spans="1:21" s="584" customFormat="1" ht="15.6">
      <c r="A27" s="499">
        <v>45779</v>
      </c>
      <c r="B27" s="810" t="s">
        <v>548</v>
      </c>
      <c r="C27" s="488">
        <v>116</v>
      </c>
      <c r="D27" s="585" t="str">
        <f>VLOOKUP(C27,'MASTER Name List'!$B$3:$M$186,2,FALSE)</f>
        <v>李薇薇</v>
      </c>
      <c r="E27" s="586">
        <v>45778</v>
      </c>
      <c r="F27" s="586">
        <v>45778</v>
      </c>
      <c r="G27" s="523">
        <v>45778</v>
      </c>
      <c r="H27" s="524">
        <f t="shared" ref="H27:H43" si="2">DATEDIF(E27,F27,"M")+1</f>
        <v>1</v>
      </c>
      <c r="I27" s="588">
        <v>50</v>
      </c>
      <c r="J27" s="512"/>
      <c r="K27" s="512"/>
      <c r="L27" s="511">
        <f t="shared" ref="L27:L44" si="3">$H27*$I27</f>
        <v>50</v>
      </c>
      <c r="M27" s="513"/>
      <c r="N27" s="589"/>
      <c r="O27" s="607"/>
      <c r="P27" s="516" t="s">
        <v>125</v>
      </c>
      <c r="Q27" s="549" t="s">
        <v>133</v>
      </c>
      <c r="R27" s="484"/>
      <c r="S27" s="518"/>
      <c r="T27" s="518" t="s">
        <v>538</v>
      </c>
      <c r="U27" s="601">
        <v>46054</v>
      </c>
    </row>
    <row r="28" spans="1:21" s="584" customFormat="1" ht="15.6">
      <c r="A28" s="715">
        <v>45754</v>
      </c>
      <c r="B28" s="716" t="s">
        <v>549</v>
      </c>
      <c r="C28" s="717">
        <v>102</v>
      </c>
      <c r="D28" s="713" t="str">
        <f>VLOOKUP(C28,'MASTER Name List'!$B$3:$M$186,2,FALSE)</f>
        <v>戴川凤</v>
      </c>
      <c r="E28" s="714">
        <v>45717</v>
      </c>
      <c r="F28" s="714">
        <v>45748</v>
      </c>
      <c r="G28" s="718" t="s">
        <v>507</v>
      </c>
      <c r="H28" s="524">
        <f t="shared" si="2"/>
        <v>2</v>
      </c>
      <c r="I28" s="588">
        <v>50</v>
      </c>
      <c r="J28" s="512"/>
      <c r="K28" s="512"/>
      <c r="L28" s="511">
        <f t="shared" si="3"/>
        <v>100</v>
      </c>
      <c r="M28" s="513"/>
      <c r="N28" s="589"/>
      <c r="O28" s="607"/>
      <c r="P28" s="614" t="s">
        <v>325</v>
      </c>
      <c r="Q28" s="549"/>
      <c r="R28" s="484"/>
      <c r="S28" s="518"/>
      <c r="T28" s="518" t="s">
        <v>539</v>
      </c>
      <c r="U28" s="601">
        <v>46082</v>
      </c>
    </row>
    <row r="29" spans="1:21" s="584" customFormat="1" ht="15.6">
      <c r="A29" s="499">
        <v>45779</v>
      </c>
      <c r="B29" s="810" t="s">
        <v>550</v>
      </c>
      <c r="C29" s="488">
        <v>117</v>
      </c>
      <c r="D29" s="585" t="str">
        <f>VLOOKUP(C29,'MASTER Name List'!$B$3:$M$186,2,FALSE)</f>
        <v>张志文</v>
      </c>
      <c r="E29" s="586">
        <v>45778</v>
      </c>
      <c r="F29" s="586">
        <v>45778</v>
      </c>
      <c r="G29" s="523">
        <v>46143</v>
      </c>
      <c r="H29" s="524">
        <f t="shared" si="2"/>
        <v>1</v>
      </c>
      <c r="I29" s="588">
        <v>50</v>
      </c>
      <c r="J29" s="512"/>
      <c r="K29" s="512"/>
      <c r="L29" s="511">
        <f t="shared" si="3"/>
        <v>50</v>
      </c>
      <c r="M29" s="513"/>
      <c r="N29" s="589"/>
      <c r="O29" s="615"/>
      <c r="P29" s="614" t="s">
        <v>125</v>
      </c>
      <c r="Q29" s="549" t="s">
        <v>492</v>
      </c>
      <c r="R29" s="484"/>
      <c r="S29" s="518"/>
      <c r="T29" s="518"/>
      <c r="U29" s="601">
        <v>46113</v>
      </c>
    </row>
    <row r="30" spans="1:21" s="584" customFormat="1" ht="15.6">
      <c r="A30" s="499">
        <v>45779</v>
      </c>
      <c r="B30" s="810" t="s">
        <v>551</v>
      </c>
      <c r="C30" s="488">
        <v>123</v>
      </c>
      <c r="D30" s="585" t="str">
        <f>VLOOKUP(C30,'MASTER Name List'!$B$3:$M$186,2,FALSE)</f>
        <v>黄丽娟</v>
      </c>
      <c r="E30" s="586">
        <v>45778</v>
      </c>
      <c r="F30" s="586">
        <v>45809</v>
      </c>
      <c r="G30" s="523" t="s">
        <v>540</v>
      </c>
      <c r="H30" s="524">
        <f t="shared" si="2"/>
        <v>2</v>
      </c>
      <c r="I30" s="588">
        <v>50</v>
      </c>
      <c r="J30" s="512"/>
      <c r="K30" s="512"/>
      <c r="L30" s="511">
        <f t="shared" si="3"/>
        <v>100</v>
      </c>
      <c r="M30" s="513"/>
      <c r="N30" s="589"/>
      <c r="O30" s="607"/>
      <c r="P30" s="516" t="s">
        <v>125</v>
      </c>
      <c r="Q30" s="549" t="s">
        <v>197</v>
      </c>
      <c r="R30" s="484"/>
      <c r="S30" s="518" t="s">
        <v>541</v>
      </c>
      <c r="T30" s="518"/>
      <c r="U30" s="601">
        <v>46143</v>
      </c>
    </row>
    <row r="31" spans="1:21" s="584" customFormat="1" ht="15.6">
      <c r="A31" s="499">
        <v>45781</v>
      </c>
      <c r="B31" s="810" t="s">
        <v>552</v>
      </c>
      <c r="C31" s="488">
        <v>137</v>
      </c>
      <c r="D31" s="585" t="str">
        <f>VLOOKUP(C31,'MASTER Name List'!$B$3:$M$186,2,FALSE)</f>
        <v>赖美珍</v>
      </c>
      <c r="E31" s="586">
        <v>45778</v>
      </c>
      <c r="F31" s="586">
        <v>45778</v>
      </c>
      <c r="G31" s="523">
        <v>45778</v>
      </c>
      <c r="H31" s="524">
        <f t="shared" si="2"/>
        <v>1</v>
      </c>
      <c r="I31" s="588">
        <v>50</v>
      </c>
      <c r="J31" s="512"/>
      <c r="K31" s="512"/>
      <c r="L31" s="511">
        <f t="shared" si="3"/>
        <v>50</v>
      </c>
      <c r="M31" s="513"/>
      <c r="N31" s="589"/>
      <c r="O31" s="607"/>
      <c r="P31" s="516" t="s">
        <v>325</v>
      </c>
      <c r="Q31" s="549"/>
      <c r="R31" s="484"/>
      <c r="S31" s="518" t="s">
        <v>542</v>
      </c>
      <c r="T31" s="518"/>
      <c r="U31" s="601">
        <v>46174</v>
      </c>
    </row>
    <row r="32" spans="1:21" s="584" customFormat="1" ht="15.6">
      <c r="A32" s="499">
        <v>45781</v>
      </c>
      <c r="B32" s="810" t="s">
        <v>553</v>
      </c>
      <c r="C32" s="488">
        <v>68</v>
      </c>
      <c r="D32" s="585" t="str">
        <f>VLOOKUP(C32,'MASTER Name List'!$B$3:$M$186,2,FALSE)</f>
        <v>沈观胜</v>
      </c>
      <c r="E32" s="586">
        <v>45748</v>
      </c>
      <c r="F32" s="586">
        <v>45809</v>
      </c>
      <c r="G32" s="523" t="s">
        <v>543</v>
      </c>
      <c r="H32" s="524">
        <f t="shared" si="2"/>
        <v>3</v>
      </c>
      <c r="I32" s="588">
        <v>50</v>
      </c>
      <c r="J32" s="512"/>
      <c r="K32" s="512"/>
      <c r="L32" s="511">
        <f t="shared" si="3"/>
        <v>150</v>
      </c>
      <c r="M32" s="513"/>
      <c r="N32" s="589"/>
      <c r="O32" s="607"/>
      <c r="P32" s="516" t="s">
        <v>125</v>
      </c>
      <c r="Q32" s="549" t="s">
        <v>211</v>
      </c>
      <c r="R32" s="484"/>
      <c r="S32" s="518" t="s">
        <v>544</v>
      </c>
      <c r="T32" s="518"/>
      <c r="U32" s="601">
        <v>46204</v>
      </c>
    </row>
    <row r="33" spans="1:21" s="584" customFormat="1" ht="15.6">
      <c r="A33" s="499">
        <v>45782</v>
      </c>
      <c r="B33" s="810" t="s">
        <v>554</v>
      </c>
      <c r="C33" s="488">
        <v>104</v>
      </c>
      <c r="D33" s="585" t="str">
        <f>VLOOKUP(C33,'MASTER Name List'!$B$3:$M$186,2,FALSE)</f>
        <v>连美丽</v>
      </c>
      <c r="E33" s="586">
        <v>45778</v>
      </c>
      <c r="F33" s="586">
        <v>45809</v>
      </c>
      <c r="G33" s="523" t="s">
        <v>540</v>
      </c>
      <c r="H33" s="524">
        <f t="shared" si="2"/>
        <v>2</v>
      </c>
      <c r="I33" s="588">
        <v>50</v>
      </c>
      <c r="J33" s="512"/>
      <c r="K33" s="512"/>
      <c r="L33" s="511">
        <f t="shared" si="3"/>
        <v>100</v>
      </c>
      <c r="M33" s="513"/>
      <c r="N33" s="589"/>
      <c r="O33" s="607"/>
      <c r="P33" s="516" t="s">
        <v>125</v>
      </c>
      <c r="Q33" s="549" t="s">
        <v>142</v>
      </c>
      <c r="R33" s="484"/>
      <c r="S33" s="518" t="s">
        <v>545</v>
      </c>
      <c r="T33" s="518"/>
      <c r="U33" s="601">
        <v>46235</v>
      </c>
    </row>
    <row r="34" spans="1:21" s="584" customFormat="1" ht="15.6">
      <c r="A34" s="499">
        <v>45786</v>
      </c>
      <c r="B34" s="810" t="s">
        <v>555</v>
      </c>
      <c r="C34" s="488">
        <v>172</v>
      </c>
      <c r="D34" s="585" t="str">
        <f>VLOOKUP(C34,'MASTER Name List'!$B$3:$M$186,2,FALSE)</f>
        <v>蔡均镅</v>
      </c>
      <c r="E34" s="586">
        <v>45778</v>
      </c>
      <c r="F34" s="586">
        <v>45809</v>
      </c>
      <c r="G34" s="523" t="s">
        <v>540</v>
      </c>
      <c r="H34" s="524">
        <f t="shared" si="2"/>
        <v>2</v>
      </c>
      <c r="I34" s="588">
        <v>50</v>
      </c>
      <c r="J34" s="512"/>
      <c r="K34" s="512"/>
      <c r="L34" s="511">
        <f t="shared" si="3"/>
        <v>100</v>
      </c>
      <c r="M34" s="513"/>
      <c r="N34" s="589"/>
      <c r="O34" s="607"/>
      <c r="P34" s="516" t="s">
        <v>125</v>
      </c>
      <c r="Q34" s="549" t="s">
        <v>194</v>
      </c>
      <c r="R34" s="484"/>
      <c r="S34" s="518" t="s">
        <v>556</v>
      </c>
      <c r="T34" s="518"/>
      <c r="U34" s="601">
        <v>46266</v>
      </c>
    </row>
    <row r="35" spans="1:21" s="584" customFormat="1" ht="15.6">
      <c r="A35" s="499">
        <v>45787</v>
      </c>
      <c r="B35" s="810" t="s">
        <v>557</v>
      </c>
      <c r="C35" s="488">
        <v>24</v>
      </c>
      <c r="D35" s="585" t="str">
        <f>VLOOKUP(C35,'MASTER Name List'!$B$3:$M$186,2,FALSE)</f>
        <v>陈淑心</v>
      </c>
      <c r="E35" s="586">
        <v>45748</v>
      </c>
      <c r="F35" s="586">
        <v>45809</v>
      </c>
      <c r="G35" s="523" t="s">
        <v>543</v>
      </c>
      <c r="H35" s="524">
        <f t="shared" si="2"/>
        <v>3</v>
      </c>
      <c r="I35" s="588">
        <v>50</v>
      </c>
      <c r="J35" s="512"/>
      <c r="K35" s="512"/>
      <c r="L35" s="511">
        <f t="shared" si="3"/>
        <v>150</v>
      </c>
      <c r="M35" s="513"/>
      <c r="N35" s="589"/>
      <c r="O35" s="607"/>
      <c r="P35" s="614" t="s">
        <v>125</v>
      </c>
      <c r="Q35" s="549" t="s">
        <v>349</v>
      </c>
      <c r="R35" s="484"/>
      <c r="S35" s="518" t="s">
        <v>558</v>
      </c>
      <c r="T35" s="518"/>
      <c r="U35" s="601">
        <v>46296</v>
      </c>
    </row>
    <row r="36" spans="1:21" s="584" customFormat="1" ht="15.6">
      <c r="A36" s="499">
        <v>45788</v>
      </c>
      <c r="B36" s="810" t="s">
        <v>559</v>
      </c>
      <c r="C36" s="488">
        <v>155</v>
      </c>
      <c r="D36" s="585" t="str">
        <f>VLOOKUP(C36,'MASTER Name List'!$B$3:$M$186,2,FALSE)</f>
        <v>李宝珠</v>
      </c>
      <c r="E36" s="586">
        <v>45778</v>
      </c>
      <c r="F36" s="586">
        <v>45809</v>
      </c>
      <c r="G36" s="523" t="s">
        <v>540</v>
      </c>
      <c r="H36" s="524">
        <f t="shared" si="2"/>
        <v>2</v>
      </c>
      <c r="I36" s="588">
        <v>50</v>
      </c>
      <c r="J36" s="512"/>
      <c r="K36" s="512"/>
      <c r="L36" s="511">
        <f t="shared" si="3"/>
        <v>100</v>
      </c>
      <c r="M36" s="513"/>
      <c r="N36" s="589"/>
      <c r="O36" s="607"/>
      <c r="P36" s="614" t="s">
        <v>125</v>
      </c>
      <c r="Q36" s="549" t="s">
        <v>546</v>
      </c>
      <c r="R36" s="484"/>
      <c r="S36" s="518" t="s">
        <v>560</v>
      </c>
      <c r="T36" s="518"/>
      <c r="U36" s="601">
        <v>46327</v>
      </c>
    </row>
    <row r="37" spans="1:21" s="584" customFormat="1" ht="15.6">
      <c r="A37" s="499">
        <v>45789</v>
      </c>
      <c r="B37" s="810" t="s">
        <v>561</v>
      </c>
      <c r="C37" s="488">
        <v>175</v>
      </c>
      <c r="D37" s="585" t="str">
        <f>VLOOKUP(C37,'MASTER Name List'!$B$3:$M$186,2,FALSE)</f>
        <v>洪鼎惟</v>
      </c>
      <c r="E37" s="586">
        <v>45778</v>
      </c>
      <c r="F37" s="586">
        <v>45778</v>
      </c>
      <c r="G37" s="523">
        <v>45778</v>
      </c>
      <c r="H37" s="524">
        <f t="shared" si="2"/>
        <v>1</v>
      </c>
      <c r="I37" s="588">
        <v>50</v>
      </c>
      <c r="J37" s="512"/>
      <c r="K37" s="512"/>
      <c r="L37" s="511">
        <f t="shared" si="3"/>
        <v>50</v>
      </c>
      <c r="M37" s="513"/>
      <c r="N37" s="589"/>
      <c r="O37" s="607"/>
      <c r="P37" s="520" t="s">
        <v>125</v>
      </c>
      <c r="Q37" s="616" t="s">
        <v>148</v>
      </c>
      <c r="R37" s="484"/>
      <c r="S37" s="518" t="s">
        <v>562</v>
      </c>
      <c r="T37" s="593"/>
      <c r="U37" s="601">
        <v>46357</v>
      </c>
    </row>
    <row r="38" spans="1:21" s="584" customFormat="1" ht="15.6">
      <c r="A38" s="499">
        <v>45791</v>
      </c>
      <c r="B38" s="810" t="s">
        <v>563</v>
      </c>
      <c r="C38" s="488">
        <v>40</v>
      </c>
      <c r="D38" s="585" t="str">
        <f>VLOOKUP(C38,'MASTER Name List'!$B$3:$M$186,2,FALSE)</f>
        <v>何梅歆</v>
      </c>
      <c r="E38" s="586">
        <v>46023</v>
      </c>
      <c r="F38" s="586">
        <v>46023</v>
      </c>
      <c r="G38" s="523">
        <v>46023</v>
      </c>
      <c r="H38" s="524">
        <f t="shared" si="2"/>
        <v>1</v>
      </c>
      <c r="I38" s="588">
        <v>50</v>
      </c>
      <c r="J38" s="512"/>
      <c r="K38" s="512"/>
      <c r="L38" s="511">
        <f t="shared" si="3"/>
        <v>50</v>
      </c>
      <c r="M38" s="513"/>
      <c r="N38" s="589"/>
      <c r="O38" s="607"/>
      <c r="P38" s="516" t="s">
        <v>125</v>
      </c>
      <c r="Q38" s="522" t="s">
        <v>333</v>
      </c>
      <c r="R38" s="484"/>
      <c r="S38" s="518" t="s">
        <v>565</v>
      </c>
      <c r="T38" s="593"/>
      <c r="U38" s="601">
        <v>46388</v>
      </c>
    </row>
    <row r="39" spans="1:21" s="584" customFormat="1" ht="15.6">
      <c r="A39" s="574">
        <v>45796</v>
      </c>
      <c r="B39" s="810" t="s">
        <v>566</v>
      </c>
      <c r="C39" s="576">
        <v>70</v>
      </c>
      <c r="D39" s="585" t="str">
        <f>VLOOKUP(C39,'MASTER Name List'!$B$3:$M$186,2,FALSE)</f>
        <v>李䘤帷</v>
      </c>
      <c r="E39" s="586">
        <v>45689</v>
      </c>
      <c r="F39" s="586">
        <v>45839</v>
      </c>
      <c r="G39" s="587" t="s">
        <v>564</v>
      </c>
      <c r="H39" s="524">
        <f t="shared" si="2"/>
        <v>6</v>
      </c>
      <c r="I39" s="588">
        <v>50</v>
      </c>
      <c r="J39" s="512"/>
      <c r="K39" s="512"/>
      <c r="L39" s="511">
        <f t="shared" si="3"/>
        <v>300</v>
      </c>
      <c r="M39" s="513"/>
      <c r="N39" s="589"/>
      <c r="O39" s="607"/>
      <c r="P39" s="591" t="s">
        <v>125</v>
      </c>
      <c r="Q39" s="549" t="s">
        <v>567</v>
      </c>
      <c r="S39" s="593" t="s">
        <v>568</v>
      </c>
      <c r="T39" s="593"/>
    </row>
    <row r="40" spans="1:21" s="584" customFormat="1" ht="15.6">
      <c r="A40" s="574"/>
      <c r="B40" s="487"/>
      <c r="C40" s="576"/>
      <c r="D40" s="585" t="e">
        <f>VLOOKUP(C40,'MASTER Name List'!$B$3:$M$186,2,FALSE)</f>
        <v>#N/A</v>
      </c>
      <c r="E40" s="586"/>
      <c r="F40" s="586"/>
      <c r="G40" s="587"/>
      <c r="H40" s="524">
        <f t="shared" si="2"/>
        <v>1</v>
      </c>
      <c r="I40" s="588">
        <v>50</v>
      </c>
      <c r="J40" s="512"/>
      <c r="K40" s="512"/>
      <c r="L40" s="511">
        <f t="shared" si="3"/>
        <v>50</v>
      </c>
      <c r="M40" s="513"/>
      <c r="N40" s="589"/>
      <c r="O40" s="607"/>
      <c r="P40" s="591"/>
      <c r="Q40" s="617"/>
      <c r="S40" s="593"/>
      <c r="T40" s="593"/>
    </row>
    <row r="41" spans="1:21" s="584" customFormat="1" ht="15.6">
      <c r="A41" s="574"/>
      <c r="B41" s="487"/>
      <c r="C41" s="576"/>
      <c r="D41" s="585" t="e">
        <f>VLOOKUP(C41,'MASTER Name List'!$B$3:$M$186,2,FALSE)</f>
        <v>#N/A</v>
      </c>
      <c r="E41" s="586"/>
      <c r="F41" s="586"/>
      <c r="G41" s="587"/>
      <c r="H41" s="524">
        <f t="shared" si="2"/>
        <v>1</v>
      </c>
      <c r="I41" s="588">
        <v>50</v>
      </c>
      <c r="J41" s="512"/>
      <c r="K41" s="512"/>
      <c r="L41" s="511">
        <f t="shared" si="3"/>
        <v>50</v>
      </c>
      <c r="M41" s="513"/>
      <c r="N41" s="589"/>
      <c r="O41" s="607"/>
      <c r="P41" s="591"/>
      <c r="Q41" s="617"/>
      <c r="S41" s="593"/>
      <c r="T41" s="593"/>
    </row>
    <row r="42" spans="1:21" s="584" customFormat="1" ht="15.6">
      <c r="A42" s="574"/>
      <c r="B42" s="487"/>
      <c r="C42" s="576"/>
      <c r="D42" s="585" t="e">
        <f>VLOOKUP(C42,'MASTER Name List'!$B$3:$M$186,2,FALSE)</f>
        <v>#N/A</v>
      </c>
      <c r="E42" s="586"/>
      <c r="F42" s="586"/>
      <c r="G42" s="587"/>
      <c r="H42" s="524">
        <f t="shared" si="2"/>
        <v>1</v>
      </c>
      <c r="I42" s="588">
        <v>50</v>
      </c>
      <c r="J42" s="512"/>
      <c r="K42" s="512"/>
      <c r="L42" s="511">
        <f t="shared" si="3"/>
        <v>50</v>
      </c>
      <c r="M42" s="513"/>
      <c r="N42" s="589"/>
      <c r="O42" s="607"/>
      <c r="P42" s="591"/>
      <c r="Q42" s="617"/>
      <c r="S42" s="593"/>
      <c r="T42" s="593"/>
    </row>
    <row r="43" spans="1:21" s="584" customFormat="1" ht="15.6">
      <c r="A43" s="574"/>
      <c r="B43" s="487"/>
      <c r="C43" s="576"/>
      <c r="D43" s="585" t="e">
        <f>VLOOKUP(C43,'MASTER Name List'!$B$3:$M$186,2,FALSE)</f>
        <v>#N/A</v>
      </c>
      <c r="E43" s="586"/>
      <c r="F43" s="586"/>
      <c r="G43" s="587"/>
      <c r="H43" s="524">
        <f t="shared" si="2"/>
        <v>1</v>
      </c>
      <c r="I43" s="588">
        <v>50</v>
      </c>
      <c r="J43" s="512"/>
      <c r="K43" s="512"/>
      <c r="L43" s="511">
        <f t="shared" si="3"/>
        <v>50</v>
      </c>
      <c r="M43" s="513"/>
      <c r="N43" s="589"/>
      <c r="O43" s="607"/>
      <c r="P43" s="591"/>
      <c r="Q43" s="617"/>
      <c r="S43" s="593"/>
      <c r="T43" s="593"/>
    </row>
    <row r="44" spans="1:21" s="584" customFormat="1" ht="15.6">
      <c r="A44" s="574"/>
      <c r="B44" s="576"/>
      <c r="C44" s="576"/>
      <c r="D44" s="585"/>
      <c r="E44" s="586"/>
      <c r="F44" s="586"/>
      <c r="G44" s="609"/>
      <c r="H44" s="610"/>
      <c r="I44" s="611"/>
      <c r="J44" s="512"/>
      <c r="K44" s="512"/>
      <c r="L44" s="511">
        <f t="shared" si="3"/>
        <v>0</v>
      </c>
      <c r="M44" s="513"/>
      <c r="N44" s="589"/>
      <c r="O44" s="607"/>
      <c r="P44" s="618"/>
      <c r="Q44" s="617"/>
      <c r="S44" s="593"/>
      <c r="T44" s="593"/>
    </row>
    <row r="45" spans="1:21" s="584" customFormat="1" ht="15.6">
      <c r="A45" s="574"/>
      <c r="B45" s="619"/>
      <c r="C45" s="620"/>
      <c r="D45" s="621"/>
      <c r="E45" s="622"/>
      <c r="F45" s="622"/>
      <c r="G45" s="623"/>
      <c r="H45" s="624"/>
      <c r="I45" s="625"/>
      <c r="J45" s="561"/>
      <c r="K45" s="561"/>
      <c r="L45" s="561"/>
      <c r="M45" s="562"/>
      <c r="N45" s="626"/>
      <c r="O45" s="626"/>
      <c r="P45" s="626"/>
      <c r="Q45" s="627"/>
    </row>
    <row r="46" spans="1:21" s="584" customFormat="1" ht="15.6">
      <c r="A46" s="628"/>
      <c r="B46" s="629"/>
      <c r="C46" s="629"/>
      <c r="D46" s="628"/>
      <c r="E46" s="628"/>
      <c r="F46" s="628"/>
      <c r="G46" s="630"/>
      <c r="H46" s="628"/>
      <c r="I46" s="631"/>
      <c r="J46" s="567"/>
      <c r="K46" s="567"/>
      <c r="L46" s="567"/>
      <c r="M46" s="568"/>
      <c r="N46" s="628"/>
      <c r="O46" s="628"/>
      <c r="P46" s="628"/>
      <c r="Q46" s="627"/>
    </row>
    <row r="47" spans="1:21" s="584" customFormat="1" ht="16.2" thickBot="1">
      <c r="A47" s="628"/>
      <c r="B47" s="629"/>
      <c r="C47" s="629"/>
      <c r="D47" s="628"/>
      <c r="E47" s="628"/>
      <c r="F47" s="628"/>
      <c r="G47" s="630"/>
      <c r="H47" s="628"/>
      <c r="I47" s="631"/>
      <c r="J47" s="569">
        <f>SUM(J8:J46)</f>
        <v>2400</v>
      </c>
      <c r="K47" s="569">
        <f>SUM(K8:K46)</f>
        <v>0</v>
      </c>
      <c r="L47" s="569">
        <f>SUM(L8:L46)</f>
        <v>1750</v>
      </c>
      <c r="M47" s="570"/>
      <c r="N47" s="571">
        <f>SUM(N8:N46)</f>
        <v>2300</v>
      </c>
      <c r="O47" s="628"/>
      <c r="P47" s="628"/>
      <c r="Q47" s="627"/>
    </row>
    <row r="48" spans="1:21" s="584" customFormat="1" ht="16.2" thickTop="1">
      <c r="A48" s="628"/>
      <c r="B48" s="628"/>
      <c r="C48" s="628"/>
      <c r="D48" s="628"/>
      <c r="E48" s="628"/>
      <c r="F48" s="628"/>
      <c r="G48" s="630"/>
      <c r="H48" s="628"/>
      <c r="I48" s="631"/>
      <c r="J48" s="572"/>
      <c r="K48" s="572"/>
      <c r="L48" s="572"/>
      <c r="M48" s="568"/>
      <c r="N48" s="628"/>
      <c r="O48" s="628"/>
      <c r="P48" s="628"/>
      <c r="Q48" s="627"/>
    </row>
    <row r="49" spans="7:17" s="628" customFormat="1" ht="15.6">
      <c r="G49" s="630"/>
      <c r="I49" s="631"/>
      <c r="J49" s="632"/>
      <c r="K49" s="632"/>
      <c r="L49" s="632"/>
      <c r="Q49" s="627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45" xr:uid="{D3357240-30C8-4466-B9AB-61FC63511CC3}">
      <formula1>$U$10:$U$39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2159-9A43-4046-B2EF-900546F2F4C5}">
  <dimension ref="A4:AM55"/>
  <sheetViews>
    <sheetView zoomScale="120" zoomScaleNormal="120" workbookViewId="0">
      <pane xSplit="5" ySplit="7" topLeftCell="AE29" activePane="bottomRight" state="frozen"/>
      <selection pane="topRight" activeCell="F1" sqref="F1"/>
      <selection pane="bottomLeft" activeCell="A8" sqref="A8"/>
      <selection pane="bottomRight" activeCell="AJ38" sqref="AJ38"/>
    </sheetView>
  </sheetViews>
  <sheetFormatPr defaultColWidth="9.33203125" defaultRowHeight="14.4"/>
  <cols>
    <col min="1" max="1" width="12" style="84" customWidth="1"/>
    <col min="2" max="2" width="14.6640625" style="84" customWidth="1"/>
    <col min="3" max="3" width="10.33203125" style="84" customWidth="1"/>
    <col min="4" max="4" width="16" style="84" customWidth="1"/>
    <col min="5" max="5" width="13" style="81" customWidth="1"/>
    <col min="6" max="8" width="7" style="84" bestFit="1" customWidth="1"/>
    <col min="9" max="9" width="3.6640625" style="84" customWidth="1"/>
    <col min="10" max="10" width="3.5546875" style="84" bestFit="1" customWidth="1"/>
    <col min="11" max="11" width="4.44140625" style="84" bestFit="1" customWidth="1"/>
    <col min="12" max="12" width="3.6640625" style="84" bestFit="1" customWidth="1"/>
    <col min="13" max="13" width="4.44140625" style="84" bestFit="1" customWidth="1"/>
    <col min="14" max="14" width="3.6640625" style="84" bestFit="1" customWidth="1"/>
    <col min="15" max="15" width="3.44140625" style="84" bestFit="1" customWidth="1"/>
    <col min="16" max="16" width="3.44140625" style="84" customWidth="1"/>
    <col min="17" max="17" width="4.33203125" style="84" bestFit="1" customWidth="1"/>
    <col min="18" max="18" width="3.5546875" style="84" bestFit="1" customWidth="1"/>
    <col min="19" max="19" width="4" style="84" bestFit="1" customWidth="1"/>
    <col min="20" max="20" width="4" style="84" customWidth="1"/>
    <col min="21" max="23" width="7" style="84" bestFit="1" customWidth="1"/>
    <col min="24" max="26" width="7" style="84" customWidth="1"/>
    <col min="27" max="27" width="6.33203125" style="84" bestFit="1" customWidth="1"/>
    <col min="28" max="28" width="7" style="85" bestFit="1" customWidth="1"/>
    <col min="29" max="29" width="11.6640625" style="84" customWidth="1"/>
    <col min="30" max="31" width="8.5546875" style="84" customWidth="1"/>
    <col min="32" max="32" width="5.5546875" style="84" bestFit="1" customWidth="1"/>
    <col min="33" max="33" width="17.6640625" style="84" customWidth="1"/>
    <col min="34" max="34" width="14.33203125" style="84" customWidth="1"/>
    <col min="35" max="35" width="12.5546875" style="84" customWidth="1"/>
    <col min="36" max="36" width="9.33203125" style="186"/>
    <col min="37" max="38" width="9.33203125" style="80"/>
    <col min="39" max="39" width="10.6640625" style="80" customWidth="1"/>
    <col min="40" max="16384" width="9.33203125" style="80"/>
  </cols>
  <sheetData>
    <row r="4" spans="1:39" ht="15">
      <c r="AG4" s="58" t="s">
        <v>569</v>
      </c>
    </row>
    <row r="5" spans="1:39" ht="16.2">
      <c r="A5" s="4" t="s">
        <v>0</v>
      </c>
      <c r="B5" s="80"/>
      <c r="C5" s="80"/>
      <c r="D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2"/>
      <c r="AC5" s="80"/>
      <c r="AD5" s="80"/>
      <c r="AE5" s="80"/>
      <c r="AF5" s="80"/>
      <c r="AG5" s="26"/>
      <c r="AH5" s="83"/>
      <c r="AI5" s="80"/>
    </row>
    <row r="6" spans="1:39" ht="30" customHeight="1">
      <c r="F6" s="84">
        <v>10</v>
      </c>
      <c r="G6" s="84">
        <v>11</v>
      </c>
      <c r="H6" s="84">
        <v>12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201" t="s">
        <v>514</v>
      </c>
      <c r="V6" s="84">
        <v>2</v>
      </c>
      <c r="W6" s="84">
        <v>3</v>
      </c>
      <c r="AC6" s="902" t="s">
        <v>5</v>
      </c>
      <c r="AD6" s="903"/>
      <c r="AE6" s="904"/>
      <c r="AF6" s="86"/>
      <c r="AG6" s="185" t="s">
        <v>444</v>
      </c>
      <c r="AH6" s="87"/>
    </row>
    <row r="7" spans="1:39" ht="51" customHeight="1">
      <c r="A7" s="88" t="s">
        <v>445</v>
      </c>
      <c r="B7" s="88" t="s">
        <v>446</v>
      </c>
      <c r="C7" s="88" t="s">
        <v>447</v>
      </c>
      <c r="D7" s="88" t="s">
        <v>448</v>
      </c>
      <c r="E7" s="209" t="s">
        <v>515</v>
      </c>
      <c r="F7" s="199">
        <v>45566</v>
      </c>
      <c r="G7" s="199">
        <v>45597</v>
      </c>
      <c r="H7" s="199">
        <v>45627</v>
      </c>
      <c r="I7" s="202" t="s">
        <v>451</v>
      </c>
      <c r="J7" s="202" t="s">
        <v>452</v>
      </c>
      <c r="K7" s="202" t="s">
        <v>453</v>
      </c>
      <c r="L7" s="202" t="s">
        <v>454</v>
      </c>
      <c r="M7" s="202" t="s">
        <v>455</v>
      </c>
      <c r="N7" s="202" t="s">
        <v>456</v>
      </c>
      <c r="O7" s="202" t="s">
        <v>457</v>
      </c>
      <c r="P7" s="202" t="s">
        <v>458</v>
      </c>
      <c r="Q7" s="202" t="s">
        <v>459</v>
      </c>
      <c r="R7" s="202" t="s">
        <v>460</v>
      </c>
      <c r="S7" s="202" t="s">
        <v>461</v>
      </c>
      <c r="T7" s="202" t="s">
        <v>462</v>
      </c>
      <c r="U7" s="200">
        <v>46023</v>
      </c>
      <c r="V7" s="200">
        <v>46054</v>
      </c>
      <c r="W7" s="200">
        <v>46082</v>
      </c>
      <c r="X7" s="200">
        <v>46113</v>
      </c>
      <c r="Y7" s="200">
        <v>46143</v>
      </c>
      <c r="Z7" s="200">
        <v>46174</v>
      </c>
      <c r="AA7" s="89" t="s">
        <v>449</v>
      </c>
      <c r="AB7" s="90" t="s">
        <v>450</v>
      </c>
      <c r="AC7" s="91" t="s">
        <v>463</v>
      </c>
      <c r="AD7" s="91" t="s">
        <v>464</v>
      </c>
      <c r="AE7" s="183" t="s">
        <v>15</v>
      </c>
      <c r="AF7" s="88" t="s">
        <v>465</v>
      </c>
      <c r="AG7" s="88" t="s">
        <v>466</v>
      </c>
      <c r="AH7" s="88" t="s">
        <v>467</v>
      </c>
      <c r="AI7" s="88" t="s">
        <v>18</v>
      </c>
      <c r="AJ7" s="187"/>
      <c r="AM7" s="84"/>
    </row>
    <row r="8" spans="1:39" ht="15">
      <c r="A8" s="92"/>
      <c r="B8" s="93"/>
      <c r="C8" s="94"/>
      <c r="D8" s="95"/>
      <c r="E8" s="96"/>
      <c r="F8" s="97"/>
      <c r="G8" s="97"/>
      <c r="H8" s="97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97"/>
      <c r="V8" s="97"/>
      <c r="W8" s="97"/>
      <c r="X8" s="97"/>
      <c r="Y8" s="97"/>
      <c r="Z8" s="97"/>
      <c r="AA8" s="97"/>
      <c r="AB8" s="98"/>
      <c r="AC8" s="99" t="s">
        <v>468</v>
      </c>
      <c r="AD8" s="99" t="s">
        <v>468</v>
      </c>
      <c r="AE8" s="99"/>
      <c r="AF8" s="100"/>
      <c r="AG8" s="101"/>
      <c r="AH8" s="101"/>
      <c r="AI8" s="102"/>
      <c r="AJ8" s="188"/>
    </row>
    <row r="9" spans="1:39" ht="15">
      <c r="A9" s="772">
        <v>45810</v>
      </c>
      <c r="B9" s="177" t="s">
        <v>570</v>
      </c>
      <c r="C9" s="178">
        <v>178</v>
      </c>
      <c r="D9" s="103" t="str">
        <f>VLOOKUP(C9,'MASTER Name List'!$B$3:$M$186,2,FALSE)</f>
        <v>颜美葒</v>
      </c>
      <c r="E9" s="796" t="s">
        <v>571</v>
      </c>
      <c r="F9" s="104"/>
      <c r="G9" s="104"/>
      <c r="H9" s="104"/>
      <c r="I9" s="204"/>
      <c r="J9" s="204"/>
      <c r="K9" s="204"/>
      <c r="L9" s="205"/>
      <c r="M9" s="205"/>
      <c r="N9" s="205"/>
      <c r="O9" s="204"/>
      <c r="P9" s="798" t="s">
        <v>470</v>
      </c>
      <c r="Q9" s="798" t="s">
        <v>470</v>
      </c>
      <c r="R9" s="204"/>
      <c r="S9" s="204"/>
      <c r="T9" s="204"/>
      <c r="U9" s="104"/>
      <c r="V9" s="104"/>
      <c r="W9" s="104"/>
      <c r="X9" s="104"/>
      <c r="Y9" s="104"/>
      <c r="Z9" s="104"/>
      <c r="AA9" s="105" t="str">
        <f>COUNTIF($F9:$W9,"X") &amp; ""</f>
        <v>2</v>
      </c>
      <c r="AB9" s="106">
        <v>50</v>
      </c>
      <c r="AC9" s="107">
        <f>COUNTIF($F9:$Z9,"X")*$AB9</f>
        <v>100</v>
      </c>
      <c r="AD9" s="184"/>
      <c r="AE9" s="184"/>
      <c r="AF9" s="108">
        <v>1</v>
      </c>
      <c r="AG9" s="797"/>
      <c r="AH9" s="109"/>
      <c r="AI9" s="330" t="s">
        <v>572</v>
      </c>
      <c r="AJ9" s="189"/>
      <c r="AL9" s="111"/>
      <c r="AM9" s="111"/>
    </row>
    <row r="10" spans="1:39" ht="15">
      <c r="A10" s="772">
        <v>45811</v>
      </c>
      <c r="B10" s="177" t="s">
        <v>573</v>
      </c>
      <c r="C10" s="178">
        <v>4</v>
      </c>
      <c r="D10" s="103" t="str">
        <f>VLOOKUP(C10,'MASTER Name List'!$B$3:$M$186,2,FALSE)</f>
        <v>邹运金</v>
      </c>
      <c r="E10" s="796" t="s">
        <v>517</v>
      </c>
      <c r="F10" s="104"/>
      <c r="G10" s="104"/>
      <c r="H10" s="104"/>
      <c r="I10" s="204"/>
      <c r="J10" s="204"/>
      <c r="K10" s="204"/>
      <c r="L10" s="204"/>
      <c r="M10" s="204"/>
      <c r="N10" s="798" t="s">
        <v>470</v>
      </c>
      <c r="O10" s="798" t="s">
        <v>470</v>
      </c>
      <c r="P10" s="204"/>
      <c r="Q10" s="204"/>
      <c r="R10" s="204"/>
      <c r="S10" s="204"/>
      <c r="T10" s="204"/>
      <c r="U10" s="104"/>
      <c r="V10" s="104"/>
      <c r="W10" s="104"/>
      <c r="X10" s="104"/>
      <c r="Y10" s="104"/>
      <c r="Z10" s="104"/>
      <c r="AA10" s="105" t="str">
        <f t="shared" ref="AA10:AA23" si="0">COUNTIF($F10:$W10,"X") &amp; ""</f>
        <v>2</v>
      </c>
      <c r="AB10" s="106">
        <v>50</v>
      </c>
      <c r="AC10" s="107">
        <f t="shared" ref="AC10:AC22" si="1">COUNTIF($F10:$Z10,"X")*$AB10</f>
        <v>100</v>
      </c>
      <c r="AD10" s="184"/>
      <c r="AE10" s="184"/>
      <c r="AF10" s="108">
        <v>1</v>
      </c>
      <c r="AG10" s="797"/>
      <c r="AH10" s="113"/>
      <c r="AI10" s="114"/>
      <c r="AJ10" s="190"/>
      <c r="AL10" s="111"/>
      <c r="AM10" s="111"/>
    </row>
    <row r="11" spans="1:39" ht="15">
      <c r="A11" s="772">
        <v>45812</v>
      </c>
      <c r="B11" s="177" t="s">
        <v>574</v>
      </c>
      <c r="C11" s="178">
        <v>177</v>
      </c>
      <c r="D11" s="103" t="str">
        <f>VLOOKUP(C11,'MASTER Name List'!$B$3:$M$186,2,FALSE)</f>
        <v>陈桂香</v>
      </c>
      <c r="E11" s="800" t="s">
        <v>575</v>
      </c>
      <c r="F11" s="104"/>
      <c r="G11" s="104"/>
      <c r="H11" s="104"/>
      <c r="I11" s="204"/>
      <c r="J11" s="204"/>
      <c r="K11" s="204"/>
      <c r="L11" s="204"/>
      <c r="M11" s="204"/>
      <c r="N11" s="204"/>
      <c r="O11" s="798" t="s">
        <v>470</v>
      </c>
      <c r="P11" s="798" t="s">
        <v>470</v>
      </c>
      <c r="Q11" s="798" t="s">
        <v>470</v>
      </c>
      <c r="R11" s="798" t="s">
        <v>470</v>
      </c>
      <c r="S11" s="798" t="s">
        <v>470</v>
      </c>
      <c r="T11" s="798" t="s">
        <v>470</v>
      </c>
      <c r="U11" s="104"/>
      <c r="V11" s="104"/>
      <c r="W11" s="104"/>
      <c r="X11" s="104"/>
      <c r="Y11" s="104"/>
      <c r="Z11" s="104"/>
      <c r="AA11" s="105" t="str">
        <f t="shared" si="0"/>
        <v>6</v>
      </c>
      <c r="AB11" s="106">
        <v>50</v>
      </c>
      <c r="AC11" s="107">
        <f t="shared" si="1"/>
        <v>300</v>
      </c>
      <c r="AD11" s="184"/>
      <c r="AE11" s="184"/>
      <c r="AF11" s="108">
        <v>1</v>
      </c>
      <c r="AH11" s="113"/>
      <c r="AJ11" s="190"/>
      <c r="AL11" s="111"/>
      <c r="AM11" s="111"/>
    </row>
    <row r="12" spans="1:39" ht="15">
      <c r="A12" s="772">
        <v>45813</v>
      </c>
      <c r="B12" s="177" t="s">
        <v>576</v>
      </c>
      <c r="C12" s="178">
        <v>226</v>
      </c>
      <c r="D12" s="103" t="str">
        <f>VLOOKUP(C12,'MASTER Name List'!$B$3:$M$186,2,FALSE)</f>
        <v>锺镒壕</v>
      </c>
      <c r="E12" s="800" t="s">
        <v>577</v>
      </c>
      <c r="F12" s="104"/>
      <c r="G12" s="104"/>
      <c r="H12" s="104"/>
      <c r="I12" s="204"/>
      <c r="J12" s="204"/>
      <c r="K12" s="204"/>
      <c r="L12" s="798" t="s">
        <v>470</v>
      </c>
      <c r="M12" s="798" t="s">
        <v>470</v>
      </c>
      <c r="N12" s="798" t="s">
        <v>470</v>
      </c>
      <c r="O12" s="204"/>
      <c r="P12" s="204"/>
      <c r="Q12" s="204"/>
      <c r="R12" s="204"/>
      <c r="S12" s="204"/>
      <c r="T12" s="204"/>
      <c r="U12" s="104"/>
      <c r="V12" s="104"/>
      <c r="W12" s="104"/>
      <c r="X12" s="104"/>
      <c r="Y12" s="104"/>
      <c r="Z12" s="104"/>
      <c r="AA12" s="105" t="str">
        <f t="shared" si="0"/>
        <v>3</v>
      </c>
      <c r="AB12" s="106">
        <v>50</v>
      </c>
      <c r="AC12" s="107">
        <f t="shared" si="1"/>
        <v>150</v>
      </c>
      <c r="AD12" s="184"/>
      <c r="AE12" s="184"/>
      <c r="AF12" s="108">
        <v>1</v>
      </c>
      <c r="AG12" s="797">
        <f>SUMIF(AF:AF,"1",AC:AC)</f>
        <v>650</v>
      </c>
      <c r="AH12" s="113" t="s">
        <v>578</v>
      </c>
      <c r="AJ12" s="190"/>
      <c r="AL12" s="111"/>
      <c r="AM12" s="111"/>
    </row>
    <row r="13" spans="1:39" ht="15">
      <c r="A13" s="772">
        <v>45816</v>
      </c>
      <c r="B13" s="177" t="s">
        <v>579</v>
      </c>
      <c r="C13" s="178">
        <v>114</v>
      </c>
      <c r="D13" s="103" t="str">
        <f>VLOOKUP(C13,'MASTER Name List'!$B$3:$M$186,2,FALSE)</f>
        <v>刁修淋</v>
      </c>
      <c r="E13" s="800" t="s">
        <v>536</v>
      </c>
      <c r="F13" s="104"/>
      <c r="G13" s="104"/>
      <c r="H13" s="104"/>
      <c r="I13" s="204"/>
      <c r="J13" s="204"/>
      <c r="K13" s="204"/>
      <c r="L13" s="204"/>
      <c r="M13" s="798" t="s">
        <v>470</v>
      </c>
      <c r="N13" s="798" t="s">
        <v>470</v>
      </c>
      <c r="O13" s="798" t="s">
        <v>470</v>
      </c>
      <c r="P13" s="798" t="s">
        <v>470</v>
      </c>
      <c r="Q13" s="204"/>
      <c r="R13" s="204"/>
      <c r="S13" s="204"/>
      <c r="T13" s="204"/>
      <c r="U13" s="104"/>
      <c r="V13" s="104"/>
      <c r="W13" s="104"/>
      <c r="X13" s="104"/>
      <c r="Y13" s="104"/>
      <c r="Z13" s="104"/>
      <c r="AA13" s="105" t="str">
        <f t="shared" si="0"/>
        <v>4</v>
      </c>
      <c r="AB13" s="106">
        <v>50</v>
      </c>
      <c r="AC13" s="107">
        <f t="shared" si="1"/>
        <v>200</v>
      </c>
      <c r="AD13" s="184"/>
      <c r="AE13" s="184"/>
      <c r="AF13" s="108">
        <v>2</v>
      </c>
      <c r="AG13" s="797"/>
      <c r="AH13" s="113"/>
      <c r="AJ13" s="190"/>
      <c r="AL13" s="111"/>
      <c r="AM13" s="111"/>
    </row>
    <row r="14" spans="1:39" ht="15">
      <c r="A14" s="772">
        <v>45818</v>
      </c>
      <c r="B14" s="177" t="s">
        <v>580</v>
      </c>
      <c r="C14" s="178">
        <v>23</v>
      </c>
      <c r="D14" s="103" t="str">
        <f>VLOOKUP(C14,'MASTER Name List'!$B$3:$M$186,2,FALSE)</f>
        <v>罗彩瑛</v>
      </c>
      <c r="E14" s="800" t="s">
        <v>581</v>
      </c>
      <c r="F14" s="104"/>
      <c r="G14" s="104"/>
      <c r="H14" s="104"/>
      <c r="I14" s="204"/>
      <c r="J14" s="204"/>
      <c r="K14" s="204"/>
      <c r="L14" s="204"/>
      <c r="M14" s="204"/>
      <c r="N14" s="798"/>
      <c r="O14" s="798" t="s">
        <v>470</v>
      </c>
      <c r="P14" s="798" t="s">
        <v>470</v>
      </c>
      <c r="Q14" s="204"/>
      <c r="R14" s="204"/>
      <c r="S14" s="204"/>
      <c r="T14" s="204"/>
      <c r="U14" s="104"/>
      <c r="V14" s="104"/>
      <c r="W14" s="104"/>
      <c r="X14" s="104"/>
      <c r="Y14" s="104"/>
      <c r="Z14" s="104"/>
      <c r="AA14" s="105" t="str">
        <f t="shared" si="0"/>
        <v>2</v>
      </c>
      <c r="AB14" s="106">
        <v>50</v>
      </c>
      <c r="AC14" s="107">
        <f t="shared" si="1"/>
        <v>100</v>
      </c>
      <c r="AD14" s="184"/>
      <c r="AE14" s="184"/>
      <c r="AF14" s="108">
        <v>2</v>
      </c>
      <c r="AG14" s="797"/>
      <c r="AH14" s="113"/>
      <c r="AJ14" s="190"/>
      <c r="AL14" s="111"/>
      <c r="AM14" s="111"/>
    </row>
    <row r="15" spans="1:39" ht="15">
      <c r="A15" s="772">
        <v>45818</v>
      </c>
      <c r="B15" s="177" t="s">
        <v>582</v>
      </c>
      <c r="C15" s="178">
        <v>96</v>
      </c>
      <c r="D15" s="103" t="str">
        <f>VLOOKUP(C15,'MASTER Name List'!$B$3:$M$186,2,FALSE)</f>
        <v>余丽苹</v>
      </c>
      <c r="E15" s="800" t="s">
        <v>583</v>
      </c>
      <c r="F15" s="104"/>
      <c r="G15" s="104"/>
      <c r="H15" s="104"/>
      <c r="I15" s="204"/>
      <c r="J15" s="204"/>
      <c r="K15" s="204"/>
      <c r="L15" s="204"/>
      <c r="M15" s="204"/>
      <c r="N15" s="204"/>
      <c r="O15" s="798" t="s">
        <v>470</v>
      </c>
      <c r="P15" s="798" t="s">
        <v>470</v>
      </c>
      <c r="Q15" s="798" t="s">
        <v>470</v>
      </c>
      <c r="R15" s="798" t="s">
        <v>470</v>
      </c>
      <c r="S15" s="798" t="s">
        <v>470</v>
      </c>
      <c r="T15" s="798" t="s">
        <v>470</v>
      </c>
      <c r="U15" s="104"/>
      <c r="V15" s="104"/>
      <c r="W15" s="104"/>
      <c r="X15" s="104"/>
      <c r="Y15" s="104"/>
      <c r="Z15" s="104"/>
      <c r="AA15" s="105" t="str">
        <f t="shared" si="0"/>
        <v>6</v>
      </c>
      <c r="AB15" s="106">
        <v>50</v>
      </c>
      <c r="AC15" s="107">
        <f t="shared" si="1"/>
        <v>300</v>
      </c>
      <c r="AD15" s="184"/>
      <c r="AE15" s="184"/>
      <c r="AF15" s="108">
        <v>2</v>
      </c>
      <c r="AG15" s="797"/>
      <c r="AH15" s="113"/>
      <c r="AJ15" s="190"/>
      <c r="AL15" s="111"/>
      <c r="AM15" s="111"/>
    </row>
    <row r="16" spans="1:39" ht="15">
      <c r="A16" s="772">
        <v>45818</v>
      </c>
      <c r="B16" s="177" t="s">
        <v>584</v>
      </c>
      <c r="C16" s="178">
        <v>106</v>
      </c>
      <c r="D16" s="103" t="str">
        <f>VLOOKUP(C16,'MASTER Name List'!$B$3:$M$186,2,FALSE)</f>
        <v>文渼媄</v>
      </c>
      <c r="E16" s="800" t="s">
        <v>583</v>
      </c>
      <c r="F16" s="104"/>
      <c r="G16" s="104"/>
      <c r="H16" s="104"/>
      <c r="I16" s="204"/>
      <c r="J16" s="204"/>
      <c r="K16" s="204"/>
      <c r="L16" s="204"/>
      <c r="M16" s="204"/>
      <c r="N16" s="204"/>
      <c r="O16" s="798" t="s">
        <v>470</v>
      </c>
      <c r="P16" s="798" t="s">
        <v>470</v>
      </c>
      <c r="Q16" s="798" t="s">
        <v>470</v>
      </c>
      <c r="R16" s="798" t="s">
        <v>470</v>
      </c>
      <c r="S16" s="798" t="s">
        <v>470</v>
      </c>
      <c r="T16" s="798" t="s">
        <v>470</v>
      </c>
      <c r="U16" s="104"/>
      <c r="V16" s="104"/>
      <c r="W16" s="104"/>
      <c r="X16" s="104"/>
      <c r="Y16" s="104"/>
      <c r="Z16" s="104"/>
      <c r="AA16" s="105" t="str">
        <f t="shared" si="0"/>
        <v>6</v>
      </c>
      <c r="AB16" s="106">
        <v>50</v>
      </c>
      <c r="AC16" s="107">
        <f t="shared" si="1"/>
        <v>300</v>
      </c>
      <c r="AD16" s="184"/>
      <c r="AE16" s="184"/>
      <c r="AF16" s="108">
        <v>2</v>
      </c>
      <c r="AG16" s="797"/>
      <c r="AH16" s="113"/>
      <c r="AJ16" s="190"/>
      <c r="AL16" s="111"/>
      <c r="AM16" s="111"/>
    </row>
    <row r="17" spans="1:39" ht="15">
      <c r="A17" s="772">
        <v>45818</v>
      </c>
      <c r="B17" s="177" t="s">
        <v>585</v>
      </c>
      <c r="C17" s="178">
        <v>228</v>
      </c>
      <c r="D17" s="103" t="str">
        <f>VLOOKUP(C17,'MASTER Name List'!$B$3:$M$186,2,FALSE)</f>
        <v>黄诗霞</v>
      </c>
      <c r="E17" s="800" t="s">
        <v>586</v>
      </c>
      <c r="F17" s="104"/>
      <c r="G17" s="104"/>
      <c r="H17" s="104"/>
      <c r="I17" s="204"/>
      <c r="J17" s="204"/>
      <c r="K17" s="204"/>
      <c r="L17" s="204"/>
      <c r="M17" s="204"/>
      <c r="N17" s="204"/>
      <c r="O17" s="798" t="s">
        <v>470</v>
      </c>
      <c r="P17" s="798" t="s">
        <v>470</v>
      </c>
      <c r="Q17" s="798" t="s">
        <v>470</v>
      </c>
      <c r="R17" s="798" t="s">
        <v>470</v>
      </c>
      <c r="S17" s="798" t="s">
        <v>470</v>
      </c>
      <c r="T17" s="798" t="s">
        <v>470</v>
      </c>
      <c r="U17" s="808" t="s">
        <v>470</v>
      </c>
      <c r="V17" s="808" t="s">
        <v>470</v>
      </c>
      <c r="W17" s="808" t="s">
        <v>470</v>
      </c>
      <c r="X17" s="808" t="s">
        <v>470</v>
      </c>
      <c r="Y17" s="808" t="s">
        <v>470</v>
      </c>
      <c r="Z17" s="808" t="s">
        <v>470</v>
      </c>
      <c r="AA17" s="105" t="str">
        <f t="shared" si="0"/>
        <v>9</v>
      </c>
      <c r="AB17" s="106">
        <v>50</v>
      </c>
      <c r="AC17" s="107">
        <f t="shared" si="1"/>
        <v>600</v>
      </c>
      <c r="AD17" s="184"/>
      <c r="AE17" s="184"/>
      <c r="AF17" s="108">
        <v>2</v>
      </c>
      <c r="AG17" s="797"/>
      <c r="AH17" s="113"/>
      <c r="AJ17" s="190"/>
      <c r="AL17" s="111"/>
      <c r="AM17" s="111"/>
    </row>
    <row r="18" spans="1:39" ht="15">
      <c r="A18" s="772">
        <v>45823</v>
      </c>
      <c r="B18" s="177" t="s">
        <v>587</v>
      </c>
      <c r="C18" s="178">
        <v>42</v>
      </c>
      <c r="D18" s="103" t="str">
        <f>VLOOKUP(C18,'MASTER Name List'!$B$3:$M$186,2,FALSE)</f>
        <v>李俐赪</v>
      </c>
      <c r="E18" s="800" t="s">
        <v>583</v>
      </c>
      <c r="F18" s="104"/>
      <c r="G18" s="104"/>
      <c r="H18" s="104"/>
      <c r="I18" s="204"/>
      <c r="J18" s="204"/>
      <c r="K18" s="204"/>
      <c r="L18" s="204"/>
      <c r="M18" s="204"/>
      <c r="N18" s="204"/>
      <c r="O18" s="798" t="s">
        <v>470</v>
      </c>
      <c r="P18" s="798" t="s">
        <v>470</v>
      </c>
      <c r="Q18" s="798" t="s">
        <v>470</v>
      </c>
      <c r="R18" s="798" t="s">
        <v>470</v>
      </c>
      <c r="S18" s="798" t="s">
        <v>470</v>
      </c>
      <c r="T18" s="798" t="s">
        <v>470</v>
      </c>
      <c r="U18" s="104"/>
      <c r="V18" s="104"/>
      <c r="W18" s="104"/>
      <c r="X18" s="104"/>
      <c r="Y18" s="104"/>
      <c r="Z18" s="104"/>
      <c r="AA18" s="105" t="str">
        <f t="shared" si="0"/>
        <v>6</v>
      </c>
      <c r="AB18" s="106">
        <v>50</v>
      </c>
      <c r="AC18" s="107">
        <f t="shared" si="1"/>
        <v>300</v>
      </c>
      <c r="AD18" s="184"/>
      <c r="AE18" s="184"/>
      <c r="AF18" s="108">
        <v>2</v>
      </c>
      <c r="AG18" s="797">
        <f>SUMIF(AF:AF,"2",AC:AC)</f>
        <v>1800</v>
      </c>
      <c r="AH18" s="113" t="s">
        <v>588</v>
      </c>
      <c r="AI18" s="114"/>
      <c r="AJ18" s="190"/>
      <c r="AL18" s="111"/>
      <c r="AM18" s="111"/>
    </row>
    <row r="19" spans="1:39" ht="15">
      <c r="A19" s="772">
        <v>45830</v>
      </c>
      <c r="B19" s="177" t="s">
        <v>589</v>
      </c>
      <c r="C19" s="178">
        <v>170</v>
      </c>
      <c r="D19" s="103" t="str">
        <f>VLOOKUP(C19,'MASTER Name List'!$B$3:$M$186,2,FALSE)</f>
        <v>陈柔霓</v>
      </c>
      <c r="E19" s="804" t="s">
        <v>517</v>
      </c>
      <c r="F19" s="115"/>
      <c r="G19" s="115"/>
      <c r="H19" s="115"/>
      <c r="I19" s="206"/>
      <c r="J19" s="206"/>
      <c r="K19" s="206"/>
      <c r="L19" s="206"/>
      <c r="M19" s="805" t="s">
        <v>470</v>
      </c>
      <c r="N19" s="805" t="s">
        <v>470</v>
      </c>
      <c r="O19" s="206"/>
      <c r="P19" s="206"/>
      <c r="Q19" s="206"/>
      <c r="R19" s="206"/>
      <c r="S19" s="206"/>
      <c r="T19" s="206"/>
      <c r="U19" s="115"/>
      <c r="V19" s="115"/>
      <c r="W19" s="115"/>
      <c r="X19" s="115"/>
      <c r="Y19" s="115"/>
      <c r="Z19" s="115"/>
      <c r="AA19" s="105" t="str">
        <f t="shared" si="0"/>
        <v>2</v>
      </c>
      <c r="AB19" s="106">
        <v>50</v>
      </c>
      <c r="AC19" s="107">
        <f t="shared" si="1"/>
        <v>100</v>
      </c>
      <c r="AD19" s="184"/>
      <c r="AE19" s="184"/>
      <c r="AF19" s="108">
        <v>3</v>
      </c>
      <c r="AG19" s="797"/>
      <c r="AH19" s="113"/>
      <c r="AI19" s="114"/>
      <c r="AJ19" s="190"/>
      <c r="AL19" s="111"/>
      <c r="AM19" s="111"/>
    </row>
    <row r="20" spans="1:39" ht="15">
      <c r="A20" s="772">
        <v>45832</v>
      </c>
      <c r="B20" s="177" t="s">
        <v>590</v>
      </c>
      <c r="C20" s="178">
        <v>132</v>
      </c>
      <c r="D20" s="103" t="str">
        <f>VLOOKUP(C20,'MASTER Name List'!$B$3:$M$186,2,FALSE)</f>
        <v>陈杍䍿</v>
      </c>
      <c r="E20" s="804" t="s">
        <v>591</v>
      </c>
      <c r="F20" s="115"/>
      <c r="G20" s="115"/>
      <c r="H20" s="115"/>
      <c r="I20" s="206"/>
      <c r="J20" s="206"/>
      <c r="K20" s="206"/>
      <c r="L20" s="206"/>
      <c r="M20" s="805"/>
      <c r="N20" s="805" t="s">
        <v>470</v>
      </c>
      <c r="O20" s="805" t="s">
        <v>470</v>
      </c>
      <c r="P20" s="805" t="s">
        <v>470</v>
      </c>
      <c r="Q20" s="805"/>
      <c r="R20" s="805"/>
      <c r="S20" s="805"/>
      <c r="T20" s="805"/>
      <c r="U20" s="115"/>
      <c r="V20" s="115"/>
      <c r="W20" s="115"/>
      <c r="X20" s="115"/>
      <c r="Y20" s="115"/>
      <c r="Z20" s="115"/>
      <c r="AA20" s="105" t="str">
        <f t="shared" si="0"/>
        <v>3</v>
      </c>
      <c r="AB20" s="106">
        <v>50</v>
      </c>
      <c r="AC20" s="107">
        <f t="shared" si="1"/>
        <v>150</v>
      </c>
      <c r="AD20" s="184"/>
      <c r="AE20" s="184"/>
      <c r="AF20" s="108">
        <v>3</v>
      </c>
      <c r="AG20" s="797"/>
      <c r="AH20" s="113"/>
      <c r="AI20" s="114"/>
      <c r="AJ20" s="190"/>
      <c r="AL20" s="111"/>
      <c r="AM20" s="111"/>
    </row>
    <row r="21" spans="1:39" ht="15">
      <c r="A21" s="772">
        <v>45833</v>
      </c>
      <c r="B21" s="177" t="s">
        <v>592</v>
      </c>
      <c r="C21" s="178">
        <v>99</v>
      </c>
      <c r="D21" s="103" t="str">
        <f>VLOOKUP(C21,'MASTER Name List'!$B$3:$M$186,2,FALSE)</f>
        <v>吴毓遴</v>
      </c>
      <c r="E21" s="804" t="s">
        <v>593</v>
      </c>
      <c r="F21" s="115"/>
      <c r="G21" s="115"/>
      <c r="H21" s="115"/>
      <c r="I21" s="206"/>
      <c r="J21" s="206"/>
      <c r="K21" s="206"/>
      <c r="L21" s="206"/>
      <c r="M21" s="805" t="s">
        <v>470</v>
      </c>
      <c r="N21" s="805" t="s">
        <v>470</v>
      </c>
      <c r="O21" s="805" t="s">
        <v>470</v>
      </c>
      <c r="P21" s="805" t="s">
        <v>470</v>
      </c>
      <c r="Q21" s="805" t="s">
        <v>470</v>
      </c>
      <c r="R21" s="805" t="s">
        <v>470</v>
      </c>
      <c r="S21" s="805" t="s">
        <v>470</v>
      </c>
      <c r="T21" s="805" t="s">
        <v>470</v>
      </c>
      <c r="U21" s="115"/>
      <c r="V21" s="115"/>
      <c r="W21" s="115"/>
      <c r="X21" s="115"/>
      <c r="Y21" s="115"/>
      <c r="Z21" s="115"/>
      <c r="AA21" s="105" t="str">
        <f t="shared" si="0"/>
        <v>8</v>
      </c>
      <c r="AB21" s="106">
        <v>50</v>
      </c>
      <c r="AC21" s="107">
        <f t="shared" si="1"/>
        <v>400</v>
      </c>
      <c r="AD21" s="184"/>
      <c r="AE21" s="184"/>
      <c r="AF21" s="108">
        <v>3</v>
      </c>
      <c r="AG21" s="797"/>
      <c r="AH21" s="113"/>
      <c r="AI21" s="114"/>
      <c r="AJ21" s="190"/>
      <c r="AL21" s="111"/>
      <c r="AM21" s="111"/>
    </row>
    <row r="22" spans="1:39" ht="15">
      <c r="A22" s="772">
        <v>45834</v>
      </c>
      <c r="B22" s="177" t="s">
        <v>594</v>
      </c>
      <c r="C22" s="178">
        <v>62</v>
      </c>
      <c r="D22" s="103" t="str">
        <f>VLOOKUP(C22,'MASTER Name List'!$B$3:$M$186,2,FALSE)</f>
        <v>叶淑芳</v>
      </c>
      <c r="E22" s="804" t="s">
        <v>583</v>
      </c>
      <c r="F22" s="115"/>
      <c r="G22" s="115"/>
      <c r="H22" s="115"/>
      <c r="I22" s="206"/>
      <c r="J22" s="206"/>
      <c r="K22" s="206"/>
      <c r="L22" s="206"/>
      <c r="M22" s="206"/>
      <c r="N22" s="206"/>
      <c r="O22" s="805" t="s">
        <v>470</v>
      </c>
      <c r="P22" s="805" t="s">
        <v>470</v>
      </c>
      <c r="Q22" s="805" t="s">
        <v>470</v>
      </c>
      <c r="R22" s="805" t="s">
        <v>470</v>
      </c>
      <c r="S22" s="805" t="s">
        <v>470</v>
      </c>
      <c r="T22" s="805" t="s">
        <v>470</v>
      </c>
      <c r="U22" s="115"/>
      <c r="V22" s="115"/>
      <c r="W22" s="115"/>
      <c r="X22" s="115"/>
      <c r="Y22" s="115"/>
      <c r="Z22" s="115"/>
      <c r="AA22" s="105" t="str">
        <f t="shared" si="0"/>
        <v>6</v>
      </c>
      <c r="AB22" s="106">
        <v>50</v>
      </c>
      <c r="AC22" s="107">
        <f t="shared" si="1"/>
        <v>300</v>
      </c>
      <c r="AD22" s="184"/>
      <c r="AE22" s="184"/>
      <c r="AF22" s="108">
        <v>3</v>
      </c>
      <c r="AG22" s="797">
        <f>SUMIF(AF:AF,"3",AC:AC)</f>
        <v>950</v>
      </c>
      <c r="AH22" s="113" t="s">
        <v>595</v>
      </c>
      <c r="AI22" s="114"/>
      <c r="AJ22" s="190"/>
      <c r="AL22" s="111"/>
      <c r="AM22" s="111"/>
    </row>
    <row r="23" spans="1:39" ht="15">
      <c r="A23" s="772">
        <v>45838</v>
      </c>
      <c r="B23" s="177" t="s">
        <v>596</v>
      </c>
      <c r="C23" s="178">
        <v>214</v>
      </c>
      <c r="D23" s="103" t="str">
        <f>VLOOKUP(C23,'MASTER Name List'!$B$3:$M$186,2,FALSE)</f>
        <v>苏淑禛</v>
      </c>
      <c r="E23" s="811" t="s">
        <v>597</v>
      </c>
      <c r="F23" s="117"/>
      <c r="G23" s="117"/>
      <c r="H23" s="117"/>
      <c r="I23" s="207"/>
      <c r="J23" s="207"/>
      <c r="K23" s="207"/>
      <c r="L23" s="207"/>
      <c r="M23" s="207"/>
      <c r="N23" s="812" t="s">
        <v>470</v>
      </c>
      <c r="O23" s="812" t="s">
        <v>470</v>
      </c>
      <c r="P23" s="812" t="s">
        <v>470</v>
      </c>
      <c r="Q23" s="207"/>
      <c r="R23" s="207"/>
      <c r="S23" s="207"/>
      <c r="T23" s="207"/>
      <c r="U23" s="117"/>
      <c r="V23" s="117"/>
      <c r="W23" s="117"/>
      <c r="X23" s="117"/>
      <c r="Y23" s="117"/>
      <c r="Z23" s="117"/>
      <c r="AA23" s="105" t="str">
        <f t="shared" si="0"/>
        <v>3</v>
      </c>
      <c r="AB23" s="106">
        <v>50</v>
      </c>
      <c r="AC23" s="107">
        <f>COUNTIF($F23:$Z23,"X")*$AB23</f>
        <v>150</v>
      </c>
      <c r="AD23" s="184"/>
      <c r="AE23" s="184"/>
      <c r="AF23" s="108">
        <v>4</v>
      </c>
      <c r="AG23" s="797">
        <f>SUMIF(AF:AF,"4",AC:AC)</f>
        <v>150</v>
      </c>
      <c r="AH23" s="113" t="s">
        <v>598</v>
      </c>
      <c r="AI23" s="110"/>
      <c r="AJ23" s="190"/>
      <c r="AL23" s="111"/>
      <c r="AM23" s="111"/>
    </row>
    <row r="24" spans="1:39" ht="15">
      <c r="A24" s="772"/>
      <c r="B24" s="177"/>
      <c r="C24" s="178"/>
      <c r="D24" s="103" t="e">
        <f>VLOOKUP(C24,'MASTER Name List'!$B$3:$M$186,2,FALSE)</f>
        <v>#N/A</v>
      </c>
      <c r="E24" s="175"/>
      <c r="F24" s="117"/>
      <c r="G24" s="117"/>
      <c r="H24" s="11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117"/>
      <c r="V24" s="117"/>
      <c r="W24" s="117"/>
      <c r="X24" s="117"/>
      <c r="Y24" s="117"/>
      <c r="Z24" s="117"/>
      <c r="AA24" s="117"/>
      <c r="AB24" s="116"/>
      <c r="AC24" s="107"/>
      <c r="AD24" s="184"/>
      <c r="AE24" s="184"/>
      <c r="AF24" s="108"/>
      <c r="AG24" s="797"/>
      <c r="AH24" s="113"/>
      <c r="AI24" s="110"/>
      <c r="AJ24" s="190"/>
      <c r="AL24" s="111"/>
      <c r="AM24" s="111"/>
    </row>
    <row r="25" spans="1:39" ht="15">
      <c r="A25" s="772"/>
      <c r="B25" s="177"/>
      <c r="C25" s="178"/>
      <c r="D25" s="103"/>
      <c r="E25" s="175"/>
      <c r="F25" s="117"/>
      <c r="G25" s="117"/>
      <c r="H25" s="11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117"/>
      <c r="V25" s="117"/>
      <c r="W25" s="117"/>
      <c r="X25" s="117"/>
      <c r="Y25" s="117"/>
      <c r="Z25" s="117"/>
      <c r="AA25" s="117"/>
      <c r="AB25" s="116"/>
      <c r="AC25" s="107"/>
      <c r="AD25" s="184"/>
      <c r="AE25" s="184"/>
      <c r="AF25" s="108"/>
      <c r="AG25" s="797"/>
      <c r="AH25" s="113"/>
      <c r="AI25" s="110"/>
      <c r="AJ25" s="190"/>
      <c r="AL25" s="111"/>
      <c r="AM25" s="111"/>
    </row>
    <row r="26" spans="1:39" ht="15">
      <c r="A26" s="772"/>
      <c r="B26" s="177"/>
      <c r="C26" s="178"/>
      <c r="D26" s="103"/>
      <c r="E26" s="175"/>
      <c r="F26" s="117"/>
      <c r="G26" s="117"/>
      <c r="H26" s="11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117"/>
      <c r="V26" s="117"/>
      <c r="W26" s="117"/>
      <c r="X26" s="117"/>
      <c r="Y26" s="117"/>
      <c r="Z26" s="117"/>
      <c r="AA26" s="117"/>
      <c r="AB26" s="116"/>
      <c r="AC26" s="107"/>
      <c r="AD26" s="184"/>
      <c r="AE26" s="184"/>
      <c r="AF26" s="108"/>
      <c r="AG26" s="797"/>
      <c r="AH26" s="113"/>
      <c r="AI26" s="110"/>
      <c r="AJ26" s="190"/>
      <c r="AL26" s="111"/>
      <c r="AM26" s="111"/>
    </row>
    <row r="27" spans="1:39" ht="15">
      <c r="A27" s="772"/>
      <c r="B27" s="177"/>
      <c r="C27" s="178"/>
      <c r="D27" s="103"/>
      <c r="E27" s="175"/>
      <c r="F27" s="117"/>
      <c r="G27" s="117"/>
      <c r="H27" s="11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117"/>
      <c r="V27" s="117"/>
      <c r="W27" s="117"/>
      <c r="X27" s="117"/>
      <c r="Y27" s="117"/>
      <c r="Z27" s="117"/>
      <c r="AA27" s="117"/>
      <c r="AB27" s="116"/>
      <c r="AC27" s="107"/>
      <c r="AD27" s="184"/>
      <c r="AE27" s="184"/>
      <c r="AF27" s="108"/>
      <c r="AG27" s="797"/>
      <c r="AH27" s="113"/>
      <c r="AI27" s="110"/>
      <c r="AJ27" s="190"/>
      <c r="AL27" s="111"/>
      <c r="AM27" s="111"/>
    </row>
    <row r="28" spans="1:39" ht="15">
      <c r="A28" s="772"/>
      <c r="B28" s="177"/>
      <c r="C28" s="178"/>
      <c r="D28" s="103"/>
      <c r="E28" s="175"/>
      <c r="F28" s="117"/>
      <c r="G28" s="117"/>
      <c r="H28" s="11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117"/>
      <c r="V28" s="117"/>
      <c r="W28" s="117"/>
      <c r="X28" s="117"/>
      <c r="Y28" s="117"/>
      <c r="Z28" s="117"/>
      <c r="AA28" s="117"/>
      <c r="AB28" s="118"/>
      <c r="AC28" s="107"/>
      <c r="AD28" s="107"/>
      <c r="AE28" s="107"/>
      <c r="AF28" s="108"/>
      <c r="AG28" s="797"/>
      <c r="AH28" s="113"/>
      <c r="AI28" s="110"/>
      <c r="AJ28" s="190"/>
      <c r="AL28" s="111"/>
      <c r="AM28" s="111"/>
    </row>
    <row r="29" spans="1:39" ht="15">
      <c r="A29" s="806"/>
      <c r="B29" s="179" t="s">
        <v>487</v>
      </c>
      <c r="C29" s="211"/>
      <c r="D29" s="212"/>
      <c r="E29" s="213"/>
      <c r="F29" s="104"/>
      <c r="G29" s="104"/>
      <c r="H29" s="1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104"/>
      <c r="V29" s="104"/>
      <c r="W29" s="104"/>
      <c r="X29" s="104"/>
      <c r="Y29" s="104"/>
      <c r="Z29" s="104"/>
      <c r="AA29" s="104"/>
      <c r="AB29" s="106"/>
      <c r="AC29" s="107"/>
      <c r="AD29" s="107"/>
      <c r="AE29" s="107"/>
      <c r="AF29" s="108"/>
      <c r="AG29" s="797"/>
      <c r="AH29" s="113"/>
      <c r="AI29" s="110"/>
      <c r="AJ29" s="190"/>
      <c r="AL29" s="111"/>
      <c r="AM29" s="111"/>
    </row>
    <row r="30" spans="1:39" ht="15">
      <c r="A30" s="772">
        <v>45810</v>
      </c>
      <c r="B30" s="180"/>
      <c r="C30" s="178">
        <v>80</v>
      </c>
      <c r="D30" s="103" t="str">
        <f>VLOOKUP(C30,'MASTER Name List'!$B$3:$M$186,2,FALSE)</f>
        <v>黄淑芬</v>
      </c>
      <c r="E30" s="800">
        <v>45809</v>
      </c>
      <c r="F30" s="104"/>
      <c r="G30" s="104"/>
      <c r="H30" s="104"/>
      <c r="I30" s="204"/>
      <c r="J30" s="204"/>
      <c r="K30" s="205"/>
      <c r="L30" s="798"/>
      <c r="M30" s="204"/>
      <c r="N30" s="798" t="s">
        <v>470</v>
      </c>
      <c r="O30" s="204"/>
      <c r="P30" s="204"/>
      <c r="Q30" s="204"/>
      <c r="R30" s="204"/>
      <c r="S30" s="204"/>
      <c r="T30" s="204"/>
      <c r="U30" s="104"/>
      <c r="V30" s="104"/>
      <c r="W30" s="104"/>
      <c r="X30" s="104"/>
      <c r="Y30" s="104"/>
      <c r="Z30" s="104"/>
      <c r="AA30" s="112" t="str">
        <f>COUNTIF($F30:$W30,"X") &amp; ""</f>
        <v>1</v>
      </c>
      <c r="AB30" s="106">
        <v>50</v>
      </c>
      <c r="AC30" s="184"/>
      <c r="AD30" s="184"/>
      <c r="AE30" s="107">
        <f>COUNTIF($F30:$W30,"X")*$AB30</f>
        <v>50</v>
      </c>
      <c r="AF30" s="108"/>
      <c r="AG30" s="797"/>
      <c r="AH30" s="113"/>
      <c r="AI30" s="110" t="s">
        <v>125</v>
      </c>
      <c r="AJ30" s="813" t="s">
        <v>179</v>
      </c>
      <c r="AL30" s="111" t="s">
        <v>599</v>
      </c>
      <c r="AM30" s="111"/>
    </row>
    <row r="31" spans="1:39" ht="15">
      <c r="A31" s="772">
        <v>45810</v>
      </c>
      <c r="B31" s="180"/>
      <c r="C31" s="178">
        <v>224</v>
      </c>
      <c r="D31" s="103" t="str">
        <f>VLOOKUP(C31,'MASTER Name List'!$B$3:$M$186,2,FALSE)</f>
        <v xml:space="preserve">黄文勝 </v>
      </c>
      <c r="E31" s="800">
        <v>45809</v>
      </c>
      <c r="F31" s="104"/>
      <c r="G31" s="104"/>
      <c r="H31" s="104"/>
      <c r="I31" s="204"/>
      <c r="J31" s="204"/>
      <c r="K31" s="205"/>
      <c r="L31" s="205"/>
      <c r="M31" s="205"/>
      <c r="N31" s="798" t="s">
        <v>470</v>
      </c>
      <c r="O31" s="204"/>
      <c r="P31" s="204"/>
      <c r="Q31" s="204"/>
      <c r="R31" s="204"/>
      <c r="S31" s="204"/>
      <c r="T31" s="204"/>
      <c r="U31" s="104"/>
      <c r="V31" s="104"/>
      <c r="W31" s="104"/>
      <c r="X31" s="104"/>
      <c r="Y31" s="104"/>
      <c r="Z31" s="104"/>
      <c r="AA31" s="112" t="str">
        <f t="shared" ref="AA31:AA49" si="2">COUNTIF($F31:$W31,"X") &amp; ""</f>
        <v>1</v>
      </c>
      <c r="AB31" s="106">
        <v>50</v>
      </c>
      <c r="AC31" s="184"/>
      <c r="AD31" s="184"/>
      <c r="AE31" s="107">
        <f t="shared" ref="AE31:AE50" si="3">COUNTIF($F31:$W31,"X")*$AB31</f>
        <v>50</v>
      </c>
      <c r="AF31" s="108"/>
      <c r="AG31" s="797"/>
      <c r="AH31" s="113"/>
      <c r="AI31" s="110" t="s">
        <v>125</v>
      </c>
      <c r="AJ31" s="325" t="s">
        <v>179</v>
      </c>
      <c r="AL31" s="111" t="s">
        <v>600</v>
      </c>
      <c r="AM31" s="111"/>
    </row>
    <row r="32" spans="1:39" ht="15">
      <c r="A32" s="772">
        <v>45810</v>
      </c>
      <c r="B32" s="180"/>
      <c r="C32" s="178">
        <v>116</v>
      </c>
      <c r="D32" s="103" t="str">
        <f>VLOOKUP(C32,'MASTER Name List'!$B$3:$M$186,2,FALSE)</f>
        <v>李薇薇</v>
      </c>
      <c r="E32" s="800">
        <v>45809</v>
      </c>
      <c r="F32" s="104"/>
      <c r="G32" s="104"/>
      <c r="H32" s="104"/>
      <c r="I32" s="204"/>
      <c r="J32" s="204"/>
      <c r="K32" s="205"/>
      <c r="L32" s="205"/>
      <c r="M32" s="205"/>
      <c r="N32" s="798" t="s">
        <v>470</v>
      </c>
      <c r="O32" s="204"/>
      <c r="P32" s="204"/>
      <c r="Q32" s="204"/>
      <c r="R32" s="204"/>
      <c r="S32" s="204"/>
      <c r="T32" s="204"/>
      <c r="U32" s="104"/>
      <c r="V32" s="104"/>
      <c r="W32" s="104"/>
      <c r="X32" s="104"/>
      <c r="Y32" s="104"/>
      <c r="Z32" s="104"/>
      <c r="AA32" s="112" t="str">
        <f t="shared" si="2"/>
        <v>1</v>
      </c>
      <c r="AB32" s="106">
        <v>50</v>
      </c>
      <c r="AC32" s="184"/>
      <c r="AD32" s="184"/>
      <c r="AE32" s="107">
        <f t="shared" si="3"/>
        <v>50</v>
      </c>
      <c r="AF32" s="108"/>
      <c r="AG32" s="797"/>
      <c r="AH32" s="113"/>
      <c r="AI32" s="110" t="s">
        <v>125</v>
      </c>
      <c r="AJ32" s="807" t="s">
        <v>133</v>
      </c>
      <c r="AL32" s="111"/>
      <c r="AM32" s="111"/>
    </row>
    <row r="33" spans="1:39" ht="15">
      <c r="A33" s="772">
        <v>45810</v>
      </c>
      <c r="B33" s="180"/>
      <c r="C33" s="178">
        <v>117</v>
      </c>
      <c r="D33" s="103" t="str">
        <f>VLOOKUP(C33,'MASTER Name List'!$B$3:$M$186,2,FALSE)</f>
        <v>张志文</v>
      </c>
      <c r="E33" s="800">
        <v>45809</v>
      </c>
      <c r="F33" s="104"/>
      <c r="G33" s="104"/>
      <c r="H33" s="104"/>
      <c r="I33" s="204"/>
      <c r="J33" s="204"/>
      <c r="K33" s="205"/>
      <c r="L33" s="205"/>
      <c r="M33" s="205"/>
      <c r="N33" s="798" t="s">
        <v>470</v>
      </c>
      <c r="O33" s="204"/>
      <c r="P33" s="204"/>
      <c r="Q33" s="204"/>
      <c r="R33" s="204"/>
      <c r="S33" s="204"/>
      <c r="T33" s="204"/>
      <c r="U33" s="104"/>
      <c r="V33" s="104"/>
      <c r="W33" s="104"/>
      <c r="X33" s="104"/>
      <c r="Y33" s="104"/>
      <c r="Z33" s="104"/>
      <c r="AA33" s="112" t="str">
        <f t="shared" si="2"/>
        <v>1</v>
      </c>
      <c r="AB33" s="106">
        <v>50</v>
      </c>
      <c r="AC33" s="184"/>
      <c r="AD33" s="184"/>
      <c r="AE33" s="107">
        <f t="shared" si="3"/>
        <v>50</v>
      </c>
      <c r="AF33" s="108"/>
      <c r="AG33" s="797"/>
      <c r="AH33" s="113"/>
      <c r="AI33" s="110" t="s">
        <v>125</v>
      </c>
      <c r="AJ33" s="807" t="s">
        <v>492</v>
      </c>
      <c r="AL33" s="111"/>
      <c r="AM33" s="111"/>
    </row>
    <row r="34" spans="1:39" ht="15">
      <c r="A34" s="772">
        <v>45813</v>
      </c>
      <c r="B34" s="180"/>
      <c r="C34" s="178">
        <v>52</v>
      </c>
      <c r="D34" s="103" t="str">
        <f>VLOOKUP(C34,'MASTER Name List'!$B$3:$M$186,2,FALSE)</f>
        <v>陈宝蓉</v>
      </c>
      <c r="E34" s="800" t="s">
        <v>540</v>
      </c>
      <c r="F34" s="104"/>
      <c r="G34" s="104"/>
      <c r="H34" s="104"/>
      <c r="I34" s="204"/>
      <c r="J34" s="798"/>
      <c r="K34" s="798"/>
      <c r="L34" s="798"/>
      <c r="M34" s="798" t="s">
        <v>470</v>
      </c>
      <c r="N34" s="798" t="s">
        <v>470</v>
      </c>
      <c r="O34" s="798"/>
      <c r="P34" s="798"/>
      <c r="Q34" s="204"/>
      <c r="R34" s="204"/>
      <c r="S34" s="204"/>
      <c r="T34" s="204"/>
      <c r="U34" s="104"/>
      <c r="V34" s="104"/>
      <c r="W34" s="104"/>
      <c r="X34" s="104"/>
      <c r="Y34" s="104"/>
      <c r="Z34" s="104"/>
      <c r="AA34" s="112" t="str">
        <f t="shared" si="2"/>
        <v>2</v>
      </c>
      <c r="AB34" s="106">
        <v>50</v>
      </c>
      <c r="AC34" s="184"/>
      <c r="AD34" s="184"/>
      <c r="AE34" s="107">
        <f t="shared" si="3"/>
        <v>100</v>
      </c>
      <c r="AF34" s="108"/>
      <c r="AG34" s="797"/>
      <c r="AH34" s="113"/>
      <c r="AI34" s="110" t="s">
        <v>125</v>
      </c>
      <c r="AJ34" t="s">
        <v>330</v>
      </c>
      <c r="AL34" s="111" t="s">
        <v>601</v>
      </c>
      <c r="AM34" s="111"/>
    </row>
    <row r="35" spans="1:39" ht="15">
      <c r="A35" s="772">
        <v>45815</v>
      </c>
      <c r="B35" s="180"/>
      <c r="C35" s="178">
        <v>162</v>
      </c>
      <c r="D35" s="103" t="str">
        <f>VLOOKUP(C35,'MASTER Name List'!$B$3:$M$186,2,FALSE)</f>
        <v>方惠贤</v>
      </c>
      <c r="E35" s="800" t="s">
        <v>602</v>
      </c>
      <c r="F35" s="104"/>
      <c r="G35" s="104"/>
      <c r="H35" s="104"/>
      <c r="I35" s="204"/>
      <c r="J35" s="205"/>
      <c r="K35" s="798"/>
      <c r="L35" s="204"/>
      <c r="M35" s="798"/>
      <c r="N35" s="798"/>
      <c r="O35" s="798" t="s">
        <v>470</v>
      </c>
      <c r="P35" s="204" t="s">
        <v>470</v>
      </c>
      <c r="Q35" s="204"/>
      <c r="R35" s="204"/>
      <c r="S35" s="204"/>
      <c r="T35" s="204"/>
      <c r="U35" s="104"/>
      <c r="V35" s="104"/>
      <c r="W35" s="104"/>
      <c r="X35" s="104"/>
      <c r="Y35" s="104"/>
      <c r="Z35" s="104"/>
      <c r="AA35" s="112" t="str">
        <f t="shared" si="2"/>
        <v>2</v>
      </c>
      <c r="AB35" s="106">
        <v>50</v>
      </c>
      <c r="AC35" s="184"/>
      <c r="AD35" s="184"/>
      <c r="AE35" s="107">
        <f t="shared" si="3"/>
        <v>100</v>
      </c>
      <c r="AF35" s="108"/>
      <c r="AG35" s="797"/>
      <c r="AH35" s="119"/>
      <c r="AI35" s="110" t="s">
        <v>125</v>
      </c>
      <c r="AJ35" t="s">
        <v>126</v>
      </c>
      <c r="AL35" s="111" t="s">
        <v>603</v>
      </c>
      <c r="AM35" s="111"/>
    </row>
    <row r="36" spans="1:39" ht="15">
      <c r="A36" s="772">
        <v>45815</v>
      </c>
      <c r="B36" s="180"/>
      <c r="C36" s="178">
        <v>102</v>
      </c>
      <c r="D36" s="103" t="str">
        <f>VLOOKUP(C36,'MASTER Name List'!$B$3:$M$186,2,FALSE)</f>
        <v>戴川凤</v>
      </c>
      <c r="E36" s="800" t="s">
        <v>540</v>
      </c>
      <c r="F36" s="104"/>
      <c r="G36" s="104"/>
      <c r="H36" s="104"/>
      <c r="I36" s="204"/>
      <c r="J36" s="204"/>
      <c r="K36" s="205"/>
      <c r="L36" s="798"/>
      <c r="M36" s="798" t="s">
        <v>470</v>
      </c>
      <c r="N36" s="798" t="s">
        <v>470</v>
      </c>
      <c r="O36" s="204"/>
      <c r="P36" s="204"/>
      <c r="Q36" s="204"/>
      <c r="R36" s="204"/>
      <c r="S36" s="798"/>
      <c r="T36" s="798"/>
      <c r="U36" s="808"/>
      <c r="V36" s="808"/>
      <c r="W36" s="808"/>
      <c r="X36" s="808"/>
      <c r="Y36" s="808"/>
      <c r="Z36" s="808"/>
      <c r="AA36" s="112" t="str">
        <f t="shared" si="2"/>
        <v>2</v>
      </c>
      <c r="AB36" s="106">
        <v>50</v>
      </c>
      <c r="AC36" s="184"/>
      <c r="AD36" s="184"/>
      <c r="AE36" s="107">
        <f t="shared" si="3"/>
        <v>100</v>
      </c>
      <c r="AF36" s="108"/>
      <c r="AG36" s="797"/>
      <c r="AH36" s="113"/>
      <c r="AI36" s="110" t="s">
        <v>325</v>
      </c>
      <c r="AJ36" s="809"/>
      <c r="AL36" s="111" t="s">
        <v>604</v>
      </c>
      <c r="AM36" s="111"/>
    </row>
    <row r="37" spans="1:39" ht="15">
      <c r="A37" s="772">
        <v>45815</v>
      </c>
      <c r="B37" s="180"/>
      <c r="C37" s="178">
        <v>137</v>
      </c>
      <c r="D37" s="103" t="str">
        <f>VLOOKUP(C37,'MASTER Name List'!$B$3:$M$186,2,FALSE)</f>
        <v>赖美珍</v>
      </c>
      <c r="E37" s="800">
        <v>45809</v>
      </c>
      <c r="F37" s="104"/>
      <c r="G37" s="104"/>
      <c r="H37" s="104"/>
      <c r="I37" s="204"/>
      <c r="J37" s="204"/>
      <c r="K37" s="205"/>
      <c r="L37" s="204"/>
      <c r="M37" s="204"/>
      <c r="N37" s="204" t="s">
        <v>470</v>
      </c>
      <c r="O37" s="204"/>
      <c r="P37" s="204"/>
      <c r="Q37" s="204"/>
      <c r="R37" s="204"/>
      <c r="S37" s="798"/>
      <c r="T37" s="798"/>
      <c r="U37" s="808"/>
      <c r="V37" s="808"/>
      <c r="W37" s="808"/>
      <c r="X37" s="808"/>
      <c r="Y37" s="808"/>
      <c r="Z37" s="808"/>
      <c r="AA37" s="112" t="str">
        <f t="shared" si="2"/>
        <v>1</v>
      </c>
      <c r="AB37" s="106">
        <v>50</v>
      </c>
      <c r="AC37" s="184"/>
      <c r="AD37" s="184"/>
      <c r="AE37" s="107">
        <f t="shared" si="3"/>
        <v>50</v>
      </c>
      <c r="AF37" s="108"/>
      <c r="AG37" s="797"/>
      <c r="AH37" s="113"/>
      <c r="AI37" s="110" t="s">
        <v>605</v>
      </c>
      <c r="AJ37" s="809" t="s">
        <v>606</v>
      </c>
      <c r="AL37" s="111" t="s">
        <v>542</v>
      </c>
      <c r="AM37" s="111"/>
    </row>
    <row r="38" spans="1:39" ht="15">
      <c r="A38" s="772">
        <v>45815</v>
      </c>
      <c r="B38" s="180"/>
      <c r="C38" s="178">
        <v>48</v>
      </c>
      <c r="D38" s="103" t="str">
        <f>VLOOKUP(C38,'MASTER Name List'!$B$3:$M$186,2,FALSE)</f>
        <v>叶鏸郧</v>
      </c>
      <c r="E38" s="800" t="s">
        <v>607</v>
      </c>
      <c r="F38" s="808"/>
      <c r="G38" s="808"/>
      <c r="H38" s="808"/>
      <c r="I38" s="798" t="s">
        <v>470</v>
      </c>
      <c r="J38" s="798" t="s">
        <v>470</v>
      </c>
      <c r="K38" s="798" t="s">
        <v>470</v>
      </c>
      <c r="L38" s="798"/>
      <c r="M38" s="798"/>
      <c r="N38" s="798"/>
      <c r="O38" s="798"/>
      <c r="P38" s="798"/>
      <c r="Q38" s="798"/>
      <c r="R38" s="798"/>
      <c r="S38" s="798"/>
      <c r="T38" s="798"/>
      <c r="U38" s="104"/>
      <c r="V38" s="104"/>
      <c r="W38" s="104"/>
      <c r="X38" s="104"/>
      <c r="Y38" s="104"/>
      <c r="Z38" s="104"/>
      <c r="AA38" s="112" t="str">
        <f t="shared" si="2"/>
        <v>3</v>
      </c>
      <c r="AB38" s="106">
        <v>50</v>
      </c>
      <c r="AC38" s="184"/>
      <c r="AD38" s="184"/>
      <c r="AE38" s="107">
        <f t="shared" si="3"/>
        <v>150</v>
      </c>
      <c r="AF38" s="108"/>
      <c r="AG38" s="797"/>
      <c r="AH38" s="113"/>
      <c r="AI38" s="110" t="s">
        <v>125</v>
      </c>
      <c r="AJ38" s="809" t="s">
        <v>608</v>
      </c>
      <c r="AL38" s="111" t="s">
        <v>609</v>
      </c>
      <c r="AM38" s="111"/>
    </row>
    <row r="39" spans="1:39" ht="15">
      <c r="A39" s="772">
        <v>45816</v>
      </c>
      <c r="B39" s="180"/>
      <c r="C39" s="178">
        <v>50</v>
      </c>
      <c r="D39" s="103" t="str">
        <f>VLOOKUP(C39,'MASTER Name List'!$B$3:$M$186,2,FALSE)</f>
        <v>陈俊达</v>
      </c>
      <c r="E39" s="800" t="s">
        <v>610</v>
      </c>
      <c r="F39" s="104"/>
      <c r="G39" s="104"/>
      <c r="H39" s="104"/>
      <c r="I39" s="798" t="s">
        <v>470</v>
      </c>
      <c r="J39" s="798" t="s">
        <v>470</v>
      </c>
      <c r="K39" s="798" t="s">
        <v>470</v>
      </c>
      <c r="L39" s="798" t="s">
        <v>470</v>
      </c>
      <c r="M39" s="798" t="s">
        <v>470</v>
      </c>
      <c r="N39" s="798" t="s">
        <v>470</v>
      </c>
      <c r="O39" s="798" t="s">
        <v>470</v>
      </c>
      <c r="P39" s="798" t="s">
        <v>470</v>
      </c>
      <c r="Q39" s="798" t="s">
        <v>470</v>
      </c>
      <c r="R39" s="798" t="s">
        <v>470</v>
      </c>
      <c r="S39" s="798" t="s">
        <v>470</v>
      </c>
      <c r="T39" s="798" t="s">
        <v>470</v>
      </c>
      <c r="U39" s="104"/>
      <c r="V39" s="104"/>
      <c r="W39" s="104"/>
      <c r="X39" s="104"/>
      <c r="Y39" s="104"/>
      <c r="Z39" s="104"/>
      <c r="AA39" s="112" t="str">
        <f t="shared" si="2"/>
        <v>12</v>
      </c>
      <c r="AB39" s="106">
        <v>50</v>
      </c>
      <c r="AC39" s="184"/>
      <c r="AD39" s="184"/>
      <c r="AE39" s="107">
        <f t="shared" si="3"/>
        <v>600</v>
      </c>
      <c r="AF39" s="108"/>
      <c r="AG39" s="797"/>
      <c r="AH39" s="113"/>
      <c r="AI39" s="84" t="s">
        <v>125</v>
      </c>
      <c r="AJ39" s="809" t="s">
        <v>611</v>
      </c>
      <c r="AL39" s="111" t="s">
        <v>612</v>
      </c>
      <c r="AM39" s="111"/>
    </row>
    <row r="40" spans="1:39" ht="15">
      <c r="A40" s="772">
        <v>45817</v>
      </c>
      <c r="B40" s="180"/>
      <c r="C40" s="178">
        <v>40</v>
      </c>
      <c r="D40" s="103" t="str">
        <f>VLOOKUP(C40,'MASTER Name List'!$B$3:$M$186,2,FALSE)</f>
        <v>何梅歆</v>
      </c>
      <c r="E40" s="310" t="s">
        <v>613</v>
      </c>
      <c r="F40" s="104"/>
      <c r="G40" s="104"/>
      <c r="H40" s="1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309"/>
      <c r="V40" s="311" t="s">
        <v>470</v>
      </c>
      <c r="W40" s="808" t="s">
        <v>470</v>
      </c>
      <c r="X40" s="104"/>
      <c r="Y40" s="104"/>
      <c r="Z40" s="104"/>
      <c r="AA40" s="112" t="str">
        <f t="shared" si="2"/>
        <v>2</v>
      </c>
      <c r="AB40" s="106">
        <v>50</v>
      </c>
      <c r="AC40" s="184"/>
      <c r="AD40" s="184"/>
      <c r="AE40" s="107">
        <f t="shared" si="3"/>
        <v>100</v>
      </c>
      <c r="AF40" s="108"/>
      <c r="AG40" s="797"/>
      <c r="AH40" s="113"/>
      <c r="AI40" s="113" t="s">
        <v>125</v>
      </c>
      <c r="AJ40" s="807" t="s">
        <v>614</v>
      </c>
      <c r="AL40" s="111" t="s">
        <v>565</v>
      </c>
      <c r="AM40" s="111"/>
    </row>
    <row r="41" spans="1:39" ht="15">
      <c r="A41" s="772">
        <v>45833</v>
      </c>
      <c r="B41" s="180"/>
      <c r="C41" s="178">
        <v>64</v>
      </c>
      <c r="D41" s="103" t="str">
        <f>VLOOKUP(C41,'MASTER Name List'!$B$3:$M$186,2,FALSE)</f>
        <v>韦素枝</v>
      </c>
      <c r="E41" s="800" t="s">
        <v>615</v>
      </c>
      <c r="F41" s="104"/>
      <c r="G41" s="104"/>
      <c r="H41" s="104"/>
      <c r="I41" s="204"/>
      <c r="J41" s="204"/>
      <c r="K41" s="204"/>
      <c r="L41" s="204"/>
      <c r="M41" s="798" t="s">
        <v>470</v>
      </c>
      <c r="N41" s="798" t="s">
        <v>470</v>
      </c>
      <c r="O41" s="798" t="s">
        <v>470</v>
      </c>
      <c r="P41" s="798" t="s">
        <v>470</v>
      </c>
      <c r="Q41" s="204"/>
      <c r="R41" s="204"/>
      <c r="S41" s="204"/>
      <c r="T41" s="204"/>
      <c r="U41" s="104"/>
      <c r="V41" s="104"/>
      <c r="W41" s="104"/>
      <c r="X41" s="104"/>
      <c r="Y41" s="104"/>
      <c r="Z41" s="104"/>
      <c r="AA41" s="112" t="str">
        <f t="shared" si="2"/>
        <v>4</v>
      </c>
      <c r="AB41" s="106">
        <v>50</v>
      </c>
      <c r="AC41" s="184"/>
      <c r="AD41" s="184"/>
      <c r="AE41" s="107">
        <f t="shared" si="3"/>
        <v>200</v>
      </c>
      <c r="AF41" s="108"/>
      <c r="AG41" s="797"/>
      <c r="AH41" s="113"/>
      <c r="AI41" s="110" t="s">
        <v>125</v>
      </c>
      <c r="AJ41" s="807" t="s">
        <v>616</v>
      </c>
      <c r="AL41" s="111" t="s">
        <v>617</v>
      </c>
      <c r="AM41" s="111"/>
    </row>
    <row r="42" spans="1:39" ht="15">
      <c r="A42" s="772"/>
      <c r="B42" s="180"/>
      <c r="C42" s="178"/>
      <c r="D42" s="103" t="e">
        <f>VLOOKUP(C42,'MASTER Name List'!$B$3:$M$186,2,FALSE)</f>
        <v>#N/A</v>
      </c>
      <c r="E42" s="173"/>
      <c r="F42" s="104"/>
      <c r="G42" s="104"/>
      <c r="H42" s="1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104"/>
      <c r="V42" s="104"/>
      <c r="W42" s="104"/>
      <c r="X42" s="104"/>
      <c r="Y42" s="104"/>
      <c r="Z42" s="104"/>
      <c r="AA42" s="112" t="str">
        <f t="shared" si="2"/>
        <v>0</v>
      </c>
      <c r="AB42" s="106">
        <v>50</v>
      </c>
      <c r="AC42" s="184"/>
      <c r="AD42" s="184"/>
      <c r="AE42" s="107">
        <f t="shared" si="3"/>
        <v>0</v>
      </c>
      <c r="AF42" s="108"/>
      <c r="AG42" s="797"/>
      <c r="AH42" s="113"/>
      <c r="AI42" s="110"/>
      <c r="AJ42" s="191"/>
      <c r="AL42" s="111"/>
      <c r="AM42" s="111"/>
    </row>
    <row r="43" spans="1:39" ht="15">
      <c r="A43" s="772"/>
      <c r="B43" s="180"/>
      <c r="C43" s="178"/>
      <c r="D43" s="103" t="e">
        <f>VLOOKUP(C43,'MASTER Name List'!$B$3:$M$186,2,FALSE)</f>
        <v>#N/A</v>
      </c>
      <c r="E43" s="173"/>
      <c r="F43" s="104"/>
      <c r="G43" s="104"/>
      <c r="H43" s="1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104"/>
      <c r="V43" s="104"/>
      <c r="W43" s="104"/>
      <c r="X43" s="104"/>
      <c r="Y43" s="104"/>
      <c r="Z43" s="104"/>
      <c r="AA43" s="112" t="str">
        <f t="shared" si="2"/>
        <v>0</v>
      </c>
      <c r="AB43" s="106">
        <v>50</v>
      </c>
      <c r="AC43" s="184"/>
      <c r="AD43" s="184"/>
      <c r="AE43" s="107">
        <f t="shared" si="3"/>
        <v>0</v>
      </c>
      <c r="AF43" s="108"/>
      <c r="AG43" s="797"/>
      <c r="AH43" s="113"/>
      <c r="AI43" s="110"/>
      <c r="AJ43" s="191"/>
      <c r="AL43" s="111"/>
      <c r="AM43" s="111"/>
    </row>
    <row r="44" spans="1:39" ht="15">
      <c r="A44" s="772"/>
      <c r="B44" s="180"/>
      <c r="C44" s="178"/>
      <c r="D44" s="103" t="e">
        <f>VLOOKUP(C44,'MASTER Name List'!$B$3:$M$186,2,FALSE)</f>
        <v>#N/A</v>
      </c>
      <c r="E44" s="173"/>
      <c r="F44" s="104"/>
      <c r="G44" s="104"/>
      <c r="H44" s="1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104"/>
      <c r="V44" s="104"/>
      <c r="W44" s="104"/>
      <c r="X44" s="104"/>
      <c r="Y44" s="104"/>
      <c r="Z44" s="104"/>
      <c r="AA44" s="112" t="str">
        <f t="shared" si="2"/>
        <v>0</v>
      </c>
      <c r="AB44" s="106">
        <v>50</v>
      </c>
      <c r="AC44" s="184"/>
      <c r="AD44" s="184"/>
      <c r="AE44" s="107">
        <f t="shared" si="3"/>
        <v>0</v>
      </c>
      <c r="AF44" s="108"/>
      <c r="AG44" s="797"/>
      <c r="AH44" s="113"/>
      <c r="AI44" s="110"/>
      <c r="AJ44" s="191"/>
      <c r="AL44" s="111"/>
      <c r="AM44" s="111"/>
    </row>
    <row r="45" spans="1:39" ht="15">
      <c r="A45" s="772"/>
      <c r="B45" s="180"/>
      <c r="C45" s="178"/>
      <c r="D45" s="103" t="e">
        <f>VLOOKUP(C45,'MASTER Name List'!$B$3:$M$186,2,FALSE)</f>
        <v>#N/A</v>
      </c>
      <c r="E45" s="173"/>
      <c r="F45" s="104"/>
      <c r="G45" s="104"/>
      <c r="H45" s="1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104"/>
      <c r="V45" s="104"/>
      <c r="W45" s="104"/>
      <c r="X45" s="104"/>
      <c r="Y45" s="104"/>
      <c r="Z45" s="104"/>
      <c r="AA45" s="112" t="str">
        <f t="shared" si="2"/>
        <v>0</v>
      </c>
      <c r="AB45" s="106">
        <v>50</v>
      </c>
      <c r="AC45" s="184"/>
      <c r="AD45" s="184"/>
      <c r="AE45" s="107">
        <f t="shared" si="3"/>
        <v>0</v>
      </c>
      <c r="AF45" s="108"/>
      <c r="AG45" s="797"/>
      <c r="AH45" s="113"/>
      <c r="AI45" s="110"/>
      <c r="AJ45" s="191"/>
      <c r="AL45" s="111"/>
      <c r="AM45" s="111"/>
    </row>
    <row r="46" spans="1:39" ht="15">
      <c r="A46" s="772"/>
      <c r="B46" s="180"/>
      <c r="C46" s="178"/>
      <c r="D46" s="103" t="e">
        <f>VLOOKUP(C46,'MASTER Name List'!$B$3:$M$186,2,FALSE)</f>
        <v>#N/A</v>
      </c>
      <c r="E46" s="173"/>
      <c r="F46" s="104"/>
      <c r="G46" s="104"/>
      <c r="H46" s="1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104"/>
      <c r="V46" s="104"/>
      <c r="W46" s="104"/>
      <c r="X46" s="104"/>
      <c r="Y46" s="104"/>
      <c r="Z46" s="104"/>
      <c r="AA46" s="112" t="str">
        <f t="shared" si="2"/>
        <v>0</v>
      </c>
      <c r="AB46" s="106">
        <v>50</v>
      </c>
      <c r="AC46" s="184"/>
      <c r="AD46" s="184"/>
      <c r="AE46" s="107">
        <f t="shared" si="3"/>
        <v>0</v>
      </c>
      <c r="AF46" s="108"/>
      <c r="AG46" s="797"/>
      <c r="AH46" s="113"/>
      <c r="AI46" s="110"/>
      <c r="AJ46" s="191"/>
      <c r="AL46" s="111"/>
      <c r="AM46" s="111"/>
    </row>
    <row r="47" spans="1:39" ht="15">
      <c r="A47" s="772"/>
      <c r="B47" s="180"/>
      <c r="C47" s="178"/>
      <c r="D47" s="103" t="e">
        <f>VLOOKUP(C47,'MASTER Name List'!$B$3:$M$186,2,FALSE)</f>
        <v>#N/A</v>
      </c>
      <c r="E47" s="173"/>
      <c r="F47" s="104"/>
      <c r="G47" s="104"/>
      <c r="H47" s="1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104"/>
      <c r="V47" s="104"/>
      <c r="W47" s="104"/>
      <c r="X47" s="104"/>
      <c r="Y47" s="104"/>
      <c r="Z47" s="104"/>
      <c r="AA47" s="112" t="str">
        <f t="shared" si="2"/>
        <v>0</v>
      </c>
      <c r="AB47" s="106">
        <v>50</v>
      </c>
      <c r="AC47" s="184"/>
      <c r="AD47" s="184"/>
      <c r="AE47" s="107">
        <f t="shared" si="3"/>
        <v>0</v>
      </c>
      <c r="AF47" s="108"/>
      <c r="AG47" s="797"/>
      <c r="AH47" s="113"/>
      <c r="AI47" s="110"/>
      <c r="AJ47" s="191"/>
      <c r="AL47" s="111"/>
      <c r="AM47" s="111"/>
    </row>
    <row r="48" spans="1:39" ht="15">
      <c r="A48" s="772"/>
      <c r="B48" s="180"/>
      <c r="C48" s="178"/>
      <c r="D48" s="103" t="e">
        <f>VLOOKUP(C48,'MASTER Name List'!$B$3:$M$186,2,FALSE)</f>
        <v>#N/A</v>
      </c>
      <c r="E48" s="173"/>
      <c r="F48" s="104"/>
      <c r="G48" s="104"/>
      <c r="H48" s="1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104"/>
      <c r="V48" s="104"/>
      <c r="W48" s="104"/>
      <c r="X48" s="104"/>
      <c r="Y48" s="104"/>
      <c r="Z48" s="104"/>
      <c r="AA48" s="112" t="str">
        <f t="shared" si="2"/>
        <v>0</v>
      </c>
      <c r="AB48" s="106">
        <v>50</v>
      </c>
      <c r="AC48" s="184"/>
      <c r="AD48" s="184"/>
      <c r="AE48" s="107">
        <f t="shared" si="3"/>
        <v>0</v>
      </c>
      <c r="AF48" s="108"/>
      <c r="AG48" s="797"/>
      <c r="AH48" s="113"/>
      <c r="AI48" s="110"/>
      <c r="AJ48" s="191"/>
      <c r="AL48" s="111"/>
      <c r="AM48" s="111"/>
    </row>
    <row r="49" spans="1:39" ht="15">
      <c r="A49" s="772"/>
      <c r="B49" s="180"/>
      <c r="C49" s="178"/>
      <c r="D49" s="103" t="e">
        <f>VLOOKUP(C49,'MASTER Name List'!$B$3:$M$186,2,FALSE)</f>
        <v>#N/A</v>
      </c>
      <c r="E49" s="173"/>
      <c r="F49" s="104"/>
      <c r="G49" s="104"/>
      <c r="H49" s="1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104"/>
      <c r="V49" s="104"/>
      <c r="W49" s="104"/>
      <c r="X49" s="104"/>
      <c r="Y49" s="104"/>
      <c r="Z49" s="104"/>
      <c r="AA49" s="112" t="str">
        <f t="shared" si="2"/>
        <v>0</v>
      </c>
      <c r="AB49" s="106">
        <v>50</v>
      </c>
      <c r="AC49" s="184"/>
      <c r="AD49" s="184"/>
      <c r="AE49" s="107">
        <f t="shared" si="3"/>
        <v>0</v>
      </c>
      <c r="AF49" s="108"/>
      <c r="AG49" s="797"/>
      <c r="AH49" s="113"/>
      <c r="AI49" s="110"/>
      <c r="AJ49" s="191"/>
      <c r="AL49" s="111"/>
      <c r="AM49" s="111"/>
    </row>
    <row r="50" spans="1:39" ht="15">
      <c r="A50" s="772"/>
      <c r="B50" s="178"/>
      <c r="C50" s="178"/>
      <c r="D50" s="103"/>
      <c r="E50" s="175"/>
      <c r="F50" s="117"/>
      <c r="G50" s="117"/>
      <c r="H50" s="11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117"/>
      <c r="V50" s="117"/>
      <c r="W50" s="117"/>
      <c r="X50" s="117"/>
      <c r="Y50" s="117"/>
      <c r="Z50" s="117"/>
      <c r="AA50" s="117"/>
      <c r="AB50" s="118"/>
      <c r="AC50" s="184"/>
      <c r="AD50" s="184"/>
      <c r="AE50" s="107">
        <f t="shared" si="3"/>
        <v>0</v>
      </c>
      <c r="AF50" s="108"/>
      <c r="AG50" s="797"/>
      <c r="AH50" s="113"/>
      <c r="AI50" s="120"/>
      <c r="AJ50" s="191"/>
      <c r="AL50" s="111"/>
      <c r="AM50" s="111"/>
    </row>
    <row r="51" spans="1:39" ht="15">
      <c r="A51" s="772"/>
      <c r="B51" s="181"/>
      <c r="C51" s="182"/>
      <c r="D51" s="121"/>
      <c r="E51" s="176"/>
      <c r="F51" s="122"/>
      <c r="G51" s="122"/>
      <c r="H51" s="122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122"/>
      <c r="V51" s="122"/>
      <c r="W51" s="122"/>
      <c r="X51" s="122"/>
      <c r="Y51" s="122"/>
      <c r="Z51" s="122"/>
      <c r="AA51" s="122"/>
      <c r="AB51" s="123"/>
      <c r="AC51" s="124"/>
      <c r="AD51" s="124"/>
      <c r="AE51" s="124"/>
      <c r="AF51" s="125"/>
      <c r="AG51" s="126"/>
      <c r="AH51" s="126"/>
      <c r="AI51" s="126"/>
    </row>
    <row r="52" spans="1:39" ht="15">
      <c r="B52" s="127"/>
      <c r="C52" s="127"/>
      <c r="AC52" s="128"/>
      <c r="AD52" s="128"/>
      <c r="AE52" s="128"/>
      <c r="AF52" s="129"/>
    </row>
    <row r="53" spans="1:39" ht="15.6" thickBot="1">
      <c r="B53" s="127"/>
      <c r="C53" s="127"/>
      <c r="AC53" s="130">
        <f>SUM(AC8:AC52)</f>
        <v>3550</v>
      </c>
      <c r="AD53" s="130">
        <f>SUM(AD8:AD52)</f>
        <v>0</v>
      </c>
      <c r="AE53" s="130">
        <f>SUM(AE8:AE52)</f>
        <v>1600</v>
      </c>
      <c r="AF53" s="131"/>
      <c r="AG53" s="132">
        <f>SUM(AG8:AG52)</f>
        <v>3550</v>
      </c>
    </row>
    <row r="54" spans="1:39" ht="15" thickTop="1">
      <c r="AC54" s="133"/>
      <c r="AD54" s="133"/>
      <c r="AE54" s="133"/>
      <c r="AF54" s="129"/>
    </row>
    <row r="55" spans="1:39" s="84" customFormat="1">
      <c r="E55" s="81"/>
      <c r="AB55" s="85"/>
      <c r="AC55" s="134"/>
      <c r="AD55" s="134"/>
      <c r="AE55" s="134"/>
      <c r="AJ55" s="186"/>
    </row>
  </sheetData>
  <mergeCells count="1">
    <mergeCell ref="AC6:AE6"/>
  </mergeCells>
  <phoneticPr fontId="35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413C3-BB00-49F4-9BF3-B770BE57250B}">
  <sheetPr>
    <tabColor rgb="FF00B0F0"/>
  </sheetPr>
  <dimension ref="A4:U49"/>
  <sheetViews>
    <sheetView zoomScale="110" zoomScaleNormal="110" workbookViewId="0">
      <pane ySplit="8" topLeftCell="A9" activePane="bottomLeft" state="frozen"/>
      <selection activeCell="E38" sqref="E38"/>
      <selection pane="bottomLeft" activeCell="L47" activeCellId="1" sqref="J47 L47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1" ht="15">
      <c r="N4" s="58" t="s">
        <v>569</v>
      </c>
    </row>
    <row r="5" spans="1:21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65"/>
      <c r="O5" s="369"/>
      <c r="P5" s="367"/>
    </row>
    <row r="6" spans="1:21" ht="30" customHeight="1">
      <c r="E6" s="895" t="s">
        <v>4</v>
      </c>
      <c r="F6" s="895"/>
      <c r="G6" s="895"/>
      <c r="J6" s="908" t="s">
        <v>5</v>
      </c>
      <c r="K6" s="909"/>
      <c r="L6" s="910"/>
      <c r="M6" s="370"/>
      <c r="N6" s="371" t="s">
        <v>444</v>
      </c>
      <c r="O6" s="372"/>
    </row>
    <row r="7" spans="1:21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377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1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1" ht="15">
      <c r="A9" s="772">
        <v>45810</v>
      </c>
      <c r="B9" s="177" t="s">
        <v>570</v>
      </c>
      <c r="C9" s="178">
        <v>178</v>
      </c>
      <c r="D9" s="390" t="str">
        <f>VLOOKUP(C9,'MASTER Name List'!$B$3:$M$186,2,FALSE)</f>
        <v>颜美葒</v>
      </c>
      <c r="E9" s="420">
        <v>45870</v>
      </c>
      <c r="F9" s="420">
        <v>45901</v>
      </c>
      <c r="G9" s="391" t="s">
        <v>571</v>
      </c>
      <c r="H9" s="422">
        <f t="shared" ref="H9:H23" si="0">DATEDIF(E9,F9,"M")+1</f>
        <v>2</v>
      </c>
      <c r="I9" s="392">
        <v>50</v>
      </c>
      <c r="J9" s="107">
        <f>IF($C9="","-",$H9*$I9)</f>
        <v>100</v>
      </c>
      <c r="K9" s="184"/>
      <c r="L9" s="184"/>
      <c r="M9" s="108">
        <v>1</v>
      </c>
      <c r="N9" s="814"/>
      <c r="O9" s="423"/>
      <c r="P9" s="330" t="s">
        <v>572</v>
      </c>
      <c r="Q9" s="395"/>
      <c r="S9" s="396"/>
      <c r="T9" s="396"/>
    </row>
    <row r="10" spans="1:21" ht="15">
      <c r="A10" s="772">
        <v>45811</v>
      </c>
      <c r="B10" s="177" t="s">
        <v>573</v>
      </c>
      <c r="C10" s="178">
        <v>4</v>
      </c>
      <c r="D10" s="390" t="str">
        <f>VLOOKUP(C10,'MASTER Name List'!$B$3:$M$186,2,FALSE)</f>
        <v>邹运金</v>
      </c>
      <c r="E10" s="420">
        <v>45778</v>
      </c>
      <c r="F10" s="420">
        <v>45809</v>
      </c>
      <c r="G10" s="391" t="s">
        <v>517</v>
      </c>
      <c r="H10" s="422">
        <f t="shared" si="0"/>
        <v>2</v>
      </c>
      <c r="I10" s="392">
        <v>50</v>
      </c>
      <c r="J10" s="107">
        <f t="shared" ref="J10:J23" si="1">IF($C10="","-",$H10*$I10)</f>
        <v>100</v>
      </c>
      <c r="K10" s="184"/>
      <c r="L10" s="184"/>
      <c r="M10" s="108">
        <v>1</v>
      </c>
      <c r="N10" s="814"/>
      <c r="O10" s="110"/>
      <c r="P10" s="114"/>
      <c r="Q10" s="399"/>
      <c r="S10" s="396"/>
      <c r="T10" s="396"/>
      <c r="U10" s="240">
        <v>45536</v>
      </c>
    </row>
    <row r="11" spans="1:21" ht="15">
      <c r="A11" s="772">
        <v>45812</v>
      </c>
      <c r="B11" s="177" t="s">
        <v>574</v>
      </c>
      <c r="C11" s="178">
        <v>177</v>
      </c>
      <c r="D11" s="390" t="str">
        <f>VLOOKUP(C11,'MASTER Name List'!$B$3:$M$186,2,FALSE)</f>
        <v>陈桂香</v>
      </c>
      <c r="E11" s="420">
        <v>45839</v>
      </c>
      <c r="F11" s="420">
        <v>45992</v>
      </c>
      <c r="G11" s="391" t="s">
        <v>575</v>
      </c>
      <c r="H11" s="422">
        <f t="shared" si="0"/>
        <v>6</v>
      </c>
      <c r="I11" s="392">
        <v>50</v>
      </c>
      <c r="J11" s="107">
        <f t="shared" si="1"/>
        <v>300</v>
      </c>
      <c r="K11" s="184"/>
      <c r="L11" s="184"/>
      <c r="M11" s="108">
        <v>1</v>
      </c>
      <c r="N11" s="424"/>
      <c r="O11" s="110"/>
      <c r="P11" s="114"/>
      <c r="Q11" s="399"/>
      <c r="S11" s="396"/>
      <c r="T11" s="396"/>
      <c r="U11" s="240">
        <v>45566</v>
      </c>
    </row>
    <row r="12" spans="1:21" ht="15">
      <c r="A12" s="772">
        <v>45813</v>
      </c>
      <c r="B12" s="177" t="s">
        <v>576</v>
      </c>
      <c r="C12" s="178">
        <v>226</v>
      </c>
      <c r="D12" s="390" t="str">
        <f>VLOOKUP(C12,'MASTER Name List'!$B$3:$M$186,2,FALSE)</f>
        <v>锺镒壕</v>
      </c>
      <c r="E12" s="420">
        <v>45748</v>
      </c>
      <c r="F12" s="420">
        <v>45809</v>
      </c>
      <c r="G12" s="391" t="s">
        <v>477</v>
      </c>
      <c r="H12" s="422">
        <f t="shared" si="0"/>
        <v>3</v>
      </c>
      <c r="I12" s="392">
        <v>50</v>
      </c>
      <c r="J12" s="107">
        <f t="shared" si="1"/>
        <v>150</v>
      </c>
      <c r="K12" s="184"/>
      <c r="L12" s="184"/>
      <c r="M12" s="108">
        <v>1</v>
      </c>
      <c r="N12" s="814">
        <f>SUMIF(M:M,"1",J:J)</f>
        <v>650</v>
      </c>
      <c r="O12" s="110" t="s">
        <v>578</v>
      </c>
      <c r="P12" s="114"/>
      <c r="Q12" s="399"/>
      <c r="S12" s="396"/>
      <c r="T12" s="396"/>
      <c r="U12" s="240">
        <v>45597</v>
      </c>
    </row>
    <row r="13" spans="1:21" ht="15">
      <c r="A13" s="772">
        <v>45816</v>
      </c>
      <c r="B13" s="177" t="s">
        <v>579</v>
      </c>
      <c r="C13" s="178">
        <v>114</v>
      </c>
      <c r="D13" s="390" t="str">
        <f>VLOOKUP(C13,'MASTER Name List'!$B$3:$M$186,2,FALSE)</f>
        <v>刁修淋</v>
      </c>
      <c r="E13" s="420">
        <v>45778</v>
      </c>
      <c r="F13" s="420">
        <v>45870</v>
      </c>
      <c r="G13" s="391" t="s">
        <v>536</v>
      </c>
      <c r="H13" s="422">
        <f t="shared" si="0"/>
        <v>4</v>
      </c>
      <c r="I13" s="392">
        <v>50</v>
      </c>
      <c r="J13" s="107">
        <f t="shared" si="1"/>
        <v>200</v>
      </c>
      <c r="K13" s="184"/>
      <c r="L13" s="184"/>
      <c r="M13" s="108">
        <v>2</v>
      </c>
      <c r="N13" s="814"/>
      <c r="O13" s="110"/>
      <c r="P13" s="114"/>
      <c r="Q13" s="399"/>
      <c r="S13" s="396"/>
      <c r="T13" s="396"/>
      <c r="U13" s="240">
        <v>45627</v>
      </c>
    </row>
    <row r="14" spans="1:21" ht="15">
      <c r="A14" s="772">
        <v>45818</v>
      </c>
      <c r="B14" s="177" t="s">
        <v>580</v>
      </c>
      <c r="C14" s="178">
        <v>23</v>
      </c>
      <c r="D14" s="390" t="str">
        <f>VLOOKUP(C14,'MASTER Name List'!$B$3:$M$186,2,FALSE)</f>
        <v>罗彩瑛</v>
      </c>
      <c r="E14" s="420">
        <v>45839</v>
      </c>
      <c r="F14" s="420">
        <v>45870</v>
      </c>
      <c r="G14" s="391" t="s">
        <v>581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108">
        <v>2</v>
      </c>
      <c r="N14" s="814"/>
      <c r="O14" s="110"/>
      <c r="P14" s="114"/>
      <c r="Q14" s="399"/>
      <c r="S14" s="396"/>
      <c r="T14" s="396"/>
      <c r="U14" s="400">
        <v>45658</v>
      </c>
    </row>
    <row r="15" spans="1:21" ht="15">
      <c r="A15" s="772">
        <v>45818</v>
      </c>
      <c r="B15" s="177" t="s">
        <v>582</v>
      </c>
      <c r="C15" s="178">
        <v>96</v>
      </c>
      <c r="D15" s="390" t="str">
        <f>VLOOKUP(C15,'MASTER Name List'!$B$3:$M$186,2,FALSE)</f>
        <v>余丽苹</v>
      </c>
      <c r="E15" s="420">
        <v>45839</v>
      </c>
      <c r="F15" s="420">
        <v>45992</v>
      </c>
      <c r="G15" s="391" t="s">
        <v>583</v>
      </c>
      <c r="H15" s="422">
        <f t="shared" si="0"/>
        <v>6</v>
      </c>
      <c r="I15" s="392">
        <v>50</v>
      </c>
      <c r="J15" s="107">
        <f t="shared" si="1"/>
        <v>300</v>
      </c>
      <c r="K15" s="184"/>
      <c r="L15" s="184"/>
      <c r="M15" s="108">
        <v>2</v>
      </c>
      <c r="N15" s="814"/>
      <c r="O15" s="110"/>
      <c r="P15" s="114"/>
      <c r="Q15" s="399"/>
      <c r="S15" s="396"/>
      <c r="T15" s="396"/>
      <c r="U15" s="400">
        <v>45689</v>
      </c>
    </row>
    <row r="16" spans="1:21" ht="15">
      <c r="A16" s="772">
        <v>45818</v>
      </c>
      <c r="B16" s="177" t="s">
        <v>584</v>
      </c>
      <c r="C16" s="178">
        <v>106</v>
      </c>
      <c r="D16" s="390" t="str">
        <f>VLOOKUP(C16,'MASTER Name List'!$B$3:$M$186,2,FALSE)</f>
        <v>文渼媄</v>
      </c>
      <c r="E16" s="420">
        <v>45839</v>
      </c>
      <c r="F16" s="420">
        <v>45992</v>
      </c>
      <c r="G16" s="391" t="s">
        <v>583</v>
      </c>
      <c r="H16" s="422">
        <f t="shared" si="0"/>
        <v>6</v>
      </c>
      <c r="I16" s="392">
        <v>50</v>
      </c>
      <c r="J16" s="107">
        <f t="shared" si="1"/>
        <v>300</v>
      </c>
      <c r="K16" s="184"/>
      <c r="L16" s="184"/>
      <c r="M16" s="108">
        <v>2</v>
      </c>
      <c r="N16" s="814"/>
      <c r="O16" s="110"/>
      <c r="P16" s="114"/>
      <c r="Q16" s="399"/>
      <c r="S16" s="396"/>
      <c r="T16" s="396"/>
      <c r="U16" s="400">
        <v>45717</v>
      </c>
    </row>
    <row r="17" spans="1:21" ht="15">
      <c r="A17" s="772">
        <v>45818</v>
      </c>
      <c r="B17" s="177" t="s">
        <v>585</v>
      </c>
      <c r="C17" s="178">
        <v>228</v>
      </c>
      <c r="D17" s="390" t="str">
        <f>VLOOKUP(C17,'MASTER Name List'!$B$3:$M$186,2,FALSE)</f>
        <v>黄诗霞</v>
      </c>
      <c r="E17" s="420">
        <v>45839</v>
      </c>
      <c r="F17" s="420">
        <v>46174</v>
      </c>
      <c r="G17" s="391" t="s">
        <v>586</v>
      </c>
      <c r="H17" s="422">
        <f t="shared" si="0"/>
        <v>12</v>
      </c>
      <c r="I17" s="392">
        <v>50</v>
      </c>
      <c r="J17" s="107">
        <f t="shared" si="1"/>
        <v>600</v>
      </c>
      <c r="K17" s="184"/>
      <c r="L17" s="184"/>
      <c r="M17" s="108">
        <v>2</v>
      </c>
      <c r="N17" s="814"/>
      <c r="O17" s="110"/>
      <c r="P17" s="114"/>
      <c r="Q17" s="399"/>
      <c r="S17" s="396"/>
      <c r="T17" s="396"/>
      <c r="U17" s="400">
        <v>45748</v>
      </c>
    </row>
    <row r="18" spans="1:21" ht="15">
      <c r="A18" s="772">
        <v>45823</v>
      </c>
      <c r="B18" s="177" t="s">
        <v>587</v>
      </c>
      <c r="C18" s="178">
        <v>42</v>
      </c>
      <c r="D18" s="390" t="str">
        <f>VLOOKUP(C18,'MASTER Name List'!$B$3:$M$186,2,FALSE)</f>
        <v>李俐赪</v>
      </c>
      <c r="E18" s="420">
        <v>45839</v>
      </c>
      <c r="F18" s="420">
        <v>45992</v>
      </c>
      <c r="G18" s="391" t="s">
        <v>583</v>
      </c>
      <c r="H18" s="422">
        <f t="shared" si="0"/>
        <v>6</v>
      </c>
      <c r="I18" s="392">
        <v>50</v>
      </c>
      <c r="J18" s="107">
        <f t="shared" si="1"/>
        <v>300</v>
      </c>
      <c r="K18" s="184"/>
      <c r="L18" s="184"/>
      <c r="M18" s="108">
        <v>2</v>
      </c>
      <c r="N18" s="814">
        <f>SUMIF(M:M,"2",J:J)</f>
        <v>1800</v>
      </c>
      <c r="O18" s="110" t="s">
        <v>588</v>
      </c>
      <c r="P18" s="114"/>
      <c r="Q18" s="399"/>
      <c r="S18" s="396"/>
      <c r="T18" s="396"/>
      <c r="U18" s="400">
        <v>45778</v>
      </c>
    </row>
    <row r="19" spans="1:21" ht="15">
      <c r="A19" s="772">
        <v>45830</v>
      </c>
      <c r="B19" s="177" t="s">
        <v>589</v>
      </c>
      <c r="C19" s="178">
        <v>170</v>
      </c>
      <c r="D19" s="390" t="str">
        <f>VLOOKUP(C19,'MASTER Name List'!$B$3:$M$186,2,FALSE)</f>
        <v>陈柔霓</v>
      </c>
      <c r="E19" s="420">
        <v>45778</v>
      </c>
      <c r="F19" s="420">
        <v>45809</v>
      </c>
      <c r="G19" s="401" t="s">
        <v>517</v>
      </c>
      <c r="H19" s="422">
        <f t="shared" si="0"/>
        <v>2</v>
      </c>
      <c r="I19" s="392">
        <v>50</v>
      </c>
      <c r="J19" s="107">
        <f t="shared" si="1"/>
        <v>100</v>
      </c>
      <c r="K19" s="184"/>
      <c r="L19" s="184"/>
      <c r="M19" s="108">
        <v>3</v>
      </c>
      <c r="N19" s="814"/>
      <c r="O19" s="110"/>
      <c r="P19" s="114"/>
      <c r="Q19" s="399"/>
      <c r="S19" s="396"/>
      <c r="T19" s="396"/>
      <c r="U19" s="400">
        <v>45809</v>
      </c>
    </row>
    <row r="20" spans="1:21" ht="15">
      <c r="A20" s="772">
        <v>45832</v>
      </c>
      <c r="B20" s="177" t="s">
        <v>590</v>
      </c>
      <c r="C20" s="178">
        <v>132</v>
      </c>
      <c r="D20" s="390" t="str">
        <f>VLOOKUP(C20,'MASTER Name List'!$B$3:$M$186,2,FALSE)</f>
        <v>陈杍䍿</v>
      </c>
      <c r="E20" s="420">
        <v>45809</v>
      </c>
      <c r="F20" s="420">
        <v>45870</v>
      </c>
      <c r="G20" s="401" t="s">
        <v>591</v>
      </c>
      <c r="H20" s="422">
        <f t="shared" si="0"/>
        <v>3</v>
      </c>
      <c r="I20" s="392">
        <v>50</v>
      </c>
      <c r="J20" s="107">
        <f t="shared" si="1"/>
        <v>150</v>
      </c>
      <c r="K20" s="184"/>
      <c r="L20" s="184"/>
      <c r="M20" s="108">
        <v>3</v>
      </c>
      <c r="N20" s="814"/>
      <c r="O20" s="110"/>
      <c r="P20" s="114"/>
      <c r="Q20" s="399"/>
      <c r="S20" s="396"/>
      <c r="T20" s="396"/>
      <c r="U20" s="400">
        <v>45839</v>
      </c>
    </row>
    <row r="21" spans="1:21" ht="15">
      <c r="A21" s="772">
        <v>45833</v>
      </c>
      <c r="B21" s="177" t="s">
        <v>592</v>
      </c>
      <c r="C21" s="178">
        <v>99</v>
      </c>
      <c r="D21" s="390" t="str">
        <f>VLOOKUP(C21,'MASTER Name List'!$B$3:$M$186,2,FALSE)</f>
        <v>吴毓遴</v>
      </c>
      <c r="E21" s="420">
        <v>45778</v>
      </c>
      <c r="F21" s="420">
        <v>45992</v>
      </c>
      <c r="G21" s="401" t="s">
        <v>593</v>
      </c>
      <c r="H21" s="422">
        <f t="shared" si="0"/>
        <v>8</v>
      </c>
      <c r="I21" s="392">
        <v>50</v>
      </c>
      <c r="J21" s="107">
        <f t="shared" si="1"/>
        <v>400</v>
      </c>
      <c r="K21" s="184"/>
      <c r="L21" s="184"/>
      <c r="M21" s="108">
        <v>3</v>
      </c>
      <c r="N21" s="814"/>
      <c r="O21" s="110"/>
      <c r="P21" s="114"/>
      <c r="Q21" s="399"/>
      <c r="S21" s="396"/>
      <c r="T21" s="396"/>
      <c r="U21" s="400">
        <v>45870</v>
      </c>
    </row>
    <row r="22" spans="1:21" ht="15">
      <c r="A22" s="772">
        <v>45834</v>
      </c>
      <c r="B22" s="177" t="s">
        <v>594</v>
      </c>
      <c r="C22" s="178">
        <v>62</v>
      </c>
      <c r="D22" s="390" t="str">
        <f>VLOOKUP(C22,'MASTER Name List'!$B$3:$M$186,2,FALSE)</f>
        <v>叶淑芳</v>
      </c>
      <c r="E22" s="420">
        <v>45839</v>
      </c>
      <c r="F22" s="420">
        <v>45992</v>
      </c>
      <c r="G22" s="401" t="s">
        <v>583</v>
      </c>
      <c r="H22" s="422">
        <f t="shared" si="0"/>
        <v>6</v>
      </c>
      <c r="I22" s="392">
        <v>50</v>
      </c>
      <c r="J22" s="107">
        <f t="shared" si="1"/>
        <v>300</v>
      </c>
      <c r="K22" s="184"/>
      <c r="L22" s="184"/>
      <c r="M22" s="108">
        <v>3</v>
      </c>
      <c r="N22" s="814">
        <f>SUMIF(M:M,"3",J:J)</f>
        <v>950</v>
      </c>
      <c r="O22" s="110" t="s">
        <v>595</v>
      </c>
      <c r="P22" s="114"/>
      <c r="Q22" s="399"/>
      <c r="S22" s="396"/>
      <c r="T22" s="396"/>
      <c r="U22" s="400">
        <v>45901</v>
      </c>
    </row>
    <row r="23" spans="1:21" ht="15">
      <c r="A23" s="772">
        <v>45838</v>
      </c>
      <c r="B23" s="177" t="s">
        <v>596</v>
      </c>
      <c r="C23" s="178">
        <v>214</v>
      </c>
      <c r="D23" s="390" t="str">
        <f>VLOOKUP(C23,'MASTER Name List'!$B$3:$M$186,2,FALSE)</f>
        <v>苏淑禛</v>
      </c>
      <c r="E23" s="420">
        <v>45839</v>
      </c>
      <c r="F23" s="420">
        <v>45901</v>
      </c>
      <c r="G23" s="402" t="s">
        <v>597</v>
      </c>
      <c r="H23" s="422">
        <f t="shared" si="0"/>
        <v>3</v>
      </c>
      <c r="I23" s="392">
        <v>50</v>
      </c>
      <c r="J23" s="107">
        <f t="shared" si="1"/>
        <v>150</v>
      </c>
      <c r="K23" s="184"/>
      <c r="L23" s="184"/>
      <c r="M23" s="108">
        <v>4</v>
      </c>
      <c r="N23" s="814">
        <f>SUMIF(M:M,"4",J:J)</f>
        <v>150</v>
      </c>
      <c r="O23" s="110" t="s">
        <v>598</v>
      </c>
      <c r="P23" s="110"/>
      <c r="Q23" s="399"/>
      <c r="S23" s="396"/>
      <c r="T23" s="396"/>
      <c r="U23" s="400">
        <v>45931</v>
      </c>
    </row>
    <row r="24" spans="1:21" ht="15">
      <c r="A24" s="772"/>
      <c r="B24" s="177"/>
      <c r="C24" s="178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5"/>
      <c r="O24" s="394"/>
      <c r="P24" s="394"/>
      <c r="Q24" s="399"/>
      <c r="S24" s="396"/>
      <c r="T24" s="396"/>
      <c r="U24" s="400">
        <v>45962</v>
      </c>
    </row>
    <row r="25" spans="1:21" ht="15">
      <c r="A25" s="806"/>
      <c r="B25" s="179" t="s">
        <v>487</v>
      </c>
      <c r="C25" s="211"/>
      <c r="D25" s="212"/>
      <c r="E25" s="213"/>
      <c r="F25" s="420"/>
      <c r="G25" s="391"/>
      <c r="H25" s="406"/>
      <c r="I25" s="392"/>
      <c r="J25" s="107"/>
      <c r="K25" s="107"/>
      <c r="L25" s="107"/>
      <c r="M25" s="108"/>
      <c r="N25" s="815"/>
      <c r="O25" s="394"/>
      <c r="P25" s="394"/>
      <c r="Q25" s="399"/>
      <c r="S25" s="396"/>
      <c r="T25" s="396"/>
      <c r="U25" s="400">
        <v>45992</v>
      </c>
    </row>
    <row r="26" spans="1:21" ht="15">
      <c r="A26" s="772">
        <v>45810</v>
      </c>
      <c r="B26" s="810" t="s">
        <v>618</v>
      </c>
      <c r="C26" s="178">
        <v>80</v>
      </c>
      <c r="D26" s="390" t="str">
        <f>VLOOKUP(C26,'MASTER Name List'!$B$3:$M$186,2,FALSE)</f>
        <v>黄淑芬</v>
      </c>
      <c r="E26" s="420">
        <v>45809</v>
      </c>
      <c r="F26" s="420">
        <v>45809</v>
      </c>
      <c r="G26" s="391">
        <v>45809</v>
      </c>
      <c r="H26" s="422">
        <f t="shared" ref="H26:H43" si="2">DATEDIF(E26,F26,"M")+1</f>
        <v>1</v>
      </c>
      <c r="I26" s="392">
        <v>50</v>
      </c>
      <c r="J26" s="184"/>
      <c r="K26" s="184"/>
      <c r="L26" s="107">
        <f>IF($C26="","-",$H26*$I26)</f>
        <v>50</v>
      </c>
      <c r="M26" s="108"/>
      <c r="N26" s="815"/>
      <c r="O26" s="394" t="s">
        <v>491</v>
      </c>
      <c r="P26" s="110" t="s">
        <v>125</v>
      </c>
      <c r="Q26" s="813" t="s">
        <v>179</v>
      </c>
      <c r="R26" s="80"/>
      <c r="S26" s="111" t="s">
        <v>599</v>
      </c>
      <c r="T26" s="396"/>
      <c r="U26" s="400">
        <v>46023</v>
      </c>
    </row>
    <row r="27" spans="1:21" ht="15">
      <c r="A27" s="772">
        <v>45810</v>
      </c>
      <c r="B27" s="810" t="s">
        <v>619</v>
      </c>
      <c r="C27" s="178">
        <v>224</v>
      </c>
      <c r="D27" s="390" t="str">
        <f>VLOOKUP(C27,'MASTER Name List'!$B$3:$M$186,2,FALSE)</f>
        <v xml:space="preserve">黄文勝 </v>
      </c>
      <c r="E27" s="420">
        <v>45809</v>
      </c>
      <c r="F27" s="420">
        <v>45809</v>
      </c>
      <c r="G27" s="391">
        <v>45809</v>
      </c>
      <c r="H27" s="422">
        <f t="shared" si="2"/>
        <v>1</v>
      </c>
      <c r="I27" s="392">
        <v>50</v>
      </c>
      <c r="J27" s="184"/>
      <c r="K27" s="184"/>
      <c r="L27" s="107">
        <f t="shared" ref="L27:L44" si="3">IF($C27="","-",$H27*$I27)</f>
        <v>50</v>
      </c>
      <c r="M27" s="108"/>
      <c r="N27" s="815"/>
      <c r="O27" s="394"/>
      <c r="P27" s="110" t="s">
        <v>125</v>
      </c>
      <c r="Q27" s="325" t="s">
        <v>179</v>
      </c>
      <c r="R27" s="80"/>
      <c r="S27" s="111" t="s">
        <v>600</v>
      </c>
      <c r="T27" s="396"/>
      <c r="U27" s="400">
        <v>46054</v>
      </c>
    </row>
    <row r="28" spans="1:21" ht="15">
      <c r="A28" s="772">
        <v>45810</v>
      </c>
      <c r="B28" s="810" t="s">
        <v>620</v>
      </c>
      <c r="C28" s="178">
        <v>116</v>
      </c>
      <c r="D28" s="390" t="str">
        <f>VLOOKUP(C28,'MASTER Name List'!$B$3:$M$186,2,FALSE)</f>
        <v>李薇薇</v>
      </c>
      <c r="E28" s="420">
        <v>45809</v>
      </c>
      <c r="F28" s="420">
        <v>45809</v>
      </c>
      <c r="G28" s="391">
        <v>45809</v>
      </c>
      <c r="H28" s="422">
        <f t="shared" si="2"/>
        <v>1</v>
      </c>
      <c r="I28" s="392">
        <v>50</v>
      </c>
      <c r="J28" s="184"/>
      <c r="K28" s="184"/>
      <c r="L28" s="107">
        <f t="shared" si="3"/>
        <v>50</v>
      </c>
      <c r="M28" s="108"/>
      <c r="N28" s="815"/>
      <c r="O28" s="394"/>
      <c r="P28" s="110" t="s">
        <v>125</v>
      </c>
      <c r="Q28" s="807" t="s">
        <v>133</v>
      </c>
      <c r="R28" s="80"/>
      <c r="S28" s="111"/>
      <c r="T28" s="396"/>
      <c r="U28" s="400">
        <v>46082</v>
      </c>
    </row>
    <row r="29" spans="1:21" ht="15">
      <c r="A29" s="772">
        <v>45810</v>
      </c>
      <c r="B29" s="810" t="s">
        <v>621</v>
      </c>
      <c r="C29" s="178">
        <v>117</v>
      </c>
      <c r="D29" s="390" t="str">
        <f>VLOOKUP(C29,'MASTER Name List'!$B$3:$M$186,2,FALSE)</f>
        <v>张志文</v>
      </c>
      <c r="E29" s="420">
        <v>45809</v>
      </c>
      <c r="F29" s="420">
        <v>45809</v>
      </c>
      <c r="G29" s="391">
        <v>45809</v>
      </c>
      <c r="H29" s="422">
        <f t="shared" si="2"/>
        <v>1</v>
      </c>
      <c r="I29" s="392">
        <v>50</v>
      </c>
      <c r="J29" s="184"/>
      <c r="K29" s="184"/>
      <c r="L29" s="107">
        <f t="shared" si="3"/>
        <v>50</v>
      </c>
      <c r="M29" s="108"/>
      <c r="N29" s="815"/>
      <c r="O29" s="425"/>
      <c r="P29" s="110" t="s">
        <v>125</v>
      </c>
      <c r="Q29" s="807" t="s">
        <v>492</v>
      </c>
      <c r="R29" s="80"/>
      <c r="S29" s="111"/>
      <c r="T29" s="396"/>
      <c r="U29" s="400">
        <v>46113</v>
      </c>
    </row>
    <row r="30" spans="1:21" ht="15">
      <c r="A30" s="772">
        <v>45813</v>
      </c>
      <c r="B30" s="810" t="s">
        <v>622</v>
      </c>
      <c r="C30" s="178">
        <v>52</v>
      </c>
      <c r="D30" s="390" t="str">
        <f>VLOOKUP(C30,'MASTER Name List'!$B$3:$M$186,2,FALSE)</f>
        <v>陈宝蓉</v>
      </c>
      <c r="E30" s="420">
        <v>45778</v>
      </c>
      <c r="F30" s="420">
        <v>45809</v>
      </c>
      <c r="G30" s="391" t="s">
        <v>540</v>
      </c>
      <c r="H30" s="422">
        <f t="shared" si="2"/>
        <v>2</v>
      </c>
      <c r="I30" s="392">
        <v>50</v>
      </c>
      <c r="J30" s="184"/>
      <c r="K30" s="184"/>
      <c r="L30" s="107">
        <f t="shared" si="3"/>
        <v>100</v>
      </c>
      <c r="M30" s="108"/>
      <c r="N30" s="815"/>
      <c r="O30" s="394"/>
      <c r="P30" s="110" t="s">
        <v>125</v>
      </c>
      <c r="Q30" t="s">
        <v>330</v>
      </c>
      <c r="R30" s="80"/>
      <c r="S30" s="111" t="s">
        <v>601</v>
      </c>
      <c r="T30" s="396"/>
      <c r="U30" s="400">
        <v>46143</v>
      </c>
    </row>
    <row r="31" spans="1:21" ht="15">
      <c r="A31" s="772">
        <v>45815</v>
      </c>
      <c r="B31" s="810" t="s">
        <v>623</v>
      </c>
      <c r="C31" s="178">
        <v>162</v>
      </c>
      <c r="D31" s="390" t="str">
        <f>VLOOKUP(C31,'MASTER Name List'!$B$3:$M$186,2,FALSE)</f>
        <v>方惠贤</v>
      </c>
      <c r="E31" s="420">
        <v>45839</v>
      </c>
      <c r="F31" s="420">
        <v>45870</v>
      </c>
      <c r="G31" s="391" t="s">
        <v>602</v>
      </c>
      <c r="H31" s="422">
        <f t="shared" si="2"/>
        <v>2</v>
      </c>
      <c r="I31" s="392">
        <v>50</v>
      </c>
      <c r="J31" s="184"/>
      <c r="K31" s="184"/>
      <c r="L31" s="107">
        <f t="shared" si="3"/>
        <v>100</v>
      </c>
      <c r="M31" s="108"/>
      <c r="N31" s="815"/>
      <c r="O31" s="394"/>
      <c r="P31" s="110" t="s">
        <v>125</v>
      </c>
      <c r="Q31" t="s">
        <v>126</v>
      </c>
      <c r="R31" s="80"/>
      <c r="S31" s="111" t="s">
        <v>603</v>
      </c>
      <c r="T31" s="396"/>
      <c r="U31" s="400">
        <v>46174</v>
      </c>
    </row>
    <row r="32" spans="1:21" ht="15">
      <c r="A32" s="772">
        <v>45815</v>
      </c>
      <c r="B32" s="810" t="s">
        <v>624</v>
      </c>
      <c r="C32" s="178">
        <v>102</v>
      </c>
      <c r="D32" s="390" t="str">
        <f>VLOOKUP(C32,'MASTER Name List'!$B$3:$M$186,2,FALSE)</f>
        <v>戴川凤</v>
      </c>
      <c r="E32" s="420">
        <v>45778</v>
      </c>
      <c r="F32" s="420">
        <v>45809</v>
      </c>
      <c r="G32" s="391" t="s">
        <v>540</v>
      </c>
      <c r="H32" s="422">
        <f t="shared" si="2"/>
        <v>2</v>
      </c>
      <c r="I32" s="392">
        <v>50</v>
      </c>
      <c r="J32" s="184"/>
      <c r="K32" s="184"/>
      <c r="L32" s="107">
        <f t="shared" si="3"/>
        <v>100</v>
      </c>
      <c r="M32" s="108"/>
      <c r="N32" s="815"/>
      <c r="O32" s="394"/>
      <c r="P32" s="110" t="s">
        <v>325</v>
      </c>
      <c r="Q32" s="809"/>
      <c r="R32" s="80"/>
      <c r="S32" s="111" t="s">
        <v>604</v>
      </c>
      <c r="T32" s="396"/>
      <c r="U32" s="400">
        <v>46204</v>
      </c>
    </row>
    <row r="33" spans="1:21" ht="15">
      <c r="A33" s="772">
        <v>45815</v>
      </c>
      <c r="B33" s="810" t="s">
        <v>625</v>
      </c>
      <c r="C33" s="178">
        <v>137</v>
      </c>
      <c r="D33" s="390" t="str">
        <f>VLOOKUP(C33,'MASTER Name List'!$B$3:$M$186,2,FALSE)</f>
        <v>赖美珍</v>
      </c>
      <c r="E33" s="420">
        <v>45809</v>
      </c>
      <c r="F33" s="420">
        <v>45809</v>
      </c>
      <c r="G33" s="391">
        <v>45809</v>
      </c>
      <c r="H33" s="422">
        <f t="shared" si="2"/>
        <v>1</v>
      </c>
      <c r="I33" s="392">
        <v>50</v>
      </c>
      <c r="J33" s="184"/>
      <c r="K33" s="184"/>
      <c r="L33" s="107">
        <f t="shared" si="3"/>
        <v>50</v>
      </c>
      <c r="M33" s="108"/>
      <c r="N33" s="815"/>
      <c r="O33" s="394"/>
      <c r="P33" s="110" t="s">
        <v>605</v>
      </c>
      <c r="Q33" s="809" t="s">
        <v>606</v>
      </c>
      <c r="R33" s="80"/>
      <c r="S33" s="111" t="s">
        <v>542</v>
      </c>
      <c r="T33" s="396"/>
      <c r="U33" s="400">
        <v>46235</v>
      </c>
    </row>
    <row r="34" spans="1:21" ht="15">
      <c r="A34" s="772">
        <v>45815</v>
      </c>
      <c r="B34" s="810" t="s">
        <v>626</v>
      </c>
      <c r="C34" s="178">
        <v>48</v>
      </c>
      <c r="D34" s="390" t="str">
        <f>VLOOKUP(C34,'MASTER Name List'!$B$3:$M$186,2,FALSE)</f>
        <v>叶鏸郧</v>
      </c>
      <c r="E34" s="420">
        <v>45658</v>
      </c>
      <c r="F34" s="420">
        <v>45717</v>
      </c>
      <c r="G34" s="391" t="s">
        <v>607</v>
      </c>
      <c r="H34" s="422">
        <f t="shared" si="2"/>
        <v>3</v>
      </c>
      <c r="I34" s="392">
        <v>50</v>
      </c>
      <c r="J34" s="184"/>
      <c r="K34" s="184"/>
      <c r="L34" s="107">
        <f t="shared" si="3"/>
        <v>150</v>
      </c>
      <c r="M34" s="108"/>
      <c r="N34" s="815"/>
      <c r="O34" s="394"/>
      <c r="P34" s="110" t="s">
        <v>125</v>
      </c>
      <c r="Q34" s="809" t="s">
        <v>608</v>
      </c>
      <c r="R34" s="80"/>
      <c r="S34" s="111" t="s">
        <v>609</v>
      </c>
      <c r="T34" s="396"/>
      <c r="U34" s="400">
        <v>46266</v>
      </c>
    </row>
    <row r="35" spans="1:21" ht="15">
      <c r="A35" s="772">
        <v>45816</v>
      </c>
      <c r="B35" s="810" t="s">
        <v>627</v>
      </c>
      <c r="C35" s="178">
        <v>50</v>
      </c>
      <c r="D35" s="390" t="str">
        <f>VLOOKUP(C35,'MASTER Name List'!$B$3:$M$186,2,FALSE)</f>
        <v>陈俊达</v>
      </c>
      <c r="E35" s="420">
        <v>45658</v>
      </c>
      <c r="F35" s="420">
        <v>45992</v>
      </c>
      <c r="G35" s="391" t="s">
        <v>610</v>
      </c>
      <c r="H35" s="422">
        <f t="shared" si="2"/>
        <v>12</v>
      </c>
      <c r="I35" s="392">
        <v>50</v>
      </c>
      <c r="J35" s="184"/>
      <c r="K35" s="184"/>
      <c r="L35" s="107">
        <f t="shared" si="3"/>
        <v>600</v>
      </c>
      <c r="M35" s="108"/>
      <c r="N35" s="815"/>
      <c r="O35" s="394"/>
      <c r="P35" s="84" t="s">
        <v>125</v>
      </c>
      <c r="Q35" s="809" t="s">
        <v>611</v>
      </c>
      <c r="R35" s="80"/>
      <c r="S35" s="111" t="s">
        <v>612</v>
      </c>
      <c r="T35" s="396"/>
      <c r="U35" s="400">
        <v>46296</v>
      </c>
    </row>
    <row r="36" spans="1:21" ht="15">
      <c r="A36" s="772">
        <v>45817</v>
      </c>
      <c r="B36" s="810" t="s">
        <v>628</v>
      </c>
      <c r="C36" s="178">
        <v>40</v>
      </c>
      <c r="D36" s="390" t="str">
        <f>VLOOKUP(C36,'MASTER Name List'!$B$3:$M$186,2,FALSE)</f>
        <v>何梅歆</v>
      </c>
      <c r="E36" s="420">
        <v>46054</v>
      </c>
      <c r="F36" s="420">
        <v>46082</v>
      </c>
      <c r="G36" s="391" t="s">
        <v>613</v>
      </c>
      <c r="H36" s="422">
        <f t="shared" si="2"/>
        <v>2</v>
      </c>
      <c r="I36" s="392">
        <v>50</v>
      </c>
      <c r="J36" s="184"/>
      <c r="K36" s="184"/>
      <c r="L36" s="107">
        <f t="shared" si="3"/>
        <v>100</v>
      </c>
      <c r="M36" s="108"/>
      <c r="N36" s="815"/>
      <c r="O36" s="394"/>
      <c r="P36" s="113" t="s">
        <v>125</v>
      </c>
      <c r="Q36" s="807" t="s">
        <v>614</v>
      </c>
      <c r="R36" s="80"/>
      <c r="S36" s="111" t="s">
        <v>565</v>
      </c>
      <c r="T36" s="396"/>
      <c r="U36" s="400">
        <v>46327</v>
      </c>
    </row>
    <row r="37" spans="1:21" ht="15">
      <c r="A37" s="772">
        <v>45833</v>
      </c>
      <c r="B37" s="810" t="s">
        <v>629</v>
      </c>
      <c r="C37" s="178">
        <v>64</v>
      </c>
      <c r="D37" s="390" t="str">
        <f>VLOOKUP(C37,'MASTER Name List'!$B$3:$M$186,2,FALSE)</f>
        <v>韦素枝</v>
      </c>
      <c r="E37" s="420">
        <v>45778</v>
      </c>
      <c r="F37" s="420">
        <v>45870</v>
      </c>
      <c r="G37" s="391" t="s">
        <v>615</v>
      </c>
      <c r="H37" s="422">
        <f t="shared" si="2"/>
        <v>4</v>
      </c>
      <c r="I37" s="392">
        <v>50</v>
      </c>
      <c r="J37" s="184"/>
      <c r="K37" s="184"/>
      <c r="L37" s="107">
        <f t="shared" si="3"/>
        <v>200</v>
      </c>
      <c r="M37" s="108"/>
      <c r="N37" s="815"/>
      <c r="O37" s="394"/>
      <c r="P37" s="110" t="s">
        <v>125</v>
      </c>
      <c r="Q37" s="807" t="s">
        <v>616</v>
      </c>
      <c r="R37" s="80"/>
      <c r="S37" s="111" t="s">
        <v>617</v>
      </c>
      <c r="T37" s="396"/>
      <c r="U37" s="400">
        <v>46357</v>
      </c>
    </row>
    <row r="38" spans="1:21" ht="16.2">
      <c r="A38" s="379"/>
      <c r="B38" s="487"/>
      <c r="C38" s="389"/>
      <c r="D38" s="390" t="e">
        <f>VLOOKUP(C38,'MASTER Name List'!$B$3:$M$186,2,FALSE)</f>
        <v>#N/A</v>
      </c>
      <c r="E38" s="420"/>
      <c r="F38" s="420"/>
      <c r="G38" s="391"/>
      <c r="H38" s="422">
        <f t="shared" si="2"/>
        <v>1</v>
      </c>
      <c r="I38" s="392">
        <v>50</v>
      </c>
      <c r="J38" s="184"/>
      <c r="K38" s="184"/>
      <c r="L38" s="107" t="str">
        <f t="shared" si="3"/>
        <v>-</v>
      </c>
      <c r="M38" s="108"/>
      <c r="N38" s="815"/>
      <c r="O38" s="394"/>
      <c r="P38" s="394"/>
      <c r="Q38" s="409"/>
      <c r="S38" s="396"/>
      <c r="T38" s="396"/>
      <c r="U38" s="400">
        <v>46388</v>
      </c>
    </row>
    <row r="39" spans="1:21" ht="16.2">
      <c r="A39" s="379"/>
      <c r="B39" s="487"/>
      <c r="C39" s="389"/>
      <c r="D39" s="390" t="e">
        <f>VLOOKUP(C39,'MASTER Name List'!$B$3:$M$186,2,FALSE)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108"/>
      <c r="N39" s="815"/>
      <c r="O39" s="394"/>
      <c r="P39" s="394"/>
      <c r="Q39" s="409"/>
      <c r="S39" s="396"/>
      <c r="T39" s="396"/>
    </row>
    <row r="40" spans="1:21" ht="16.2">
      <c r="A40" s="379"/>
      <c r="B40" s="48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5"/>
      <c r="O40" s="394"/>
      <c r="P40" s="394"/>
      <c r="Q40" s="409"/>
      <c r="S40" s="396"/>
      <c r="T40" s="396"/>
    </row>
    <row r="41" spans="1:21" ht="16.2">
      <c r="A41" s="379"/>
      <c r="B41" s="48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5"/>
      <c r="O41" s="394"/>
      <c r="P41" s="394"/>
      <c r="Q41" s="409"/>
      <c r="S41" s="396"/>
      <c r="T41" s="396"/>
    </row>
    <row r="42" spans="1:21" ht="16.2">
      <c r="A42" s="379"/>
      <c r="B42" s="48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5"/>
      <c r="O42" s="394"/>
      <c r="P42" s="394"/>
      <c r="Q42" s="409"/>
      <c r="S42" s="396"/>
      <c r="T42" s="396"/>
    </row>
    <row r="43" spans="1:21" ht="16.2">
      <c r="A43" s="379"/>
      <c r="B43" s="48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5"/>
      <c r="O43" s="394"/>
      <c r="P43" s="394"/>
      <c r="Q43" s="409"/>
      <c r="S43" s="396"/>
      <c r="T43" s="396"/>
    </row>
    <row r="44" spans="1:21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3"/>
        <v>-</v>
      </c>
      <c r="M44" s="108"/>
      <c r="N44" s="815"/>
      <c r="O44" s="394"/>
      <c r="P44" s="394"/>
      <c r="Q44" s="409"/>
      <c r="S44" s="396"/>
      <c r="T44" s="396"/>
    </row>
    <row r="45" spans="1:21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</row>
    <row r="46" spans="1:21" ht="15">
      <c r="B46" s="418"/>
      <c r="C46" s="418"/>
      <c r="J46" s="128"/>
      <c r="K46" s="128"/>
      <c r="L46" s="128"/>
      <c r="M46" s="129"/>
    </row>
    <row r="47" spans="1:21" ht="15.6" thickBot="1">
      <c r="B47" s="418"/>
      <c r="C47" s="418"/>
      <c r="J47" s="130">
        <f>SUM(J8:J46)</f>
        <v>3550</v>
      </c>
      <c r="K47" s="130">
        <f>SUM(K8:K46)</f>
        <v>0</v>
      </c>
      <c r="L47" s="130">
        <f>SUM(L8:L46)</f>
        <v>1600</v>
      </c>
      <c r="M47" s="131"/>
      <c r="N47" s="132">
        <f>SUM(N8:N46)</f>
        <v>3550</v>
      </c>
    </row>
    <row r="48" spans="1:21" ht="15" thickTop="1">
      <c r="J48" s="133"/>
      <c r="K48" s="133"/>
      <c r="L48" s="133"/>
      <c r="M48" s="129"/>
    </row>
    <row r="49" spans="7:17" s="363" customFormat="1">
      <c r="G49" s="364"/>
      <c r="I49" s="365"/>
      <c r="J49" s="419"/>
      <c r="K49" s="419"/>
      <c r="L49" s="419"/>
      <c r="Q49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3 E26:F43" xr:uid="{71C74589-875B-470C-BF80-7C77FD3D2FE5}">
      <formula1>$U$10:$U$39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E44-DD0F-4035-90DB-28D1D56E2CAE}">
  <dimension ref="A4:AJ56"/>
  <sheetViews>
    <sheetView zoomScale="90" zoomScaleNormal="90" workbookViewId="0">
      <pane ySplit="8" topLeftCell="A9" activePane="bottomLeft" state="frozen"/>
      <selection pane="bottomLeft" activeCell="AD31" sqref="AD31"/>
    </sheetView>
  </sheetViews>
  <sheetFormatPr defaultColWidth="9.33203125" defaultRowHeight="14.4"/>
  <cols>
    <col min="1" max="1" width="12" style="84" customWidth="1"/>
    <col min="2" max="2" width="14.6640625" style="84" customWidth="1"/>
    <col min="3" max="3" width="10.33203125" style="84" customWidth="1"/>
    <col min="4" max="4" width="16" style="84" customWidth="1"/>
    <col min="5" max="5" width="13" style="81" customWidth="1"/>
    <col min="6" max="8" width="7" style="84" bestFit="1" customWidth="1"/>
    <col min="9" max="9" width="3.6640625" style="84" customWidth="1"/>
    <col min="10" max="10" width="3.5546875" style="84" bestFit="1" customWidth="1"/>
    <col min="11" max="11" width="4.44140625" style="84" bestFit="1" customWidth="1"/>
    <col min="12" max="12" width="3.6640625" style="84" bestFit="1" customWidth="1"/>
    <col min="13" max="13" width="4.44140625" style="84" bestFit="1" customWidth="1"/>
    <col min="14" max="14" width="3.6640625" style="84" bestFit="1" customWidth="1"/>
    <col min="15" max="15" width="3.44140625" style="84" bestFit="1" customWidth="1"/>
    <col min="16" max="16" width="3.44140625" style="84" customWidth="1"/>
    <col min="17" max="17" width="4.33203125" style="84" bestFit="1" customWidth="1"/>
    <col min="18" max="18" width="3.5546875" style="84" bestFit="1" customWidth="1"/>
    <col min="19" max="19" width="4" style="84" bestFit="1" customWidth="1"/>
    <col min="20" max="20" width="4" style="84" customWidth="1"/>
    <col min="21" max="23" width="7" style="84" bestFit="1" customWidth="1"/>
    <col min="24" max="24" width="6.33203125" style="84" bestFit="1" customWidth="1"/>
    <col min="25" max="25" width="7.33203125" style="85" bestFit="1" customWidth="1"/>
    <col min="26" max="26" width="11.6640625" style="84" customWidth="1"/>
    <col min="27" max="28" width="8.5546875" style="84" customWidth="1"/>
    <col min="29" max="29" width="5.5546875" style="84" bestFit="1" customWidth="1"/>
    <col min="30" max="30" width="17.6640625" style="84" customWidth="1"/>
    <col min="31" max="31" width="14.33203125" style="84" customWidth="1"/>
    <col min="32" max="32" width="12.5546875" style="84" customWidth="1"/>
    <col min="33" max="33" width="9.33203125" style="186"/>
    <col min="34" max="35" width="9.33203125" style="80"/>
    <col min="36" max="36" width="10.6640625" style="80" customWidth="1"/>
    <col min="37" max="16384" width="9.33203125" style="80"/>
  </cols>
  <sheetData>
    <row r="4" spans="1:36" ht="15">
      <c r="AD4" s="58" t="s">
        <v>630</v>
      </c>
    </row>
    <row r="5" spans="1:36" ht="16.2">
      <c r="A5" s="4" t="s">
        <v>0</v>
      </c>
      <c r="B5" s="80"/>
      <c r="C5" s="80"/>
      <c r="D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2"/>
      <c r="Z5" s="80"/>
      <c r="AA5" s="80"/>
      <c r="AB5" s="80"/>
      <c r="AC5" s="80"/>
      <c r="AD5" s="26"/>
      <c r="AE5" s="83"/>
      <c r="AF5" s="80"/>
    </row>
    <row r="6" spans="1:36" ht="30" customHeight="1">
      <c r="F6" s="84">
        <v>10</v>
      </c>
      <c r="G6" s="84">
        <v>11</v>
      </c>
      <c r="H6" s="84">
        <v>12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201" t="s">
        <v>514</v>
      </c>
      <c r="V6" s="84">
        <v>2</v>
      </c>
      <c r="W6" s="84">
        <v>3</v>
      </c>
      <c r="Z6" s="902" t="s">
        <v>5</v>
      </c>
      <c r="AA6" s="903"/>
      <c r="AB6" s="904"/>
      <c r="AC6" s="86"/>
      <c r="AD6" s="185" t="s">
        <v>444</v>
      </c>
      <c r="AE6" s="87"/>
    </row>
    <row r="7" spans="1:36" ht="51" customHeight="1">
      <c r="A7" s="88" t="s">
        <v>445</v>
      </c>
      <c r="B7" s="88" t="s">
        <v>446</v>
      </c>
      <c r="C7" s="88" t="s">
        <v>447</v>
      </c>
      <c r="D7" s="88" t="s">
        <v>448</v>
      </c>
      <c r="E7" s="209" t="s">
        <v>515</v>
      </c>
      <c r="F7" s="199">
        <v>45566</v>
      </c>
      <c r="G7" s="199">
        <v>45597</v>
      </c>
      <c r="H7" s="199">
        <v>45627</v>
      </c>
      <c r="I7" s="202" t="s">
        <v>451</v>
      </c>
      <c r="J7" s="202" t="s">
        <v>452</v>
      </c>
      <c r="K7" s="202" t="s">
        <v>453</v>
      </c>
      <c r="L7" s="202" t="s">
        <v>454</v>
      </c>
      <c r="M7" s="202" t="s">
        <v>455</v>
      </c>
      <c r="N7" s="202" t="s">
        <v>456</v>
      </c>
      <c r="O7" s="202" t="s">
        <v>457</v>
      </c>
      <c r="P7" s="202" t="s">
        <v>458</v>
      </c>
      <c r="Q7" s="202" t="s">
        <v>459</v>
      </c>
      <c r="R7" s="202" t="s">
        <v>460</v>
      </c>
      <c r="S7" s="202" t="s">
        <v>461</v>
      </c>
      <c r="T7" s="202" t="s">
        <v>462</v>
      </c>
      <c r="U7" s="200">
        <v>45658</v>
      </c>
      <c r="V7" s="200">
        <v>45689</v>
      </c>
      <c r="W7" s="200">
        <v>45717</v>
      </c>
      <c r="X7" s="89" t="s">
        <v>449</v>
      </c>
      <c r="Y7" s="90" t="s">
        <v>450</v>
      </c>
      <c r="Z7" s="91" t="s">
        <v>463</v>
      </c>
      <c r="AA7" s="91" t="s">
        <v>464</v>
      </c>
      <c r="AB7" s="183" t="s">
        <v>15</v>
      </c>
      <c r="AC7" s="88" t="s">
        <v>465</v>
      </c>
      <c r="AD7" s="88" t="s">
        <v>466</v>
      </c>
      <c r="AE7" s="88" t="s">
        <v>467</v>
      </c>
      <c r="AF7" s="88" t="s">
        <v>18</v>
      </c>
      <c r="AG7" s="187"/>
      <c r="AJ7" s="84"/>
    </row>
    <row r="8" spans="1:36" ht="15">
      <c r="A8" s="92"/>
      <c r="B8" s="93"/>
      <c r="C8" s="94"/>
      <c r="D8" s="95"/>
      <c r="E8" s="96"/>
      <c r="F8" s="97"/>
      <c r="G8" s="97"/>
      <c r="H8" s="97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97"/>
      <c r="V8" s="97"/>
      <c r="W8" s="97"/>
      <c r="X8" s="97"/>
      <c r="Y8" s="98"/>
      <c r="Z8" s="99" t="s">
        <v>468</v>
      </c>
      <c r="AA8" s="99" t="s">
        <v>468</v>
      </c>
      <c r="AB8" s="99"/>
      <c r="AC8" s="100"/>
      <c r="AD8" s="101"/>
      <c r="AE8" s="101"/>
      <c r="AF8" s="102"/>
      <c r="AG8" s="188"/>
    </row>
    <row r="9" spans="1:36" ht="15">
      <c r="A9" s="816"/>
      <c r="B9" s="305" t="s">
        <v>631</v>
      </c>
      <c r="C9" s="306" t="s">
        <v>632</v>
      </c>
      <c r="D9" s="307" t="e">
        <f>VLOOKUP(C9,'MASTER Name List'!$B$3:$M$186,2,FALSE)</f>
        <v>#N/A</v>
      </c>
      <c r="E9" s="817"/>
      <c r="F9" s="308"/>
      <c r="G9" s="308"/>
      <c r="H9" s="308"/>
      <c r="I9" s="204"/>
      <c r="J9" s="204"/>
      <c r="K9" s="204"/>
      <c r="L9" s="205"/>
      <c r="M9" s="205"/>
      <c r="N9" s="205"/>
      <c r="O9" s="204"/>
      <c r="P9" s="204"/>
      <c r="Q9" s="204"/>
      <c r="R9" s="204"/>
      <c r="S9" s="204"/>
      <c r="T9" s="204"/>
      <c r="U9" s="308"/>
      <c r="V9" s="308"/>
      <c r="W9" s="308"/>
      <c r="X9" s="105" t="str">
        <f>COUNTIF($F9:$W9,"X") &amp; ""</f>
        <v>0</v>
      </c>
      <c r="Y9" s="106">
        <v>50</v>
      </c>
      <c r="Z9" s="107">
        <f>COUNTIF($F9:$W9,"X")*$Y9</f>
        <v>0</v>
      </c>
      <c r="AA9" s="184"/>
      <c r="AB9" s="184"/>
      <c r="AC9" s="108"/>
      <c r="AD9" s="797"/>
      <c r="AE9" s="109"/>
      <c r="AF9" s="330" t="s">
        <v>572</v>
      </c>
      <c r="AG9" s="189"/>
      <c r="AI9" s="111"/>
      <c r="AJ9" s="111"/>
    </row>
    <row r="10" spans="1:36" ht="15">
      <c r="A10" s="772">
        <v>45840</v>
      </c>
      <c r="B10" s="177" t="s">
        <v>633</v>
      </c>
      <c r="C10" s="178">
        <v>4</v>
      </c>
      <c r="D10" s="103" t="str">
        <f>VLOOKUP(C10,'MASTER Name List'!$B$3:$M$186,2,FALSE)</f>
        <v>邹运金</v>
      </c>
      <c r="E10" s="796" t="s">
        <v>581</v>
      </c>
      <c r="F10" s="104"/>
      <c r="G10" s="104"/>
      <c r="H10" s="104"/>
      <c r="I10" s="204"/>
      <c r="J10" s="204"/>
      <c r="K10" s="204"/>
      <c r="L10" s="204"/>
      <c r="M10" s="204"/>
      <c r="N10" s="204"/>
      <c r="O10" s="798" t="s">
        <v>470</v>
      </c>
      <c r="P10" s="798" t="s">
        <v>470</v>
      </c>
      <c r="Q10" s="204"/>
      <c r="R10" s="204"/>
      <c r="S10" s="204"/>
      <c r="T10" s="204"/>
      <c r="U10" s="104"/>
      <c r="V10" s="104"/>
      <c r="W10" s="104"/>
      <c r="X10" s="105" t="str">
        <f t="shared" ref="X10:X30" si="0">COUNTIF($F10:$W10,"X") &amp; ""</f>
        <v>2</v>
      </c>
      <c r="Y10" s="106">
        <v>50</v>
      </c>
      <c r="Z10" s="107">
        <f t="shared" ref="Z10:Z30" si="1">COUNTIF($F10:$W10,"X")*$Y10</f>
        <v>100</v>
      </c>
      <c r="AA10" s="184"/>
      <c r="AB10" s="184"/>
      <c r="AC10" s="108">
        <v>1</v>
      </c>
      <c r="AD10" s="797"/>
      <c r="AE10" s="113"/>
      <c r="AF10" s="114"/>
      <c r="AG10" s="190"/>
      <c r="AI10" s="111"/>
      <c r="AJ10" s="111"/>
    </row>
    <row r="11" spans="1:36" ht="15">
      <c r="A11" s="772">
        <v>45842</v>
      </c>
      <c r="B11" s="177" t="s">
        <v>634</v>
      </c>
      <c r="C11" s="178">
        <v>185</v>
      </c>
      <c r="D11" s="103" t="str">
        <f>VLOOKUP(C11,'MASTER Name List'!$B$3:$M$186,2,FALSE)</f>
        <v>羅梅瑂</v>
      </c>
      <c r="E11" s="800" t="s">
        <v>597</v>
      </c>
      <c r="F11" s="104"/>
      <c r="G11" s="104"/>
      <c r="H11" s="104"/>
      <c r="I11" s="204"/>
      <c r="J11" s="204"/>
      <c r="K11" s="204"/>
      <c r="L11" s="204"/>
      <c r="M11" s="204"/>
      <c r="N11" s="204"/>
      <c r="O11" s="798" t="s">
        <v>470</v>
      </c>
      <c r="P11" s="798" t="s">
        <v>470</v>
      </c>
      <c r="Q11" s="798" t="s">
        <v>470</v>
      </c>
      <c r="R11" s="204"/>
      <c r="S11" s="204"/>
      <c r="T11" s="204"/>
      <c r="U11" s="104"/>
      <c r="V11" s="104"/>
      <c r="W11" s="104"/>
      <c r="X11" s="105" t="str">
        <f t="shared" si="0"/>
        <v>3</v>
      </c>
      <c r="Y11" s="106">
        <v>50</v>
      </c>
      <c r="Z11" s="107">
        <f t="shared" si="1"/>
        <v>150</v>
      </c>
      <c r="AA11" s="184"/>
      <c r="AB11" s="184"/>
      <c r="AC11" s="108">
        <v>1</v>
      </c>
      <c r="AD11" s="797"/>
      <c r="AE11" s="113"/>
      <c r="AG11" s="190"/>
      <c r="AI11" s="111"/>
      <c r="AJ11" s="111"/>
    </row>
    <row r="12" spans="1:36" ht="15">
      <c r="A12" s="772">
        <v>45843</v>
      </c>
      <c r="B12" s="177" t="s">
        <v>635</v>
      </c>
      <c r="C12" s="178">
        <v>186</v>
      </c>
      <c r="D12" s="103" t="str">
        <f>VLOOKUP(C12,'MASTER Name List'!$B$3:$M$186,2,FALSE)</f>
        <v>刘玉云</v>
      </c>
      <c r="E12" s="800" t="s">
        <v>581</v>
      </c>
      <c r="F12" s="104"/>
      <c r="G12" s="104"/>
      <c r="H12" s="104"/>
      <c r="I12" s="204"/>
      <c r="J12" s="204"/>
      <c r="K12" s="204"/>
      <c r="L12" s="204"/>
      <c r="M12" s="204"/>
      <c r="N12" s="204"/>
      <c r="O12" s="798" t="s">
        <v>470</v>
      </c>
      <c r="P12" s="798" t="s">
        <v>470</v>
      </c>
      <c r="Q12" s="204"/>
      <c r="R12" s="204"/>
      <c r="S12" s="204"/>
      <c r="T12" s="204"/>
      <c r="U12" s="104"/>
      <c r="V12" s="104"/>
      <c r="W12" s="104"/>
      <c r="X12" s="105" t="str">
        <f t="shared" si="0"/>
        <v>2</v>
      </c>
      <c r="Y12" s="106">
        <v>50</v>
      </c>
      <c r="Z12" s="107">
        <f t="shared" si="1"/>
        <v>100</v>
      </c>
      <c r="AA12" s="184"/>
      <c r="AB12" s="184"/>
      <c r="AC12" s="108">
        <v>1</v>
      </c>
      <c r="AD12" s="797">
        <f>SUMIF(AC:AC,"1",Z:Z)</f>
        <v>350</v>
      </c>
      <c r="AE12" s="113" t="s">
        <v>598</v>
      </c>
      <c r="AG12" s="190"/>
      <c r="AI12" s="111"/>
      <c r="AJ12" s="111"/>
    </row>
    <row r="13" spans="1:36" ht="15">
      <c r="A13" s="772">
        <v>45843</v>
      </c>
      <c r="B13" s="177" t="s">
        <v>636</v>
      </c>
      <c r="C13" s="178">
        <v>223</v>
      </c>
      <c r="D13" s="103" t="str">
        <f>VLOOKUP(C13,'MASTER Name List'!$B$3:$M$186,2,FALSE)</f>
        <v>黄莉珍</v>
      </c>
      <c r="E13" s="800" t="s">
        <v>520</v>
      </c>
      <c r="F13" s="104"/>
      <c r="G13" s="104"/>
      <c r="H13" s="104"/>
      <c r="I13" s="204"/>
      <c r="J13" s="204"/>
      <c r="K13" s="204"/>
      <c r="L13" s="204"/>
      <c r="M13" s="798" t="s">
        <v>470</v>
      </c>
      <c r="N13" s="798" t="s">
        <v>470</v>
      </c>
      <c r="O13" s="798" t="s">
        <v>470</v>
      </c>
      <c r="P13" s="798" t="s">
        <v>470</v>
      </c>
      <c r="Q13" s="204"/>
      <c r="R13" s="204"/>
      <c r="S13" s="204"/>
      <c r="T13" s="204"/>
      <c r="U13" s="104"/>
      <c r="V13" s="104"/>
      <c r="W13" s="104"/>
      <c r="X13" s="105" t="str">
        <f t="shared" si="0"/>
        <v>4</v>
      </c>
      <c r="Y13" s="106">
        <v>50</v>
      </c>
      <c r="Z13" s="107">
        <f t="shared" si="1"/>
        <v>200</v>
      </c>
      <c r="AA13" s="184"/>
      <c r="AB13" s="184"/>
      <c r="AC13" s="108">
        <v>2</v>
      </c>
      <c r="AD13" s="797"/>
      <c r="AE13" s="113"/>
      <c r="AG13" s="190"/>
      <c r="AI13" s="111"/>
      <c r="AJ13" s="111"/>
    </row>
    <row r="14" spans="1:36" ht="15">
      <c r="A14" s="772">
        <v>45849</v>
      </c>
      <c r="B14" s="177" t="s">
        <v>637</v>
      </c>
      <c r="C14" s="178">
        <v>19</v>
      </c>
      <c r="D14" s="103" t="str">
        <f>VLOOKUP(C14,'MASTER Name List'!$B$3:$M$186,2,FALSE)</f>
        <v>廖秋华</v>
      </c>
      <c r="E14" s="800" t="s">
        <v>638</v>
      </c>
      <c r="F14" s="104"/>
      <c r="G14" s="104"/>
      <c r="H14" s="104"/>
      <c r="I14" s="204"/>
      <c r="J14" s="204"/>
      <c r="K14" s="204"/>
      <c r="L14" s="204"/>
      <c r="M14" s="798" t="s">
        <v>470</v>
      </c>
      <c r="N14" s="798" t="s">
        <v>470</v>
      </c>
      <c r="O14" s="204"/>
      <c r="P14" s="204"/>
      <c r="Q14" s="204"/>
      <c r="R14" s="204"/>
      <c r="S14" s="204"/>
      <c r="T14" s="204"/>
      <c r="U14" s="104"/>
      <c r="V14" s="104"/>
      <c r="W14" s="104"/>
      <c r="X14" s="105" t="str">
        <f t="shared" si="0"/>
        <v>2</v>
      </c>
      <c r="Y14" s="106">
        <v>50</v>
      </c>
      <c r="Z14" s="107">
        <f t="shared" si="1"/>
        <v>100</v>
      </c>
      <c r="AA14" s="184"/>
      <c r="AB14" s="184"/>
      <c r="AC14" s="108">
        <v>2</v>
      </c>
      <c r="AD14" s="797"/>
      <c r="AE14" s="113"/>
      <c r="AG14" s="190"/>
      <c r="AI14" s="111"/>
      <c r="AJ14" s="111"/>
    </row>
    <row r="15" spans="1:36" ht="15">
      <c r="A15" s="772">
        <v>45851</v>
      </c>
      <c r="B15" s="177" t="s">
        <v>639</v>
      </c>
      <c r="C15" s="178">
        <v>72</v>
      </c>
      <c r="D15" s="103" t="str">
        <f>VLOOKUP(C15,'MASTER Name List'!$B$3:$M$186,2,FALSE)</f>
        <v>何月琼</v>
      </c>
      <c r="E15" s="800" t="s">
        <v>640</v>
      </c>
      <c r="F15" s="104"/>
      <c r="G15" s="104"/>
      <c r="H15" s="104"/>
      <c r="I15" s="204"/>
      <c r="J15" s="204"/>
      <c r="K15" s="204"/>
      <c r="L15" s="798" t="s">
        <v>470</v>
      </c>
      <c r="M15" s="798" t="s">
        <v>470</v>
      </c>
      <c r="N15" s="798" t="s">
        <v>470</v>
      </c>
      <c r="O15" s="204"/>
      <c r="P15" s="204"/>
      <c r="Q15" s="204"/>
      <c r="R15" s="204"/>
      <c r="S15" s="204"/>
      <c r="T15" s="204"/>
      <c r="U15" s="104"/>
      <c r="V15" s="104"/>
      <c r="W15" s="104"/>
      <c r="X15" s="105" t="str">
        <f t="shared" si="0"/>
        <v>3</v>
      </c>
      <c r="Y15" s="106">
        <v>50</v>
      </c>
      <c r="Z15" s="107">
        <f t="shared" si="1"/>
        <v>150</v>
      </c>
      <c r="AA15" s="184"/>
      <c r="AB15" s="184"/>
      <c r="AC15" s="108">
        <v>2</v>
      </c>
      <c r="AD15" s="797"/>
      <c r="AE15" s="113"/>
      <c r="AG15" s="190"/>
      <c r="AI15" s="111"/>
      <c r="AJ15" s="111"/>
    </row>
    <row r="16" spans="1:36" ht="15">
      <c r="A16" s="772">
        <v>45851</v>
      </c>
      <c r="B16" s="177" t="s">
        <v>641</v>
      </c>
      <c r="C16" s="178">
        <v>86</v>
      </c>
      <c r="D16" s="103" t="str">
        <f>VLOOKUP(C16,'MASTER Name List'!$B$3:$M$186,2,FALSE)</f>
        <v>蔡祥贤</v>
      </c>
      <c r="E16" s="800" t="s">
        <v>640</v>
      </c>
      <c r="F16" s="104"/>
      <c r="G16" s="104"/>
      <c r="H16" s="104"/>
      <c r="I16" s="204"/>
      <c r="J16" s="204"/>
      <c r="K16" s="204"/>
      <c r="L16" s="798" t="s">
        <v>470</v>
      </c>
      <c r="M16" s="798" t="s">
        <v>470</v>
      </c>
      <c r="N16" s="798" t="s">
        <v>470</v>
      </c>
      <c r="O16" s="204"/>
      <c r="P16" s="204"/>
      <c r="Q16" s="204"/>
      <c r="R16" s="204"/>
      <c r="S16" s="204"/>
      <c r="T16" s="204"/>
      <c r="U16" s="104"/>
      <c r="V16" s="104"/>
      <c r="W16" s="104"/>
      <c r="X16" s="105" t="str">
        <f t="shared" si="0"/>
        <v>3</v>
      </c>
      <c r="Y16" s="106">
        <v>50</v>
      </c>
      <c r="Z16" s="107">
        <f t="shared" si="1"/>
        <v>150</v>
      </c>
      <c r="AA16" s="184"/>
      <c r="AB16" s="184"/>
      <c r="AC16" s="108">
        <v>2</v>
      </c>
      <c r="AD16" s="797"/>
      <c r="AE16" s="113"/>
      <c r="AG16" s="190"/>
      <c r="AI16" s="111"/>
      <c r="AJ16" s="111"/>
    </row>
    <row r="17" spans="1:36" ht="15">
      <c r="A17" s="772">
        <v>45851</v>
      </c>
      <c r="B17" s="177" t="s">
        <v>642</v>
      </c>
      <c r="C17" s="178">
        <v>180</v>
      </c>
      <c r="D17" s="103" t="str">
        <f>VLOOKUP(C17,'MASTER Name List'!$B$3:$M$186,2,FALSE)</f>
        <v>蔡健铭</v>
      </c>
      <c r="E17" s="800" t="s">
        <v>640</v>
      </c>
      <c r="F17" s="104"/>
      <c r="G17" s="104"/>
      <c r="H17" s="104"/>
      <c r="I17" s="204"/>
      <c r="J17" s="204"/>
      <c r="K17" s="204"/>
      <c r="L17" s="798" t="s">
        <v>470</v>
      </c>
      <c r="M17" s="798" t="s">
        <v>470</v>
      </c>
      <c r="N17" s="798" t="s">
        <v>470</v>
      </c>
      <c r="O17" s="204"/>
      <c r="P17" s="204"/>
      <c r="Q17" s="204"/>
      <c r="R17" s="204"/>
      <c r="S17" s="204"/>
      <c r="T17" s="204"/>
      <c r="U17" s="104"/>
      <c r="V17" s="104"/>
      <c r="W17" s="104"/>
      <c r="X17" s="105" t="str">
        <f t="shared" si="0"/>
        <v>3</v>
      </c>
      <c r="Y17" s="106">
        <v>50</v>
      </c>
      <c r="Z17" s="107">
        <f t="shared" si="1"/>
        <v>150</v>
      </c>
      <c r="AA17" s="184"/>
      <c r="AB17" s="184"/>
      <c r="AC17" s="108">
        <v>2</v>
      </c>
      <c r="AD17" s="797"/>
      <c r="AE17" s="113"/>
      <c r="AG17" s="190"/>
      <c r="AI17" s="111"/>
      <c r="AJ17" s="111"/>
    </row>
    <row r="18" spans="1:36" ht="15">
      <c r="A18" s="772">
        <v>45854</v>
      </c>
      <c r="B18" s="177" t="s">
        <v>643</v>
      </c>
      <c r="C18" s="178">
        <v>126</v>
      </c>
      <c r="D18" s="103" t="str">
        <f>VLOOKUP(C18,'MASTER Name List'!$B$3:$M$186,2,FALSE)</f>
        <v>张凤</v>
      </c>
      <c r="E18" s="800" t="s">
        <v>644</v>
      </c>
      <c r="F18" s="104"/>
      <c r="G18" s="104"/>
      <c r="H18" s="104"/>
      <c r="I18" s="204"/>
      <c r="J18" s="204"/>
      <c r="K18" s="204"/>
      <c r="L18" s="204"/>
      <c r="M18" s="204"/>
      <c r="N18" s="204"/>
      <c r="O18" s="798" t="s">
        <v>470</v>
      </c>
      <c r="P18" s="798" t="s">
        <v>470</v>
      </c>
      <c r="Q18" s="798" t="s">
        <v>470</v>
      </c>
      <c r="R18" s="798"/>
      <c r="S18" s="798"/>
      <c r="T18" s="204"/>
      <c r="U18" s="104"/>
      <c r="V18" s="104"/>
      <c r="W18" s="104"/>
      <c r="X18" s="105" t="str">
        <f t="shared" si="0"/>
        <v>3</v>
      </c>
      <c r="Y18" s="106">
        <v>50</v>
      </c>
      <c r="Z18" s="107">
        <f t="shared" si="1"/>
        <v>150</v>
      </c>
      <c r="AA18" s="184"/>
      <c r="AB18" s="184"/>
      <c r="AC18" s="108">
        <v>2</v>
      </c>
      <c r="AD18" s="797"/>
      <c r="AE18" s="113"/>
      <c r="AF18" s="114"/>
      <c r="AG18" s="190"/>
      <c r="AI18" s="111"/>
      <c r="AJ18" s="111"/>
    </row>
    <row r="19" spans="1:36" ht="15">
      <c r="A19" s="772">
        <v>45854</v>
      </c>
      <c r="B19" s="177" t="s">
        <v>645</v>
      </c>
      <c r="C19" s="178">
        <v>3</v>
      </c>
      <c r="D19" s="103" t="str">
        <f>VLOOKUP(C19,'MASTER Name List'!$B$3:$M$186,2,FALSE)</f>
        <v>Anna Justina</v>
      </c>
      <c r="E19" s="804" t="s">
        <v>646</v>
      </c>
      <c r="F19" s="115"/>
      <c r="G19" s="115"/>
      <c r="H19" s="115"/>
      <c r="I19" s="206"/>
      <c r="J19" s="206"/>
      <c r="K19" s="206"/>
      <c r="L19" s="206"/>
      <c r="M19" s="206"/>
      <c r="N19" s="206"/>
      <c r="O19" s="805" t="s">
        <v>470</v>
      </c>
      <c r="P19" s="805" t="s">
        <v>470</v>
      </c>
      <c r="Q19" s="206"/>
      <c r="R19" s="206"/>
      <c r="S19" s="206"/>
      <c r="T19" s="206"/>
      <c r="U19" s="115"/>
      <c r="V19" s="115"/>
      <c r="W19" s="115"/>
      <c r="X19" s="105" t="str">
        <f t="shared" si="0"/>
        <v>2</v>
      </c>
      <c r="Y19" s="106">
        <v>50</v>
      </c>
      <c r="Z19" s="107">
        <f t="shared" si="1"/>
        <v>100</v>
      </c>
      <c r="AA19" s="184"/>
      <c r="AB19" s="184"/>
      <c r="AC19" s="108">
        <v>2</v>
      </c>
      <c r="AD19" s="797"/>
      <c r="AE19" s="113"/>
      <c r="AF19" s="114"/>
      <c r="AG19" s="190"/>
      <c r="AI19" s="111"/>
      <c r="AJ19" s="111"/>
    </row>
    <row r="20" spans="1:36" ht="15">
      <c r="A20" s="772">
        <v>45855</v>
      </c>
      <c r="B20" s="177" t="s">
        <v>647</v>
      </c>
      <c r="C20" s="178">
        <v>208</v>
      </c>
      <c r="D20" s="103" t="str">
        <f>VLOOKUP(C20,'MASTER Name List'!$B$3:$M$186,2,FALSE)</f>
        <v>萧志倫</v>
      </c>
      <c r="E20" s="804" t="s">
        <v>648</v>
      </c>
      <c r="F20" s="115"/>
      <c r="G20" s="115"/>
      <c r="H20" s="115"/>
      <c r="I20" s="206"/>
      <c r="J20" s="206"/>
      <c r="K20" s="206"/>
      <c r="L20" s="206"/>
      <c r="M20" s="206"/>
      <c r="N20" s="805" t="s">
        <v>470</v>
      </c>
      <c r="O20" s="206"/>
      <c r="P20" s="206"/>
      <c r="Q20" s="206"/>
      <c r="R20" s="206"/>
      <c r="S20" s="206"/>
      <c r="T20" s="206"/>
      <c r="U20" s="115"/>
      <c r="V20" s="115"/>
      <c r="W20" s="115"/>
      <c r="X20" s="105" t="str">
        <f t="shared" si="0"/>
        <v>1</v>
      </c>
      <c r="Y20" s="106">
        <v>50</v>
      </c>
      <c r="Z20" s="107">
        <f t="shared" si="1"/>
        <v>50</v>
      </c>
      <c r="AA20" s="184"/>
      <c r="AB20" s="184"/>
      <c r="AC20" s="108">
        <v>2</v>
      </c>
      <c r="AD20" s="797"/>
      <c r="AE20" s="113"/>
      <c r="AF20" s="114"/>
      <c r="AG20" s="190"/>
      <c r="AI20" s="111"/>
      <c r="AJ20" s="111"/>
    </row>
    <row r="21" spans="1:36" ht="15">
      <c r="A21" s="772">
        <v>45856</v>
      </c>
      <c r="B21" s="177" t="s">
        <v>649</v>
      </c>
      <c r="C21" s="178">
        <v>170</v>
      </c>
      <c r="D21" s="103" t="str">
        <f>VLOOKUP(C21,'MASTER Name List'!$B$3:$M$186,2,FALSE)</f>
        <v>陈柔霓</v>
      </c>
      <c r="E21" s="804" t="s">
        <v>646</v>
      </c>
      <c r="F21" s="115"/>
      <c r="G21" s="115"/>
      <c r="H21" s="115"/>
      <c r="I21" s="206"/>
      <c r="J21" s="206"/>
      <c r="K21" s="206"/>
      <c r="L21" s="206"/>
      <c r="M21" s="206"/>
      <c r="N21" s="206"/>
      <c r="O21" s="805" t="s">
        <v>470</v>
      </c>
      <c r="P21" s="805" t="s">
        <v>470</v>
      </c>
      <c r="Q21" s="206"/>
      <c r="R21" s="206"/>
      <c r="S21" s="206"/>
      <c r="T21" s="206"/>
      <c r="U21" s="115"/>
      <c r="V21" s="115"/>
      <c r="W21" s="115"/>
      <c r="X21" s="105" t="str">
        <f t="shared" si="0"/>
        <v>2</v>
      </c>
      <c r="Y21" s="106">
        <v>50</v>
      </c>
      <c r="Z21" s="107">
        <f t="shared" si="1"/>
        <v>100</v>
      </c>
      <c r="AA21" s="184"/>
      <c r="AB21" s="184"/>
      <c r="AC21" s="108">
        <v>2</v>
      </c>
      <c r="AD21" s="797"/>
      <c r="AE21" s="113"/>
      <c r="AF21" s="114"/>
      <c r="AG21" s="190"/>
      <c r="AI21" s="111"/>
      <c r="AJ21" s="111"/>
    </row>
    <row r="22" spans="1:36" ht="15">
      <c r="A22" s="772">
        <v>45857</v>
      </c>
      <c r="B22" s="177" t="s">
        <v>650</v>
      </c>
      <c r="C22" s="178">
        <v>226</v>
      </c>
      <c r="D22" s="103" t="str">
        <f>VLOOKUP(C22,'MASTER Name List'!$B$3:$M$186,2,FALSE)</f>
        <v>锺镒壕</v>
      </c>
      <c r="E22" s="804" t="s">
        <v>644</v>
      </c>
      <c r="F22" s="115"/>
      <c r="G22" s="115"/>
      <c r="H22" s="115"/>
      <c r="I22" s="206"/>
      <c r="J22" s="206"/>
      <c r="K22" s="206"/>
      <c r="L22" s="206"/>
      <c r="M22" s="206"/>
      <c r="N22" s="206"/>
      <c r="O22" s="805" t="s">
        <v>470</v>
      </c>
      <c r="P22" s="805" t="s">
        <v>470</v>
      </c>
      <c r="Q22" s="805" t="s">
        <v>470</v>
      </c>
      <c r="R22" s="206"/>
      <c r="S22" s="206"/>
      <c r="T22" s="206"/>
      <c r="U22" s="115"/>
      <c r="V22" s="115"/>
      <c r="W22" s="115"/>
      <c r="X22" s="115" t="str">
        <f t="shared" si="0"/>
        <v>3</v>
      </c>
      <c r="Y22" s="106">
        <v>50</v>
      </c>
      <c r="Z22" s="107">
        <f t="shared" si="1"/>
        <v>150</v>
      </c>
      <c r="AA22" s="184"/>
      <c r="AB22" s="184"/>
      <c r="AC22" s="108">
        <v>2</v>
      </c>
      <c r="AD22" s="797"/>
      <c r="AE22" s="113"/>
      <c r="AF22" s="114"/>
      <c r="AG22" s="190"/>
      <c r="AI22" s="111"/>
      <c r="AJ22" s="111"/>
    </row>
    <row r="23" spans="1:36" ht="15">
      <c r="A23" s="772">
        <v>45858</v>
      </c>
      <c r="B23" s="177" t="s">
        <v>651</v>
      </c>
      <c r="C23" s="178">
        <v>155</v>
      </c>
      <c r="D23" s="103" t="str">
        <f>VLOOKUP(C23,'MASTER Name List'!$B$3:$M$186,2,FALSE)</f>
        <v>李宝珠</v>
      </c>
      <c r="E23" s="811" t="s">
        <v>652</v>
      </c>
      <c r="F23" s="117"/>
      <c r="G23" s="117"/>
      <c r="H23" s="117"/>
      <c r="I23" s="207"/>
      <c r="J23" s="207"/>
      <c r="K23" s="207"/>
      <c r="L23" s="207"/>
      <c r="M23" s="207"/>
      <c r="N23" s="207"/>
      <c r="O23" s="812" t="s">
        <v>470</v>
      </c>
      <c r="P23" s="812" t="s">
        <v>470</v>
      </c>
      <c r="Q23" s="207"/>
      <c r="R23" s="207"/>
      <c r="S23" s="207"/>
      <c r="T23" s="207"/>
      <c r="U23" s="117"/>
      <c r="V23" s="117"/>
      <c r="W23" s="117"/>
      <c r="X23" s="115" t="str">
        <f t="shared" si="0"/>
        <v>2</v>
      </c>
      <c r="Y23" s="106">
        <v>50</v>
      </c>
      <c r="Z23" s="107">
        <f>COUNTIF($F23:$W23,"X")*$Y23</f>
        <v>100</v>
      </c>
      <c r="AA23" s="184"/>
      <c r="AB23" s="184"/>
      <c r="AC23" s="108">
        <v>2</v>
      </c>
      <c r="AD23" s="797">
        <f>SUMIF(AC:AC,"2",Z:Z)</f>
        <v>1400</v>
      </c>
      <c r="AE23" s="113" t="s">
        <v>653</v>
      </c>
      <c r="AF23" s="110"/>
      <c r="AG23" s="190"/>
      <c r="AI23" s="111"/>
      <c r="AJ23" s="111"/>
    </row>
    <row r="24" spans="1:36" ht="15">
      <c r="A24" s="772">
        <v>45863</v>
      </c>
      <c r="B24" s="177" t="s">
        <v>654</v>
      </c>
      <c r="C24" s="178">
        <v>181</v>
      </c>
      <c r="D24" s="103" t="str">
        <f>VLOOKUP(C24,'MASTER Name List'!$B$3:$M$186,2,FALSE)</f>
        <v>陈金清</v>
      </c>
      <c r="E24" s="811" t="s">
        <v>581</v>
      </c>
      <c r="F24" s="117"/>
      <c r="G24" s="117"/>
      <c r="H24" s="117"/>
      <c r="I24" s="207"/>
      <c r="J24" s="207"/>
      <c r="K24" s="207"/>
      <c r="L24" s="207"/>
      <c r="M24" s="207"/>
      <c r="N24" s="207"/>
      <c r="O24" s="812" t="s">
        <v>470</v>
      </c>
      <c r="P24" s="812" t="s">
        <v>470</v>
      </c>
      <c r="Q24" s="207"/>
      <c r="R24" s="207"/>
      <c r="S24" s="207"/>
      <c r="T24" s="207"/>
      <c r="U24" s="117"/>
      <c r="V24" s="117"/>
      <c r="W24" s="117"/>
      <c r="X24" s="115" t="str">
        <f t="shared" si="0"/>
        <v>2</v>
      </c>
      <c r="Y24" s="106">
        <v>50</v>
      </c>
      <c r="Z24" s="107">
        <f t="shared" si="1"/>
        <v>100</v>
      </c>
      <c r="AA24" s="184"/>
      <c r="AB24" s="184"/>
      <c r="AC24" s="108">
        <v>3</v>
      </c>
      <c r="AD24" s="797"/>
      <c r="AE24" s="113"/>
      <c r="AF24" s="110"/>
      <c r="AG24" s="190"/>
      <c r="AI24" s="111"/>
      <c r="AJ24" s="111"/>
    </row>
    <row r="25" spans="1:36" ht="15">
      <c r="A25" s="772">
        <v>45866</v>
      </c>
      <c r="B25" s="177" t="s">
        <v>655</v>
      </c>
      <c r="C25" s="178">
        <v>208</v>
      </c>
      <c r="D25" s="103" t="str">
        <f>VLOOKUP(C25,'MASTER Name List'!$B$3:$M$186,2,FALSE)</f>
        <v>萧志倫</v>
      </c>
      <c r="E25" s="818">
        <v>45839</v>
      </c>
      <c r="F25" s="117"/>
      <c r="G25" s="117"/>
      <c r="H25" s="117"/>
      <c r="I25" s="207"/>
      <c r="J25" s="207"/>
      <c r="K25" s="207"/>
      <c r="L25" s="207"/>
      <c r="M25" s="207"/>
      <c r="N25" s="207"/>
      <c r="O25" s="812" t="s">
        <v>470</v>
      </c>
      <c r="P25" s="207"/>
      <c r="Q25" s="207"/>
      <c r="R25" s="207"/>
      <c r="S25" s="207"/>
      <c r="T25" s="207"/>
      <c r="U25" s="117"/>
      <c r="V25" s="117"/>
      <c r="W25" s="117"/>
      <c r="X25" s="115" t="str">
        <f t="shared" si="0"/>
        <v>1</v>
      </c>
      <c r="Y25" s="106">
        <v>50</v>
      </c>
      <c r="Z25" s="107">
        <f t="shared" si="1"/>
        <v>50</v>
      </c>
      <c r="AA25" s="184"/>
      <c r="AB25" s="184"/>
      <c r="AC25" s="108">
        <v>3</v>
      </c>
      <c r="AD25" s="797"/>
      <c r="AE25" s="113"/>
      <c r="AF25" s="110"/>
      <c r="AG25" s="190"/>
      <c r="AI25" s="111"/>
      <c r="AJ25" s="111"/>
    </row>
    <row r="26" spans="1:36" ht="15">
      <c r="A26" s="772"/>
      <c r="B26" s="177"/>
      <c r="C26" s="178"/>
      <c r="D26" s="103" t="e">
        <f>VLOOKUP(C26,'MASTER Name List'!$B$3:$M$186,2,FALSE)</f>
        <v>#N/A</v>
      </c>
      <c r="E26" s="175"/>
      <c r="F26" s="117"/>
      <c r="G26" s="117"/>
      <c r="H26" s="11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117"/>
      <c r="V26" s="117"/>
      <c r="W26" s="117"/>
      <c r="X26" s="115" t="str">
        <f t="shared" si="0"/>
        <v>0</v>
      </c>
      <c r="Y26" s="106">
        <v>50</v>
      </c>
      <c r="Z26" s="107">
        <f t="shared" si="1"/>
        <v>0</v>
      </c>
      <c r="AA26" s="184"/>
      <c r="AB26" s="184"/>
      <c r="AC26" s="108"/>
      <c r="AD26" s="797"/>
      <c r="AE26" s="113"/>
      <c r="AF26" s="110"/>
      <c r="AG26" s="190"/>
      <c r="AI26" s="111"/>
      <c r="AJ26" s="111"/>
    </row>
    <row r="27" spans="1:36" ht="15">
      <c r="A27" s="772"/>
      <c r="B27" s="177"/>
      <c r="C27" s="178"/>
      <c r="D27" s="103" t="e">
        <f>VLOOKUP(C27,'MASTER Name List'!$B$3:$M$186,2,FALSE)</f>
        <v>#N/A</v>
      </c>
      <c r="E27" s="175"/>
      <c r="F27" s="117"/>
      <c r="G27" s="117"/>
      <c r="H27" s="11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117"/>
      <c r="V27" s="117"/>
      <c r="W27" s="117"/>
      <c r="X27" s="115" t="str">
        <f t="shared" si="0"/>
        <v>0</v>
      </c>
      <c r="Y27" s="106">
        <v>50</v>
      </c>
      <c r="Z27" s="107">
        <f t="shared" si="1"/>
        <v>0</v>
      </c>
      <c r="AA27" s="184"/>
      <c r="AB27" s="184"/>
      <c r="AC27" s="108"/>
      <c r="AD27" s="797">
        <f>SUMIF(AC:AC,"3",Z:Z)</f>
        <v>150</v>
      </c>
      <c r="AE27" s="113"/>
      <c r="AF27" s="110"/>
      <c r="AG27" s="190"/>
      <c r="AI27" s="111"/>
      <c r="AJ27" s="111"/>
    </row>
    <row r="28" spans="1:36" ht="15">
      <c r="A28" s="772"/>
      <c r="B28" s="177"/>
      <c r="C28" s="178"/>
      <c r="D28" s="103" t="e">
        <f>VLOOKUP(C28,'MASTER Name List'!$B$3:$M$186,2,FALSE)</f>
        <v>#N/A</v>
      </c>
      <c r="E28" s="175"/>
      <c r="F28" s="117"/>
      <c r="G28" s="117"/>
      <c r="H28" s="11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117"/>
      <c r="V28" s="117"/>
      <c r="W28" s="117"/>
      <c r="X28" s="115" t="str">
        <f t="shared" si="0"/>
        <v>0</v>
      </c>
      <c r="Y28" s="118"/>
      <c r="Z28" s="107">
        <f t="shared" si="1"/>
        <v>0</v>
      </c>
      <c r="AA28" s="184"/>
      <c r="AB28" s="184"/>
      <c r="AC28" s="108"/>
      <c r="AD28" s="797"/>
      <c r="AE28" s="113"/>
      <c r="AF28" s="110"/>
      <c r="AG28" s="190"/>
      <c r="AI28" s="111"/>
      <c r="AJ28" s="111"/>
    </row>
    <row r="29" spans="1:36" ht="15">
      <c r="A29" s="772"/>
      <c r="B29" s="177"/>
      <c r="C29" s="178"/>
      <c r="D29" s="103" t="e">
        <f>VLOOKUP(C29,'MASTER Name List'!$B$3:$M$186,2,FALSE)</f>
        <v>#N/A</v>
      </c>
      <c r="E29" s="175"/>
      <c r="F29" s="117"/>
      <c r="G29" s="117"/>
      <c r="H29" s="11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117"/>
      <c r="V29" s="117"/>
      <c r="W29" s="117"/>
      <c r="X29" s="115" t="str">
        <f t="shared" si="0"/>
        <v>0</v>
      </c>
      <c r="Y29" s="118"/>
      <c r="Z29" s="107">
        <f t="shared" si="1"/>
        <v>0</v>
      </c>
      <c r="AA29" s="184"/>
      <c r="AB29" s="184"/>
      <c r="AC29" s="108"/>
      <c r="AD29" s="797"/>
      <c r="AE29" s="113"/>
      <c r="AF29" s="110"/>
      <c r="AG29" s="190"/>
      <c r="AI29" s="111"/>
      <c r="AJ29" s="111"/>
    </row>
    <row r="30" spans="1:36" ht="15">
      <c r="A30" s="772"/>
      <c r="B30" s="177"/>
      <c r="C30" s="178"/>
      <c r="D30" s="103" t="e">
        <f>VLOOKUP(C30,'MASTER Name List'!$B$3:$M$186,2,FALSE)</f>
        <v>#N/A</v>
      </c>
      <c r="E30" s="175"/>
      <c r="F30" s="117"/>
      <c r="G30" s="117"/>
      <c r="H30" s="11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117"/>
      <c r="V30" s="117"/>
      <c r="W30" s="117"/>
      <c r="X30" s="115" t="str">
        <f t="shared" si="0"/>
        <v>0</v>
      </c>
      <c r="Y30" s="118"/>
      <c r="Z30" s="107">
        <f t="shared" si="1"/>
        <v>0</v>
      </c>
      <c r="AA30" s="184"/>
      <c r="AB30" s="184"/>
      <c r="AC30" s="108"/>
      <c r="AD30" s="797"/>
      <c r="AE30" s="113"/>
      <c r="AF30" s="110"/>
      <c r="AG30" s="190"/>
      <c r="AI30" s="111"/>
      <c r="AJ30" s="111"/>
    </row>
    <row r="31" spans="1:36" ht="15">
      <c r="A31" s="772"/>
      <c r="B31" s="177"/>
      <c r="C31" s="178"/>
      <c r="D31" s="103"/>
      <c r="E31" s="175"/>
      <c r="F31" s="117"/>
      <c r="G31" s="117"/>
      <c r="H31" s="11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117"/>
      <c r="V31" s="117"/>
      <c r="W31" s="117"/>
      <c r="X31" s="117"/>
      <c r="Y31" s="118"/>
      <c r="Z31" s="107"/>
      <c r="AA31" s="107"/>
      <c r="AB31" s="107"/>
      <c r="AC31" s="108"/>
      <c r="AD31" s="797"/>
      <c r="AE31" s="113"/>
      <c r="AF31" s="110"/>
      <c r="AG31" s="190"/>
      <c r="AI31" s="111"/>
      <c r="AJ31" s="111"/>
    </row>
    <row r="32" spans="1:36" ht="15">
      <c r="A32" s="806"/>
      <c r="B32" s="179" t="s">
        <v>487</v>
      </c>
      <c r="C32" s="211"/>
      <c r="D32" s="212"/>
      <c r="E32" s="213"/>
      <c r="F32" s="104"/>
      <c r="G32" s="104"/>
      <c r="H32" s="1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104"/>
      <c r="V32" s="104"/>
      <c r="W32" s="104"/>
      <c r="X32" s="104"/>
      <c r="Y32" s="106"/>
      <c r="Z32" s="107"/>
      <c r="AA32" s="107"/>
      <c r="AB32" s="107"/>
      <c r="AC32" s="108"/>
      <c r="AD32" s="797"/>
      <c r="AE32" s="113"/>
      <c r="AF32" s="110"/>
      <c r="AG32" s="190"/>
      <c r="AI32" s="111"/>
      <c r="AJ32" s="111"/>
    </row>
    <row r="33" spans="1:36" ht="15">
      <c r="A33" s="772">
        <v>45839</v>
      </c>
      <c r="B33" s="180"/>
      <c r="C33" s="178">
        <v>80</v>
      </c>
      <c r="D33" s="103" t="str">
        <f>VLOOKUP(C33,'MASTER Name List'!$B$3:$M$186,2,FALSE)</f>
        <v>黄淑芬</v>
      </c>
      <c r="E33" s="800">
        <v>45839</v>
      </c>
      <c r="F33" s="104"/>
      <c r="G33" s="104"/>
      <c r="H33" s="104"/>
      <c r="I33" s="204"/>
      <c r="J33" s="204"/>
      <c r="K33" s="205"/>
      <c r="L33" s="798"/>
      <c r="M33" s="204"/>
      <c r="N33" s="204"/>
      <c r="O33" s="798" t="s">
        <v>470</v>
      </c>
      <c r="P33" s="798"/>
      <c r="Q33" s="204"/>
      <c r="R33" s="204"/>
      <c r="S33" s="204"/>
      <c r="T33" s="204"/>
      <c r="U33" s="104"/>
      <c r="V33" s="104"/>
      <c r="W33" s="104"/>
      <c r="X33" s="112" t="str">
        <f>COUNTIF($F33:$W33,"X") &amp; ""</f>
        <v>1</v>
      </c>
      <c r="Y33" s="106">
        <v>50</v>
      </c>
      <c r="Z33" s="184"/>
      <c r="AA33" s="184"/>
      <c r="AB33" s="107">
        <f>COUNTIF($F33:$W33,"X")*$Y33</f>
        <v>50</v>
      </c>
      <c r="AC33" s="108"/>
      <c r="AD33" s="797"/>
      <c r="AE33" s="113"/>
      <c r="AF33" s="110" t="s">
        <v>125</v>
      </c>
      <c r="AG33" s="809" t="s">
        <v>179</v>
      </c>
      <c r="AI33" s="111" t="s">
        <v>599</v>
      </c>
      <c r="AJ33" s="111"/>
    </row>
    <row r="34" spans="1:36" ht="15">
      <c r="A34" s="772">
        <v>45839</v>
      </c>
      <c r="B34" s="180"/>
      <c r="C34" s="178">
        <v>224</v>
      </c>
      <c r="D34" s="103" t="str">
        <f>VLOOKUP(C34,'MASTER Name List'!$B$3:$M$186,2,FALSE)</f>
        <v xml:space="preserve">黄文勝 </v>
      </c>
      <c r="E34" s="800">
        <v>45839</v>
      </c>
      <c r="F34" s="104"/>
      <c r="G34" s="104"/>
      <c r="H34" s="104"/>
      <c r="I34" s="204"/>
      <c r="J34" s="204"/>
      <c r="K34" s="205"/>
      <c r="L34" s="205"/>
      <c r="M34" s="205"/>
      <c r="N34" s="798"/>
      <c r="O34" s="798" t="s">
        <v>470</v>
      </c>
      <c r="P34" s="204"/>
      <c r="Q34" s="204"/>
      <c r="R34" s="204"/>
      <c r="S34" s="204"/>
      <c r="T34" s="204"/>
      <c r="U34" s="104"/>
      <c r="V34" s="104"/>
      <c r="W34" s="104"/>
      <c r="X34" s="112" t="str">
        <f t="shared" ref="X34:X50" si="2">COUNTIF($F34:$W34,"X") &amp; ""</f>
        <v>1</v>
      </c>
      <c r="Y34" s="106">
        <v>50</v>
      </c>
      <c r="Z34" s="184"/>
      <c r="AA34" s="184"/>
      <c r="AB34" s="107">
        <f t="shared" ref="AB34:AB51" si="3">COUNTIF($F34:$W34,"X")*$Y34</f>
        <v>50</v>
      </c>
      <c r="AC34" s="108"/>
      <c r="AD34" s="797"/>
      <c r="AE34" s="113"/>
      <c r="AF34" s="110" t="s">
        <v>125</v>
      </c>
      <c r="AG34" s="27" t="s">
        <v>179</v>
      </c>
      <c r="AI34" s="111" t="s">
        <v>600</v>
      </c>
      <c r="AJ34" s="111"/>
    </row>
    <row r="35" spans="1:36" ht="15">
      <c r="A35" s="772">
        <v>45844</v>
      </c>
      <c r="B35" s="180"/>
      <c r="C35" s="178">
        <v>137</v>
      </c>
      <c r="D35" s="103" t="str">
        <f>VLOOKUP(C35,'MASTER Name List'!$B$3:$M$186,2,FALSE)</f>
        <v>赖美珍</v>
      </c>
      <c r="E35" s="800">
        <v>45839</v>
      </c>
      <c r="F35" s="104"/>
      <c r="G35" s="104"/>
      <c r="H35" s="104"/>
      <c r="I35" s="204"/>
      <c r="J35" s="204"/>
      <c r="K35" s="205"/>
      <c r="L35" s="798"/>
      <c r="M35" s="204"/>
      <c r="N35" s="204"/>
      <c r="O35" s="798" t="s">
        <v>470</v>
      </c>
      <c r="P35" s="798"/>
      <c r="Q35" s="204"/>
      <c r="R35" s="204"/>
      <c r="S35" s="204"/>
      <c r="T35" s="204"/>
      <c r="U35" s="104"/>
      <c r="V35" s="104"/>
      <c r="W35" s="104"/>
      <c r="X35" s="112" t="str">
        <f t="shared" si="2"/>
        <v>1</v>
      </c>
      <c r="Y35" s="106">
        <v>50</v>
      </c>
      <c r="Z35" s="184"/>
      <c r="AA35" s="184"/>
      <c r="AB35" s="107">
        <f t="shared" si="3"/>
        <v>50</v>
      </c>
      <c r="AC35" s="108"/>
      <c r="AD35" s="797"/>
      <c r="AE35" s="113"/>
      <c r="AF35" s="84" t="s">
        <v>325</v>
      </c>
      <c r="AG35" s="809" t="s">
        <v>606</v>
      </c>
      <c r="AI35" s="111"/>
      <c r="AJ35" s="111"/>
    </row>
    <row r="36" spans="1:36" ht="15">
      <c r="A36" s="772">
        <v>45847</v>
      </c>
      <c r="B36" s="180"/>
      <c r="C36" s="178">
        <v>172</v>
      </c>
      <c r="D36" s="103" t="str">
        <f>VLOOKUP(C36,'MASTER Name List'!$B$3:$M$186,2,FALSE)</f>
        <v>蔡均镅</v>
      </c>
      <c r="E36" s="800" t="s">
        <v>602</v>
      </c>
      <c r="F36" s="104"/>
      <c r="G36" s="104"/>
      <c r="H36" s="104"/>
      <c r="I36" s="204"/>
      <c r="J36" s="204"/>
      <c r="K36" s="205"/>
      <c r="L36" s="205"/>
      <c r="M36" s="205"/>
      <c r="N36" s="204"/>
      <c r="O36" s="798" t="s">
        <v>470</v>
      </c>
      <c r="P36" s="798" t="s">
        <v>470</v>
      </c>
      <c r="Q36" s="204"/>
      <c r="R36" s="204"/>
      <c r="S36" s="204"/>
      <c r="T36" s="204"/>
      <c r="U36" s="104"/>
      <c r="V36" s="104"/>
      <c r="W36" s="104"/>
      <c r="X36" s="112" t="str">
        <f t="shared" si="2"/>
        <v>2</v>
      </c>
      <c r="Y36" s="106">
        <v>50</v>
      </c>
      <c r="Z36" s="184"/>
      <c r="AA36" s="184"/>
      <c r="AB36" s="107">
        <f t="shared" si="3"/>
        <v>100</v>
      </c>
      <c r="AC36" s="108"/>
      <c r="AD36" s="797"/>
      <c r="AE36" s="119"/>
      <c r="AF36" s="110" t="s">
        <v>125</v>
      </c>
      <c r="AG36" s="809" t="s">
        <v>194</v>
      </c>
      <c r="AI36" s="111"/>
      <c r="AJ36" s="111"/>
    </row>
    <row r="37" spans="1:36" ht="15">
      <c r="A37" s="772">
        <v>45847</v>
      </c>
      <c r="B37" s="180"/>
      <c r="C37" s="178">
        <v>175</v>
      </c>
      <c r="D37" s="103" t="str">
        <f>VLOOKUP(C37,'MASTER Name List'!$B$3:$M$186,2,FALSE)</f>
        <v>洪鼎惟</v>
      </c>
      <c r="E37" s="800">
        <v>45809</v>
      </c>
      <c r="F37" s="104"/>
      <c r="G37" s="104"/>
      <c r="H37" s="104"/>
      <c r="I37" s="204"/>
      <c r="J37" s="798"/>
      <c r="K37" s="798"/>
      <c r="L37" s="798"/>
      <c r="M37" s="798"/>
      <c r="N37" s="798" t="s">
        <v>470</v>
      </c>
      <c r="O37" s="798"/>
      <c r="P37" s="204"/>
      <c r="Q37" s="204"/>
      <c r="R37" s="204"/>
      <c r="S37" s="798"/>
      <c r="T37" s="798"/>
      <c r="U37" s="808"/>
      <c r="V37" s="808"/>
      <c r="W37" s="808"/>
      <c r="X37" s="112" t="str">
        <f t="shared" si="2"/>
        <v>1</v>
      </c>
      <c r="Y37" s="106">
        <v>50</v>
      </c>
      <c r="Z37" s="184"/>
      <c r="AA37" s="184"/>
      <c r="AB37" s="107">
        <f t="shared" si="3"/>
        <v>50</v>
      </c>
      <c r="AC37" s="108"/>
      <c r="AD37" s="797"/>
      <c r="AE37" s="113"/>
      <c r="AF37" s="110" t="s">
        <v>125</v>
      </c>
      <c r="AG37" s="27" t="s">
        <v>148</v>
      </c>
      <c r="AI37" s="111"/>
      <c r="AJ37" s="111"/>
    </row>
    <row r="38" spans="1:36" ht="15">
      <c r="A38" s="772">
        <v>45851</v>
      </c>
      <c r="B38" s="180"/>
      <c r="C38" s="178">
        <v>175</v>
      </c>
      <c r="D38" s="103" t="str">
        <f>VLOOKUP(C38,'MASTER Name List'!$B$3:$M$186,2,FALSE)</f>
        <v>洪鼎惟</v>
      </c>
      <c r="E38" s="800">
        <v>45839</v>
      </c>
      <c r="F38" s="104"/>
      <c r="G38" s="104"/>
      <c r="H38" s="104"/>
      <c r="I38" s="204"/>
      <c r="J38" s="204"/>
      <c r="K38" s="205"/>
      <c r="L38" s="204"/>
      <c r="M38" s="204"/>
      <c r="N38" s="798"/>
      <c r="O38" s="798" t="s">
        <v>470</v>
      </c>
      <c r="P38" s="204"/>
      <c r="Q38" s="204"/>
      <c r="R38" s="204"/>
      <c r="S38" s="798"/>
      <c r="T38" s="798"/>
      <c r="U38" s="808"/>
      <c r="V38" s="808"/>
      <c r="W38" s="808"/>
      <c r="X38" s="112" t="str">
        <f t="shared" si="2"/>
        <v>1</v>
      </c>
      <c r="Y38" s="106">
        <v>50</v>
      </c>
      <c r="Z38" s="184"/>
      <c r="AA38" s="184"/>
      <c r="AB38" s="107">
        <f t="shared" si="3"/>
        <v>50</v>
      </c>
      <c r="AC38" s="108"/>
      <c r="AD38" s="797"/>
      <c r="AE38" s="113"/>
      <c r="AF38" s="110" t="s">
        <v>125</v>
      </c>
      <c r="AG38" s="27" t="s">
        <v>148</v>
      </c>
      <c r="AI38" s="111"/>
      <c r="AJ38" s="111"/>
    </row>
    <row r="39" spans="1:36" ht="15">
      <c r="A39" s="772">
        <v>45861</v>
      </c>
      <c r="B39" s="180"/>
      <c r="C39" s="178">
        <v>52</v>
      </c>
      <c r="D39" s="103" t="str">
        <f>VLOOKUP(C39,'MASTER Name List'!$B$3:$M$186,2,FALSE)</f>
        <v>陈宝蓉</v>
      </c>
      <c r="E39" s="800" t="s">
        <v>602</v>
      </c>
      <c r="F39" s="808"/>
      <c r="G39" s="808"/>
      <c r="H39" s="808"/>
      <c r="I39" s="798"/>
      <c r="J39" s="798"/>
      <c r="K39" s="798"/>
      <c r="L39" s="798"/>
      <c r="M39" s="798"/>
      <c r="N39" s="798"/>
      <c r="O39" s="798" t="s">
        <v>470</v>
      </c>
      <c r="P39" s="798" t="s">
        <v>470</v>
      </c>
      <c r="Q39" s="204"/>
      <c r="R39" s="204"/>
      <c r="S39" s="204"/>
      <c r="T39" s="204"/>
      <c r="U39" s="104"/>
      <c r="V39" s="104"/>
      <c r="W39" s="104"/>
      <c r="X39" s="112" t="str">
        <f t="shared" si="2"/>
        <v>2</v>
      </c>
      <c r="Y39" s="106">
        <v>50</v>
      </c>
      <c r="Z39" s="184"/>
      <c r="AA39" s="184"/>
      <c r="AB39" s="107">
        <f t="shared" si="3"/>
        <v>100</v>
      </c>
      <c r="AC39" s="108"/>
      <c r="AD39" s="797"/>
      <c r="AE39" s="113"/>
      <c r="AF39" s="110" t="s">
        <v>125</v>
      </c>
      <c r="AG39" s="809" t="s">
        <v>330</v>
      </c>
      <c r="AI39" s="111"/>
      <c r="AJ39" s="111"/>
    </row>
    <row r="40" spans="1:36" ht="15">
      <c r="A40" s="772"/>
      <c r="B40" s="180"/>
      <c r="C40" s="178"/>
      <c r="D40" s="103" t="e">
        <f>VLOOKUP(C40,'MASTER Name List'!$B$3:$M$186,2,FALSE)</f>
        <v>#N/A</v>
      </c>
      <c r="E40" s="173"/>
      <c r="F40" s="104"/>
      <c r="G40" s="104"/>
      <c r="H40" s="104"/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104"/>
      <c r="V40" s="104"/>
      <c r="W40" s="104"/>
      <c r="X40" s="112" t="str">
        <f t="shared" si="2"/>
        <v>0</v>
      </c>
      <c r="Y40" s="106">
        <v>50</v>
      </c>
      <c r="Z40" s="184"/>
      <c r="AA40" s="184"/>
      <c r="AB40" s="107">
        <f t="shared" si="3"/>
        <v>0</v>
      </c>
      <c r="AC40" s="108"/>
      <c r="AD40" s="797"/>
      <c r="AE40" s="113"/>
      <c r="AG40" s="190"/>
      <c r="AI40" s="111"/>
      <c r="AJ40" s="111"/>
    </row>
    <row r="41" spans="1:36" ht="15">
      <c r="A41" s="772"/>
      <c r="B41" s="180"/>
      <c r="C41" s="178"/>
      <c r="D41" s="103" t="e">
        <f>VLOOKUP(C41,'MASTER Name List'!$B$3:$M$186,2,FALSE)</f>
        <v>#N/A</v>
      </c>
      <c r="E41" s="173"/>
      <c r="F41" s="104"/>
      <c r="G41" s="104"/>
      <c r="H41" s="1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104"/>
      <c r="V41" s="104"/>
      <c r="W41" s="104"/>
      <c r="X41" s="112" t="str">
        <f t="shared" si="2"/>
        <v>0</v>
      </c>
      <c r="Y41" s="106">
        <v>50</v>
      </c>
      <c r="Z41" s="184"/>
      <c r="AA41" s="184"/>
      <c r="AB41" s="107">
        <f t="shared" si="3"/>
        <v>0</v>
      </c>
      <c r="AC41" s="108"/>
      <c r="AD41" s="797"/>
      <c r="AE41" s="113"/>
      <c r="AF41" s="113"/>
      <c r="AG41" s="191"/>
      <c r="AI41" s="111"/>
      <c r="AJ41" s="111"/>
    </row>
    <row r="42" spans="1:36" ht="15">
      <c r="A42" s="772"/>
      <c r="B42" s="180"/>
      <c r="C42" s="178"/>
      <c r="D42" s="103" t="e">
        <f>VLOOKUP(C42,'MASTER Name List'!$B$3:$M$186,2,FALSE)</f>
        <v>#N/A</v>
      </c>
      <c r="E42" s="173"/>
      <c r="F42" s="104"/>
      <c r="G42" s="104"/>
      <c r="H42" s="1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104"/>
      <c r="V42" s="104"/>
      <c r="W42" s="104"/>
      <c r="X42" s="112" t="str">
        <f t="shared" si="2"/>
        <v>0</v>
      </c>
      <c r="Y42" s="106">
        <v>50</v>
      </c>
      <c r="Z42" s="184"/>
      <c r="AA42" s="184"/>
      <c r="AB42" s="107">
        <f t="shared" si="3"/>
        <v>0</v>
      </c>
      <c r="AC42" s="108"/>
      <c r="AD42" s="797"/>
      <c r="AE42" s="113"/>
      <c r="AF42" s="110"/>
      <c r="AG42" s="191"/>
      <c r="AI42" s="111"/>
      <c r="AJ42" s="111"/>
    </row>
    <row r="43" spans="1:36" ht="15">
      <c r="A43" s="772"/>
      <c r="B43" s="180"/>
      <c r="C43" s="178"/>
      <c r="D43" s="103" t="e">
        <f>VLOOKUP(C43,'MASTER Name List'!$B$3:$M$186,2,FALSE)</f>
        <v>#N/A</v>
      </c>
      <c r="E43" s="173"/>
      <c r="F43" s="104"/>
      <c r="G43" s="104"/>
      <c r="H43" s="104"/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104"/>
      <c r="V43" s="104"/>
      <c r="W43" s="104"/>
      <c r="X43" s="112" t="str">
        <f t="shared" si="2"/>
        <v>0</v>
      </c>
      <c r="Y43" s="106">
        <v>50</v>
      </c>
      <c r="Z43" s="184"/>
      <c r="AA43" s="184"/>
      <c r="AB43" s="107">
        <f t="shared" si="3"/>
        <v>0</v>
      </c>
      <c r="AC43" s="108"/>
      <c r="AD43" s="797"/>
      <c r="AE43" s="113"/>
      <c r="AF43" s="110"/>
      <c r="AG43" s="191"/>
      <c r="AI43" s="111"/>
      <c r="AJ43" s="111"/>
    </row>
    <row r="44" spans="1:36" ht="15">
      <c r="A44" s="772"/>
      <c r="B44" s="180"/>
      <c r="C44" s="178"/>
      <c r="D44" s="103" t="e">
        <f>VLOOKUP(C44,'MASTER Name List'!$B$3:$M$186,2,FALSE)</f>
        <v>#N/A</v>
      </c>
      <c r="E44" s="173"/>
      <c r="F44" s="104"/>
      <c r="G44" s="104"/>
      <c r="H44" s="1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104"/>
      <c r="V44" s="104"/>
      <c r="W44" s="104"/>
      <c r="X44" s="112" t="str">
        <f t="shared" si="2"/>
        <v>0</v>
      </c>
      <c r="Y44" s="106">
        <v>50</v>
      </c>
      <c r="Z44" s="184"/>
      <c r="AA44" s="184"/>
      <c r="AB44" s="107">
        <f t="shared" si="3"/>
        <v>0</v>
      </c>
      <c r="AC44" s="108"/>
      <c r="AD44" s="797"/>
      <c r="AE44" s="113"/>
      <c r="AF44" s="110"/>
      <c r="AG44" s="191"/>
      <c r="AI44" s="111"/>
      <c r="AJ44" s="111"/>
    </row>
    <row r="45" spans="1:36" ht="15">
      <c r="A45" s="772"/>
      <c r="B45" s="180"/>
      <c r="C45" s="178"/>
      <c r="D45" s="103" t="e">
        <f>VLOOKUP(C45,'MASTER Name List'!$B$3:$M$186,2,FALSE)</f>
        <v>#N/A</v>
      </c>
      <c r="E45" s="173"/>
      <c r="F45" s="104"/>
      <c r="G45" s="104"/>
      <c r="H45" s="104"/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104"/>
      <c r="V45" s="104"/>
      <c r="W45" s="104"/>
      <c r="X45" s="112" t="str">
        <f t="shared" si="2"/>
        <v>0</v>
      </c>
      <c r="Y45" s="106">
        <v>50</v>
      </c>
      <c r="Z45" s="184"/>
      <c r="AA45" s="184"/>
      <c r="AB45" s="107">
        <f t="shared" si="3"/>
        <v>0</v>
      </c>
      <c r="AC45" s="108"/>
      <c r="AD45" s="797"/>
      <c r="AE45" s="113"/>
      <c r="AF45" s="110"/>
      <c r="AG45" s="191"/>
      <c r="AI45" s="111"/>
      <c r="AJ45" s="111"/>
    </row>
    <row r="46" spans="1:36" ht="15">
      <c r="A46" s="772"/>
      <c r="B46" s="180"/>
      <c r="C46" s="178"/>
      <c r="D46" s="103" t="e">
        <f>VLOOKUP(C46,'MASTER Name List'!$B$3:$M$186,2,FALSE)</f>
        <v>#N/A</v>
      </c>
      <c r="E46" s="173"/>
      <c r="F46" s="104"/>
      <c r="G46" s="104"/>
      <c r="H46" s="104"/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104"/>
      <c r="V46" s="104"/>
      <c r="W46" s="104"/>
      <c r="X46" s="112" t="str">
        <f t="shared" si="2"/>
        <v>0</v>
      </c>
      <c r="Y46" s="106">
        <v>50</v>
      </c>
      <c r="Z46" s="184"/>
      <c r="AA46" s="184"/>
      <c r="AB46" s="107">
        <f t="shared" si="3"/>
        <v>0</v>
      </c>
      <c r="AC46" s="108"/>
      <c r="AD46" s="797"/>
      <c r="AE46" s="113"/>
      <c r="AF46" s="110"/>
      <c r="AG46" s="191"/>
      <c r="AI46" s="111"/>
      <c r="AJ46" s="111"/>
    </row>
    <row r="47" spans="1:36" ht="15">
      <c r="A47" s="772"/>
      <c r="B47" s="180"/>
      <c r="C47" s="178"/>
      <c r="D47" s="103" t="e">
        <f>VLOOKUP(C47,'MASTER Name List'!$B$3:$M$186,2,FALSE)</f>
        <v>#N/A</v>
      </c>
      <c r="E47" s="173"/>
      <c r="F47" s="104"/>
      <c r="G47" s="104"/>
      <c r="H47" s="104"/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104"/>
      <c r="V47" s="104"/>
      <c r="W47" s="104"/>
      <c r="X47" s="112" t="str">
        <f t="shared" si="2"/>
        <v>0</v>
      </c>
      <c r="Y47" s="106">
        <v>50</v>
      </c>
      <c r="Z47" s="184"/>
      <c r="AA47" s="184"/>
      <c r="AB47" s="107">
        <f t="shared" si="3"/>
        <v>0</v>
      </c>
      <c r="AC47" s="108"/>
      <c r="AD47" s="797"/>
      <c r="AE47" s="113"/>
      <c r="AF47" s="110"/>
      <c r="AG47" s="191"/>
      <c r="AI47" s="111"/>
      <c r="AJ47" s="111"/>
    </row>
    <row r="48" spans="1:36" ht="15">
      <c r="A48" s="772"/>
      <c r="B48" s="180"/>
      <c r="C48" s="178"/>
      <c r="D48" s="103" t="e">
        <f>VLOOKUP(C48,'MASTER Name List'!$B$3:$M$186,2,FALSE)</f>
        <v>#N/A</v>
      </c>
      <c r="E48" s="173"/>
      <c r="F48" s="104"/>
      <c r="G48" s="104"/>
      <c r="H48" s="1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104"/>
      <c r="V48" s="104"/>
      <c r="W48" s="104"/>
      <c r="X48" s="112" t="str">
        <f t="shared" si="2"/>
        <v>0</v>
      </c>
      <c r="Y48" s="106">
        <v>50</v>
      </c>
      <c r="Z48" s="184"/>
      <c r="AA48" s="184"/>
      <c r="AB48" s="107">
        <f t="shared" si="3"/>
        <v>0</v>
      </c>
      <c r="AC48" s="108"/>
      <c r="AD48" s="797"/>
      <c r="AE48" s="113"/>
      <c r="AF48" s="110"/>
      <c r="AG48" s="191"/>
      <c r="AI48" s="111"/>
      <c r="AJ48" s="111"/>
    </row>
    <row r="49" spans="1:36" ht="15">
      <c r="A49" s="772"/>
      <c r="B49" s="180"/>
      <c r="C49" s="178"/>
      <c r="D49" s="103" t="e">
        <f>VLOOKUP(C49,'MASTER Name List'!$B$3:$M$186,2,FALSE)</f>
        <v>#N/A</v>
      </c>
      <c r="E49" s="173"/>
      <c r="F49" s="104"/>
      <c r="G49" s="104"/>
      <c r="H49" s="1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104"/>
      <c r="V49" s="104"/>
      <c r="W49" s="104"/>
      <c r="X49" s="112" t="str">
        <f t="shared" si="2"/>
        <v>0</v>
      </c>
      <c r="Y49" s="106">
        <v>50</v>
      </c>
      <c r="Z49" s="184"/>
      <c r="AA49" s="184"/>
      <c r="AB49" s="107">
        <f t="shared" si="3"/>
        <v>0</v>
      </c>
      <c r="AC49" s="108"/>
      <c r="AD49" s="797"/>
      <c r="AE49" s="113"/>
      <c r="AF49" s="110"/>
      <c r="AG49" s="191"/>
      <c r="AI49" s="111"/>
      <c r="AJ49" s="111"/>
    </row>
    <row r="50" spans="1:36" ht="15">
      <c r="A50" s="772"/>
      <c r="B50" s="180"/>
      <c r="C50" s="178"/>
      <c r="D50" s="103" t="e">
        <f>VLOOKUP(C50,'MASTER Name List'!$B$3:$M$186,2,FALSE)</f>
        <v>#N/A</v>
      </c>
      <c r="E50" s="173"/>
      <c r="F50" s="104"/>
      <c r="G50" s="104"/>
      <c r="H50" s="1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104"/>
      <c r="V50" s="104"/>
      <c r="W50" s="104"/>
      <c r="X50" s="112" t="str">
        <f t="shared" si="2"/>
        <v>0</v>
      </c>
      <c r="Y50" s="106">
        <v>50</v>
      </c>
      <c r="Z50" s="184"/>
      <c r="AA50" s="184"/>
      <c r="AB50" s="107">
        <f t="shared" si="3"/>
        <v>0</v>
      </c>
      <c r="AC50" s="108"/>
      <c r="AD50" s="797"/>
      <c r="AE50" s="113"/>
      <c r="AF50" s="110"/>
      <c r="AG50" s="191"/>
      <c r="AI50" s="111"/>
      <c r="AJ50" s="111"/>
    </row>
    <row r="51" spans="1:36" ht="15">
      <c r="A51" s="772"/>
      <c r="B51" s="178"/>
      <c r="C51" s="178"/>
      <c r="D51" s="103"/>
      <c r="E51" s="175"/>
      <c r="F51" s="117"/>
      <c r="G51" s="117"/>
      <c r="H51" s="11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117"/>
      <c r="V51" s="117"/>
      <c r="W51" s="117"/>
      <c r="X51" s="117"/>
      <c r="Y51" s="118"/>
      <c r="Z51" s="184"/>
      <c r="AA51" s="184"/>
      <c r="AB51" s="107">
        <f t="shared" si="3"/>
        <v>0</v>
      </c>
      <c r="AC51" s="108"/>
      <c r="AD51" s="797"/>
      <c r="AE51" s="113"/>
      <c r="AF51" s="120"/>
      <c r="AG51" s="191"/>
      <c r="AI51" s="111"/>
      <c r="AJ51" s="111"/>
    </row>
    <row r="52" spans="1:36" ht="15">
      <c r="A52" s="772"/>
      <c r="B52" s="181"/>
      <c r="C52" s="182"/>
      <c r="D52" s="121"/>
      <c r="E52" s="176"/>
      <c r="F52" s="122"/>
      <c r="G52" s="122"/>
      <c r="H52" s="122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122"/>
      <c r="V52" s="122"/>
      <c r="W52" s="122"/>
      <c r="X52" s="122"/>
      <c r="Y52" s="123"/>
      <c r="Z52" s="124"/>
      <c r="AA52" s="124"/>
      <c r="AB52" s="124"/>
      <c r="AC52" s="125"/>
      <c r="AD52" s="126"/>
      <c r="AE52" s="126"/>
      <c r="AF52" s="126"/>
    </row>
    <row r="53" spans="1:36" ht="15">
      <c r="B53" s="127"/>
      <c r="C53" s="127"/>
      <c r="Z53" s="128"/>
      <c r="AA53" s="128"/>
      <c r="AB53" s="128"/>
      <c r="AC53" s="129"/>
    </row>
    <row r="54" spans="1:36" ht="15.6" thickBot="1">
      <c r="B54" s="127"/>
      <c r="C54" s="127"/>
      <c r="Z54" s="130">
        <f>SUM(Z8:Z53)</f>
        <v>1900</v>
      </c>
      <c r="AA54" s="130">
        <f>SUM(AA8:AA53)</f>
        <v>0</v>
      </c>
      <c r="AB54" s="130">
        <f>SUM(AB8:AB53)</f>
        <v>450</v>
      </c>
      <c r="AC54" s="131"/>
      <c r="AD54" s="132">
        <f>SUM(AD8:AD53)</f>
        <v>1900</v>
      </c>
    </row>
    <row r="55" spans="1:36" ht="15" thickTop="1">
      <c r="Z55" s="133"/>
      <c r="AA55" s="133"/>
      <c r="AB55" s="133"/>
      <c r="AC55" s="129"/>
    </row>
    <row r="56" spans="1:36" s="84" customFormat="1">
      <c r="E56" s="81"/>
      <c r="Y56" s="85"/>
      <c r="Z56" s="134"/>
      <c r="AA56" s="134"/>
      <c r="AB56" s="134"/>
      <c r="AG56" s="186"/>
    </row>
  </sheetData>
  <mergeCells count="1">
    <mergeCell ref="Z6:AB6"/>
  </mergeCells>
  <phoneticPr fontId="35" type="noConversion"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8E7D-9E33-46B9-A1F4-D74D4FF9436F}">
  <sheetPr>
    <tabColor rgb="FF00B0F0"/>
  </sheetPr>
  <dimension ref="A4:U55"/>
  <sheetViews>
    <sheetView zoomScale="90" zoomScaleNormal="90" workbookViewId="0">
      <pane ySplit="8" topLeftCell="A9" activePane="bottomLeft" state="frozen"/>
      <selection activeCell="E38" sqref="E38"/>
      <selection pane="bottomLeft" activeCell="L53" activeCellId="1" sqref="J53 L53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27.44140625" style="366" bestFit="1" customWidth="1"/>
    <col min="18" max="19" width="9.33203125" style="367"/>
    <col min="20" max="20" width="10.6640625" style="367" customWidth="1"/>
    <col min="21" max="16384" width="9.33203125" style="367"/>
  </cols>
  <sheetData>
    <row r="4" spans="1:21" ht="15">
      <c r="N4" s="58" t="s">
        <v>630</v>
      </c>
    </row>
    <row r="5" spans="1:21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1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1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1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1" ht="15">
      <c r="A9" s="427" t="s">
        <v>632</v>
      </c>
      <c r="B9" s="305" t="s">
        <v>631</v>
      </c>
      <c r="C9" s="428"/>
      <c r="D9" s="390" t="e">
        <f>VLOOKUP(C9,'MASTER Name List'!$B$3:$M$186,2,FALSE)</f>
        <v>#N/A</v>
      </c>
      <c r="E9" s="420"/>
      <c r="F9" s="420"/>
      <c r="G9" s="429"/>
      <c r="H9" s="422">
        <f t="shared" ref="H9:H29" si="0">DATEDIF(E9,F9,"M")+1</f>
        <v>1</v>
      </c>
      <c r="I9" s="392">
        <v>50</v>
      </c>
      <c r="J9" s="107" t="str">
        <f>IF($C9="","-",$H9*$I9)</f>
        <v>-</v>
      </c>
      <c r="K9" s="184"/>
      <c r="L9" s="184"/>
      <c r="M9" s="108"/>
      <c r="N9" s="797"/>
      <c r="O9" s="109"/>
      <c r="P9" s="330" t="s">
        <v>572</v>
      </c>
      <c r="Q9" s="395"/>
      <c r="S9" s="396"/>
      <c r="T9" s="396"/>
    </row>
    <row r="10" spans="1:21" ht="15">
      <c r="A10" s="379">
        <v>45840</v>
      </c>
      <c r="B10" s="177" t="s">
        <v>633</v>
      </c>
      <c r="C10" s="359">
        <v>4</v>
      </c>
      <c r="D10" s="390" t="str">
        <f>VLOOKUP(C10,'MASTER Name List'!$B$3:$M$186,2,FALSE)</f>
        <v>邹运金</v>
      </c>
      <c r="E10" s="420">
        <v>45839</v>
      </c>
      <c r="F10" s="420">
        <v>45870</v>
      </c>
      <c r="G10" s="391" t="s">
        <v>581</v>
      </c>
      <c r="H10" s="422">
        <f t="shared" si="0"/>
        <v>2</v>
      </c>
      <c r="I10" s="392">
        <v>50</v>
      </c>
      <c r="J10" s="107">
        <f t="shared" ref="J10:J29" si="1">IF($C10="","-",$H10*$I10)</f>
        <v>100</v>
      </c>
      <c r="K10" s="184"/>
      <c r="L10" s="184"/>
      <c r="M10" s="108">
        <v>1</v>
      </c>
      <c r="N10" s="797"/>
      <c r="O10" s="113"/>
      <c r="P10" s="114"/>
      <c r="Q10" s="399"/>
      <c r="S10" s="396"/>
      <c r="T10" s="396"/>
      <c r="U10" s="240">
        <v>45536</v>
      </c>
    </row>
    <row r="11" spans="1:21" ht="15">
      <c r="A11" s="379">
        <v>45842</v>
      </c>
      <c r="B11" s="177" t="s">
        <v>634</v>
      </c>
      <c r="C11" s="359">
        <v>185</v>
      </c>
      <c r="D11" s="390" t="str">
        <f>VLOOKUP(C11,'MASTER Name List'!$B$3:$M$186,2,FALSE)</f>
        <v>羅梅瑂</v>
      </c>
      <c r="E11" s="420">
        <v>45839</v>
      </c>
      <c r="F11" s="420">
        <v>45901</v>
      </c>
      <c r="G11" s="391" t="s">
        <v>597</v>
      </c>
      <c r="H11" s="422">
        <f t="shared" si="0"/>
        <v>3</v>
      </c>
      <c r="I11" s="392">
        <v>50</v>
      </c>
      <c r="J11" s="107">
        <f t="shared" si="1"/>
        <v>150</v>
      </c>
      <c r="K11" s="184"/>
      <c r="L11" s="184"/>
      <c r="M11" s="108">
        <v>1</v>
      </c>
      <c r="N11" s="797"/>
      <c r="O11" s="113"/>
      <c r="P11" s="84"/>
      <c r="Q11" s="399"/>
      <c r="S11" s="396"/>
      <c r="T11" s="396"/>
      <c r="U11" s="240">
        <v>45566</v>
      </c>
    </row>
    <row r="12" spans="1:21" ht="15">
      <c r="A12" s="379">
        <v>45843</v>
      </c>
      <c r="B12" s="177" t="s">
        <v>635</v>
      </c>
      <c r="C12" s="359">
        <v>186</v>
      </c>
      <c r="D12" s="390" t="str">
        <f>VLOOKUP(C12,'MASTER Name List'!$B$3:$M$186,2,FALSE)</f>
        <v>刘玉云</v>
      </c>
      <c r="E12" s="420">
        <v>45839</v>
      </c>
      <c r="F12" s="420">
        <v>45870</v>
      </c>
      <c r="G12" s="391" t="s">
        <v>581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1</v>
      </c>
      <c r="N12" s="797">
        <f>SUMIF(M:M,"1",J:J)</f>
        <v>350</v>
      </c>
      <c r="O12" s="113" t="s">
        <v>598</v>
      </c>
      <c r="P12" s="84"/>
      <c r="Q12" s="399"/>
      <c r="S12" s="396"/>
      <c r="T12" s="396"/>
      <c r="U12" s="240">
        <v>45597</v>
      </c>
    </row>
    <row r="13" spans="1:21" ht="15">
      <c r="A13" s="379">
        <v>45843</v>
      </c>
      <c r="B13" s="177" t="s">
        <v>636</v>
      </c>
      <c r="C13" s="359">
        <v>223</v>
      </c>
      <c r="D13" s="390" t="str">
        <f>VLOOKUP(C13,'MASTER Name List'!$B$3:$M$186,2,FALSE)</f>
        <v>黄莉珍</v>
      </c>
      <c r="E13" s="420">
        <v>45778</v>
      </c>
      <c r="F13" s="420">
        <v>45870</v>
      </c>
      <c r="G13" s="391" t="s">
        <v>520</v>
      </c>
      <c r="H13" s="422">
        <f t="shared" si="0"/>
        <v>4</v>
      </c>
      <c r="I13" s="392">
        <v>50</v>
      </c>
      <c r="J13" s="107">
        <f t="shared" si="1"/>
        <v>200</v>
      </c>
      <c r="K13" s="184"/>
      <c r="L13" s="184"/>
      <c r="M13" s="108">
        <v>2</v>
      </c>
      <c r="N13" s="797"/>
      <c r="O13" s="113"/>
      <c r="P13" s="84"/>
      <c r="Q13" s="399"/>
      <c r="S13" s="396"/>
      <c r="T13" s="396"/>
      <c r="U13" s="240">
        <v>45627</v>
      </c>
    </row>
    <row r="14" spans="1:21" ht="15">
      <c r="A14" s="379">
        <v>45849</v>
      </c>
      <c r="B14" s="177" t="s">
        <v>637</v>
      </c>
      <c r="C14" s="359">
        <v>19</v>
      </c>
      <c r="D14" s="390" t="str">
        <f>VLOOKUP(C14,'MASTER Name List'!$B$3:$M$186,2,FALSE)</f>
        <v>廖秋华</v>
      </c>
      <c r="E14" s="420">
        <v>45778</v>
      </c>
      <c r="F14" s="420">
        <v>45809</v>
      </c>
      <c r="G14" s="391" t="s">
        <v>638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108">
        <v>2</v>
      </c>
      <c r="N14" s="797"/>
      <c r="O14" s="113"/>
      <c r="P14" s="84"/>
      <c r="Q14" s="399"/>
      <c r="S14" s="396"/>
      <c r="T14" s="396"/>
      <c r="U14" s="400">
        <v>45658</v>
      </c>
    </row>
    <row r="15" spans="1:21" ht="15">
      <c r="A15" s="379">
        <v>45851</v>
      </c>
      <c r="B15" s="177" t="s">
        <v>639</v>
      </c>
      <c r="C15" s="359">
        <v>72</v>
      </c>
      <c r="D15" s="390" t="str">
        <f>VLOOKUP(C15,'MASTER Name List'!$B$3:$M$186,2,FALSE)</f>
        <v>何月琼</v>
      </c>
      <c r="E15" s="420">
        <v>45748</v>
      </c>
      <c r="F15" s="420">
        <v>45809</v>
      </c>
      <c r="G15" s="391" t="s">
        <v>640</v>
      </c>
      <c r="H15" s="422">
        <f t="shared" si="0"/>
        <v>3</v>
      </c>
      <c r="I15" s="392">
        <v>50</v>
      </c>
      <c r="J15" s="107">
        <f t="shared" si="1"/>
        <v>150</v>
      </c>
      <c r="K15" s="184"/>
      <c r="L15" s="184"/>
      <c r="M15" s="108">
        <v>2</v>
      </c>
      <c r="N15" s="797"/>
      <c r="O15" s="113"/>
      <c r="P15" s="84"/>
      <c r="Q15" s="399"/>
      <c r="S15" s="396"/>
      <c r="T15" s="396"/>
      <c r="U15" s="400">
        <v>45689</v>
      </c>
    </row>
    <row r="16" spans="1:21" ht="15">
      <c r="A16" s="379">
        <v>45851</v>
      </c>
      <c r="B16" s="177" t="s">
        <v>641</v>
      </c>
      <c r="C16" s="359">
        <v>86</v>
      </c>
      <c r="D16" s="390" t="str">
        <f>VLOOKUP(C16,'MASTER Name List'!$B$3:$M$186,2,FALSE)</f>
        <v>蔡祥贤</v>
      </c>
      <c r="E16" s="420">
        <v>45748</v>
      </c>
      <c r="F16" s="420">
        <v>45809</v>
      </c>
      <c r="G16" s="391" t="s">
        <v>640</v>
      </c>
      <c r="H16" s="422">
        <f t="shared" si="0"/>
        <v>3</v>
      </c>
      <c r="I16" s="392">
        <v>50</v>
      </c>
      <c r="J16" s="107">
        <f t="shared" si="1"/>
        <v>150</v>
      </c>
      <c r="K16" s="184"/>
      <c r="L16" s="184"/>
      <c r="M16" s="108">
        <v>2</v>
      </c>
      <c r="N16" s="797"/>
      <c r="O16" s="113"/>
      <c r="P16" s="84"/>
      <c r="Q16" s="399"/>
      <c r="S16" s="396"/>
      <c r="T16" s="396"/>
      <c r="U16" s="400">
        <v>45717</v>
      </c>
    </row>
    <row r="17" spans="1:21" ht="15">
      <c r="A17" s="379">
        <v>45851</v>
      </c>
      <c r="B17" s="177" t="s">
        <v>642</v>
      </c>
      <c r="C17" s="359">
        <v>180</v>
      </c>
      <c r="D17" s="390" t="str">
        <f>VLOOKUP(C17,'MASTER Name List'!$B$3:$M$186,2,FALSE)</f>
        <v>蔡健铭</v>
      </c>
      <c r="E17" s="420">
        <v>45748</v>
      </c>
      <c r="F17" s="420">
        <v>45809</v>
      </c>
      <c r="G17" s="391" t="s">
        <v>640</v>
      </c>
      <c r="H17" s="422">
        <f t="shared" si="0"/>
        <v>3</v>
      </c>
      <c r="I17" s="392">
        <v>50</v>
      </c>
      <c r="J17" s="107">
        <f t="shared" si="1"/>
        <v>150</v>
      </c>
      <c r="K17" s="184"/>
      <c r="L17" s="184"/>
      <c r="M17" s="108">
        <v>2</v>
      </c>
      <c r="N17" s="797"/>
      <c r="O17" s="113"/>
      <c r="P17" s="84"/>
      <c r="Q17" s="399"/>
      <c r="S17" s="396"/>
      <c r="T17" s="396"/>
      <c r="U17" s="400">
        <v>45748</v>
      </c>
    </row>
    <row r="18" spans="1:21" ht="15">
      <c r="A18" s="379">
        <v>45854</v>
      </c>
      <c r="B18" s="177" t="s">
        <v>643</v>
      </c>
      <c r="C18" s="359">
        <v>126</v>
      </c>
      <c r="D18" s="390" t="str">
        <f>VLOOKUP(C18,'MASTER Name List'!$B$3:$M$186,2,FALSE)</f>
        <v>张凤</v>
      </c>
      <c r="E18" s="420">
        <v>45839</v>
      </c>
      <c r="F18" s="420">
        <v>45901</v>
      </c>
      <c r="G18" s="391" t="s">
        <v>644</v>
      </c>
      <c r="H18" s="422">
        <f t="shared" si="0"/>
        <v>3</v>
      </c>
      <c r="I18" s="392">
        <v>50</v>
      </c>
      <c r="J18" s="107">
        <f t="shared" si="1"/>
        <v>150</v>
      </c>
      <c r="K18" s="184"/>
      <c r="L18" s="184"/>
      <c r="M18" s="108">
        <v>2</v>
      </c>
      <c r="N18" s="797"/>
      <c r="O18" s="113"/>
      <c r="P18" s="114"/>
      <c r="Q18" s="399"/>
      <c r="S18" s="396"/>
      <c r="T18" s="396"/>
      <c r="U18" s="400">
        <v>45778</v>
      </c>
    </row>
    <row r="19" spans="1:21" ht="15">
      <c r="A19" s="379">
        <v>45854</v>
      </c>
      <c r="B19" s="177" t="s">
        <v>645</v>
      </c>
      <c r="C19" s="359">
        <v>3</v>
      </c>
      <c r="D19" s="390" t="str">
        <f>VLOOKUP(C19,'MASTER Name List'!$B$3:$M$186,2,FALSE)</f>
        <v>Anna Justina</v>
      </c>
      <c r="E19" s="420">
        <v>45839</v>
      </c>
      <c r="F19" s="420">
        <v>45870</v>
      </c>
      <c r="G19" s="401" t="s">
        <v>646</v>
      </c>
      <c r="H19" s="422">
        <f t="shared" si="0"/>
        <v>2</v>
      </c>
      <c r="I19" s="392">
        <v>50</v>
      </c>
      <c r="J19" s="107">
        <f t="shared" si="1"/>
        <v>100</v>
      </c>
      <c r="K19" s="184"/>
      <c r="L19" s="184"/>
      <c r="M19" s="108">
        <v>2</v>
      </c>
      <c r="N19" s="797"/>
      <c r="O19" s="113"/>
      <c r="P19" s="114"/>
      <c r="Q19" s="399"/>
      <c r="S19" s="396"/>
      <c r="T19" s="396"/>
      <c r="U19" s="400">
        <v>45809</v>
      </c>
    </row>
    <row r="20" spans="1:21" ht="15">
      <c r="A20" s="379">
        <v>45855</v>
      </c>
      <c r="B20" s="177" t="s">
        <v>647</v>
      </c>
      <c r="C20" s="359">
        <v>208</v>
      </c>
      <c r="D20" s="390" t="str">
        <f>VLOOKUP(C20,'MASTER Name List'!$B$3:$M$186,2,FALSE)</f>
        <v>萧志倫</v>
      </c>
      <c r="E20" s="420">
        <v>45809</v>
      </c>
      <c r="F20" s="420">
        <v>45809</v>
      </c>
      <c r="G20" s="401" t="s">
        <v>648</v>
      </c>
      <c r="H20" s="422">
        <f t="shared" si="0"/>
        <v>1</v>
      </c>
      <c r="I20" s="392">
        <v>50</v>
      </c>
      <c r="J20" s="107">
        <f t="shared" si="1"/>
        <v>50</v>
      </c>
      <c r="K20" s="184"/>
      <c r="L20" s="184"/>
      <c r="M20" s="108">
        <v>2</v>
      </c>
      <c r="N20" s="797"/>
      <c r="O20" s="113"/>
      <c r="P20" s="114"/>
      <c r="Q20" s="399"/>
      <c r="S20" s="396"/>
      <c r="T20" s="396"/>
      <c r="U20" s="400">
        <v>45839</v>
      </c>
    </row>
    <row r="21" spans="1:21" ht="15">
      <c r="A21" s="379">
        <v>45856</v>
      </c>
      <c r="B21" s="177" t="s">
        <v>649</v>
      </c>
      <c r="C21" s="359">
        <v>170</v>
      </c>
      <c r="D21" s="390" t="str">
        <f>VLOOKUP(C21,'MASTER Name List'!$B$3:$M$186,2,FALSE)</f>
        <v>陈柔霓</v>
      </c>
      <c r="E21" s="420">
        <v>45839</v>
      </c>
      <c r="F21" s="420">
        <v>45870</v>
      </c>
      <c r="G21" s="401" t="s">
        <v>646</v>
      </c>
      <c r="H21" s="422">
        <f t="shared" si="0"/>
        <v>2</v>
      </c>
      <c r="I21" s="392">
        <v>50</v>
      </c>
      <c r="J21" s="107">
        <f t="shared" si="1"/>
        <v>100</v>
      </c>
      <c r="K21" s="184"/>
      <c r="L21" s="184"/>
      <c r="M21" s="108">
        <v>2</v>
      </c>
      <c r="N21" s="797"/>
      <c r="O21" s="113"/>
      <c r="P21" s="114"/>
      <c r="Q21" s="399"/>
      <c r="S21" s="396"/>
      <c r="T21" s="396"/>
      <c r="U21" s="400">
        <v>45870</v>
      </c>
    </row>
    <row r="22" spans="1:21" ht="15">
      <c r="A22" s="379">
        <v>45857</v>
      </c>
      <c r="B22" s="177" t="s">
        <v>650</v>
      </c>
      <c r="C22" s="359">
        <v>226</v>
      </c>
      <c r="D22" s="390" t="str">
        <f>VLOOKUP(C22,'MASTER Name List'!$B$3:$M$186,2,FALSE)</f>
        <v>锺镒壕</v>
      </c>
      <c r="E22" s="420">
        <v>45839</v>
      </c>
      <c r="F22" s="420">
        <v>45901</v>
      </c>
      <c r="G22" s="401" t="s">
        <v>644</v>
      </c>
      <c r="H22" s="422">
        <f t="shared" si="0"/>
        <v>3</v>
      </c>
      <c r="I22" s="392">
        <v>50</v>
      </c>
      <c r="J22" s="107">
        <f t="shared" si="1"/>
        <v>150</v>
      </c>
      <c r="K22" s="184"/>
      <c r="L22" s="184"/>
      <c r="M22" s="108">
        <v>2</v>
      </c>
      <c r="N22" s="797"/>
      <c r="O22" s="113"/>
      <c r="P22" s="114"/>
      <c r="Q22" s="399"/>
      <c r="S22" s="396"/>
      <c r="T22" s="396"/>
      <c r="U22" s="400">
        <v>45901</v>
      </c>
    </row>
    <row r="23" spans="1:21" ht="15">
      <c r="A23" s="379">
        <v>45858</v>
      </c>
      <c r="B23" s="177" t="s">
        <v>651</v>
      </c>
      <c r="C23" s="359">
        <v>155</v>
      </c>
      <c r="D23" s="390" t="str">
        <f>VLOOKUP(C23,'MASTER Name List'!$B$3:$M$186,2,FALSE)</f>
        <v>李宝珠</v>
      </c>
      <c r="E23" s="420">
        <v>45839</v>
      </c>
      <c r="F23" s="420">
        <v>45870</v>
      </c>
      <c r="G23" s="362" t="s">
        <v>652</v>
      </c>
      <c r="H23" s="422">
        <f t="shared" si="0"/>
        <v>2</v>
      </c>
      <c r="I23" s="392">
        <v>50</v>
      </c>
      <c r="J23" s="107">
        <f t="shared" si="1"/>
        <v>100</v>
      </c>
      <c r="K23" s="184"/>
      <c r="L23" s="184"/>
      <c r="M23" s="108">
        <v>2</v>
      </c>
      <c r="N23" s="797">
        <f>SUMIF(M:M,"2",J:J)</f>
        <v>1400</v>
      </c>
      <c r="O23" s="113" t="s">
        <v>653</v>
      </c>
      <c r="P23" s="110"/>
      <c r="Q23" s="399"/>
      <c r="S23" s="396"/>
      <c r="T23" s="396"/>
      <c r="U23" s="400"/>
    </row>
    <row r="24" spans="1:21" ht="15">
      <c r="A24" s="379">
        <v>45863</v>
      </c>
      <c r="B24" s="177" t="s">
        <v>654</v>
      </c>
      <c r="C24" s="359">
        <v>181</v>
      </c>
      <c r="D24" s="390" t="str">
        <f>VLOOKUP(C24,'MASTER Name List'!$B$3:$M$186,2,FALSE)</f>
        <v>陈金清</v>
      </c>
      <c r="E24" s="420">
        <v>45839</v>
      </c>
      <c r="F24" s="420">
        <v>45870</v>
      </c>
      <c r="G24" s="362" t="s">
        <v>581</v>
      </c>
      <c r="H24" s="422">
        <f t="shared" si="0"/>
        <v>2</v>
      </c>
      <c r="I24" s="392">
        <v>50</v>
      </c>
      <c r="J24" s="107">
        <f t="shared" si="1"/>
        <v>100</v>
      </c>
      <c r="K24" s="184"/>
      <c r="L24" s="184"/>
      <c r="M24" s="108">
        <v>3</v>
      </c>
      <c r="N24" s="797"/>
      <c r="O24" s="113"/>
      <c r="P24" s="110"/>
      <c r="Q24" s="399"/>
      <c r="S24" s="396"/>
      <c r="T24" s="396"/>
      <c r="U24" s="400"/>
    </row>
    <row r="25" spans="1:21" ht="15">
      <c r="A25" s="379">
        <v>45866</v>
      </c>
      <c r="B25" s="177" t="s">
        <v>655</v>
      </c>
      <c r="C25" s="359">
        <v>208</v>
      </c>
      <c r="D25" s="390" t="str">
        <f>VLOOKUP(C25,'MASTER Name List'!$B$3:$M$186,2,FALSE)</f>
        <v>萧志倫</v>
      </c>
      <c r="E25" s="420">
        <v>45839</v>
      </c>
      <c r="F25" s="420">
        <v>45839</v>
      </c>
      <c r="G25" s="430">
        <v>45839</v>
      </c>
      <c r="H25" s="422">
        <f t="shared" si="0"/>
        <v>1</v>
      </c>
      <c r="I25" s="392">
        <v>50</v>
      </c>
      <c r="J25" s="107">
        <f t="shared" si="1"/>
        <v>50</v>
      </c>
      <c r="K25" s="184"/>
      <c r="L25" s="184"/>
      <c r="M25" s="108">
        <v>3</v>
      </c>
      <c r="N25" s="797">
        <f>SUMIF(M:M,"3",J:J)</f>
        <v>150</v>
      </c>
      <c r="O25" s="113" t="s">
        <v>656</v>
      </c>
      <c r="P25" s="110"/>
      <c r="Q25" s="399"/>
      <c r="S25" s="396"/>
      <c r="T25" s="396"/>
      <c r="U25" s="400"/>
    </row>
    <row r="26" spans="1:21" ht="15">
      <c r="A26" s="379"/>
      <c r="B26" s="177"/>
      <c r="C26" s="389"/>
      <c r="D26" s="390" t="e">
        <f>VLOOKUP(C26,'MASTER Name List'!$B$3:$M$186,2,FALSE)</f>
        <v>#N/A</v>
      </c>
      <c r="E26" s="420"/>
      <c r="F26" s="420"/>
      <c r="G26" s="401"/>
      <c r="H26" s="422">
        <f t="shared" si="0"/>
        <v>1</v>
      </c>
      <c r="I26" s="392">
        <v>50</v>
      </c>
      <c r="J26" s="107" t="str">
        <f t="shared" si="1"/>
        <v>-</v>
      </c>
      <c r="K26" s="184"/>
      <c r="L26" s="184"/>
      <c r="M26" s="108"/>
      <c r="N26" s="797"/>
      <c r="O26" s="113"/>
      <c r="P26" s="110"/>
      <c r="Q26" s="399"/>
      <c r="S26" s="396"/>
      <c r="T26" s="396"/>
      <c r="U26" s="400"/>
    </row>
    <row r="27" spans="1:21" ht="15">
      <c r="A27" s="379"/>
      <c r="B27" s="177"/>
      <c r="C27" s="389"/>
      <c r="D27" s="390" t="e">
        <f>VLOOKUP(C27,'MASTER Name List'!$B$3:$M$186,2,FALSE)</f>
        <v>#N/A</v>
      </c>
      <c r="E27" s="420"/>
      <c r="F27" s="420"/>
      <c r="G27" s="401"/>
      <c r="H27" s="422">
        <f t="shared" si="0"/>
        <v>1</v>
      </c>
      <c r="I27" s="392">
        <v>50</v>
      </c>
      <c r="J27" s="107" t="str">
        <f t="shared" si="1"/>
        <v>-</v>
      </c>
      <c r="K27" s="184"/>
      <c r="L27" s="184"/>
      <c r="M27" s="108"/>
      <c r="N27" s="797"/>
      <c r="O27" s="113"/>
      <c r="P27" s="110"/>
      <c r="Q27" s="399"/>
      <c r="S27" s="396"/>
      <c r="T27" s="396"/>
      <c r="U27" s="400"/>
    </row>
    <row r="28" spans="1:21" ht="15">
      <c r="A28" s="379"/>
      <c r="B28" s="177"/>
      <c r="C28" s="389"/>
      <c r="D28" s="390" t="e">
        <f>VLOOKUP(C28,'MASTER Name List'!$B$3:$M$186,2,FALSE)</f>
        <v>#N/A</v>
      </c>
      <c r="E28" s="420"/>
      <c r="F28" s="420"/>
      <c r="G28" s="401"/>
      <c r="H28" s="422">
        <f t="shared" si="0"/>
        <v>1</v>
      </c>
      <c r="I28" s="392">
        <v>50</v>
      </c>
      <c r="J28" s="107" t="str">
        <f t="shared" si="1"/>
        <v>-</v>
      </c>
      <c r="K28" s="184"/>
      <c r="L28" s="184"/>
      <c r="M28" s="108"/>
      <c r="N28" s="797"/>
      <c r="O28" s="113"/>
      <c r="P28" s="110"/>
      <c r="Q28" s="399"/>
      <c r="S28" s="396"/>
      <c r="T28" s="396"/>
      <c r="U28" s="400"/>
    </row>
    <row r="29" spans="1:21" ht="15">
      <c r="A29" s="379"/>
      <c r="B29" s="177"/>
      <c r="C29" s="389"/>
      <c r="D29" s="390" t="e">
        <f>VLOOKUP(C29,'MASTER Name List'!$B$3:$M$186,2,FALSE)</f>
        <v>#N/A</v>
      </c>
      <c r="E29" s="420"/>
      <c r="F29" s="420"/>
      <c r="G29" s="402"/>
      <c r="H29" s="422">
        <f t="shared" si="0"/>
        <v>1</v>
      </c>
      <c r="I29" s="392">
        <v>50</v>
      </c>
      <c r="J29" s="107" t="str">
        <f t="shared" si="1"/>
        <v>-</v>
      </c>
      <c r="K29" s="184"/>
      <c r="L29" s="184"/>
      <c r="M29" s="108"/>
      <c r="N29" s="797"/>
      <c r="O29" s="113"/>
      <c r="P29" s="110"/>
      <c r="Q29" s="399"/>
      <c r="S29" s="396"/>
      <c r="T29" s="396"/>
      <c r="U29" s="400">
        <v>45931</v>
      </c>
    </row>
    <row r="30" spans="1:21" ht="15">
      <c r="A30" s="379"/>
      <c r="B30" s="177"/>
      <c r="C30" s="389"/>
      <c r="D30" s="390"/>
      <c r="E30" s="420"/>
      <c r="F30" s="420"/>
      <c r="G30" s="402"/>
      <c r="H30" s="403"/>
      <c r="I30" s="404"/>
      <c r="J30" s="107"/>
      <c r="K30" s="107"/>
      <c r="L30" s="107"/>
      <c r="M30" s="108"/>
      <c r="N30" s="797"/>
      <c r="O30" s="113"/>
      <c r="P30" s="110"/>
      <c r="Q30" s="399"/>
      <c r="S30" s="396"/>
      <c r="T30" s="396"/>
      <c r="U30" s="400">
        <v>45962</v>
      </c>
    </row>
    <row r="31" spans="1:21" ht="15">
      <c r="A31" s="379"/>
      <c r="B31" s="405" t="s">
        <v>487</v>
      </c>
      <c r="C31" s="389"/>
      <c r="D31" s="390"/>
      <c r="E31" s="420"/>
      <c r="F31" s="420"/>
      <c r="G31" s="391"/>
      <c r="H31" s="406"/>
      <c r="I31" s="392"/>
      <c r="J31" s="107"/>
      <c r="K31" s="107"/>
      <c r="L31" s="107"/>
      <c r="M31" s="108"/>
      <c r="N31" s="819"/>
      <c r="O31" s="397"/>
      <c r="P31" s="394"/>
      <c r="Q31" s="399"/>
      <c r="S31" s="396"/>
      <c r="T31" s="396"/>
      <c r="U31" s="400">
        <v>45992</v>
      </c>
    </row>
    <row r="32" spans="1:21" ht="15">
      <c r="A32" s="379">
        <v>45839</v>
      </c>
      <c r="B32" s="810" t="s">
        <v>657</v>
      </c>
      <c r="C32" s="359">
        <v>80</v>
      </c>
      <c r="D32" s="390" t="str">
        <f>VLOOKUP(C32,'MASTER Name List'!$B$3:$M$186,2,FALSE)</f>
        <v>黄淑芬</v>
      </c>
      <c r="E32" s="420">
        <v>45839</v>
      </c>
      <c r="F32" s="420">
        <v>45839</v>
      </c>
      <c r="G32" s="391">
        <v>45839</v>
      </c>
      <c r="H32" s="422">
        <f t="shared" ref="H32:H49" si="2">DATEDIF(E32,F32,"M")+1</f>
        <v>1</v>
      </c>
      <c r="I32" s="392">
        <v>50</v>
      </c>
      <c r="J32" s="184"/>
      <c r="K32" s="184"/>
      <c r="L32" s="107">
        <f t="shared" ref="L32:L46" si="3">IF($C32="","-",$H32*$I32)</f>
        <v>50</v>
      </c>
      <c r="M32" s="108"/>
      <c r="N32" s="819"/>
      <c r="O32" s="397" t="s">
        <v>491</v>
      </c>
      <c r="P32" s="110" t="s">
        <v>125</v>
      </c>
      <c r="Q32" s="807" t="s">
        <v>179</v>
      </c>
      <c r="R32" s="111" t="s">
        <v>599</v>
      </c>
      <c r="T32" s="396"/>
      <c r="U32" s="400">
        <v>46023</v>
      </c>
    </row>
    <row r="33" spans="1:21" ht="15">
      <c r="A33" s="379">
        <v>45839</v>
      </c>
      <c r="B33" s="810" t="s">
        <v>658</v>
      </c>
      <c r="C33" s="359">
        <v>224</v>
      </c>
      <c r="D33" s="390" t="str">
        <f>VLOOKUP(C33,'MASTER Name List'!$B$3:$M$186,2,FALSE)</f>
        <v xml:space="preserve">黄文勝 </v>
      </c>
      <c r="E33" s="420">
        <v>45839</v>
      </c>
      <c r="F33" s="420">
        <v>45839</v>
      </c>
      <c r="G33" s="391">
        <v>45839</v>
      </c>
      <c r="H33" s="422">
        <f t="shared" si="2"/>
        <v>1</v>
      </c>
      <c r="I33" s="392">
        <v>50</v>
      </c>
      <c r="J33" s="184"/>
      <c r="K33" s="184"/>
      <c r="L33" s="107">
        <f t="shared" si="3"/>
        <v>50</v>
      </c>
      <c r="M33" s="108"/>
      <c r="N33" s="819"/>
      <c r="O33" s="397"/>
      <c r="P33" s="110" t="s">
        <v>125</v>
      </c>
      <c r="Q33" s="27" t="s">
        <v>179</v>
      </c>
      <c r="R33" s="111" t="s">
        <v>600</v>
      </c>
      <c r="T33" s="396"/>
      <c r="U33" s="400">
        <v>46054</v>
      </c>
    </row>
    <row r="34" spans="1:21" ht="15">
      <c r="A34" s="379">
        <v>45840</v>
      </c>
      <c r="B34" s="810" t="s">
        <v>659</v>
      </c>
      <c r="C34" s="359">
        <v>202</v>
      </c>
      <c r="D34" s="390" t="str">
        <f>VLOOKUP(C34,'MASTER Name List'!$B$3:$M$186,2,FALSE)</f>
        <v>叶宝钻</v>
      </c>
      <c r="E34" s="420">
        <v>45839</v>
      </c>
      <c r="F34" s="420">
        <v>45992</v>
      </c>
      <c r="G34" s="726" t="s">
        <v>660</v>
      </c>
      <c r="H34" s="422">
        <f t="shared" si="2"/>
        <v>6</v>
      </c>
      <c r="I34" s="392">
        <v>50</v>
      </c>
      <c r="J34" s="184"/>
      <c r="K34" s="184"/>
      <c r="L34" s="107">
        <f t="shared" si="3"/>
        <v>300</v>
      </c>
      <c r="M34" s="108"/>
      <c r="N34" s="819"/>
      <c r="O34" s="397"/>
      <c r="P34" s="215" t="s">
        <v>125</v>
      </c>
      <c r="Q34" s="807" t="s">
        <v>661</v>
      </c>
      <c r="R34" s="80" t="s">
        <v>662</v>
      </c>
      <c r="S34" s="111"/>
      <c r="T34" s="396"/>
      <c r="U34" s="400">
        <v>46082</v>
      </c>
    </row>
    <row r="35" spans="1:21" ht="15">
      <c r="A35" s="379">
        <v>45840</v>
      </c>
      <c r="B35" s="810" t="s">
        <v>663</v>
      </c>
      <c r="C35" s="359">
        <v>116</v>
      </c>
      <c r="D35" s="390" t="str">
        <f>VLOOKUP(C35,'MASTER Name List'!$B$3:$M$186,2,FALSE)</f>
        <v>李薇薇</v>
      </c>
      <c r="E35" s="420">
        <v>45839</v>
      </c>
      <c r="F35" s="420">
        <v>45839</v>
      </c>
      <c r="G35" s="391">
        <v>45839</v>
      </c>
      <c r="H35" s="422">
        <f t="shared" si="2"/>
        <v>1</v>
      </c>
      <c r="I35" s="392">
        <v>50</v>
      </c>
      <c r="J35" s="184"/>
      <c r="K35" s="184"/>
      <c r="L35" s="107">
        <f t="shared" si="3"/>
        <v>50</v>
      </c>
      <c r="M35" s="108"/>
      <c r="N35" s="819"/>
      <c r="O35" s="408"/>
      <c r="P35" s="110" t="s">
        <v>125</v>
      </c>
      <c r="Q35" s="807" t="s">
        <v>133</v>
      </c>
      <c r="R35" s="80" t="s">
        <v>538</v>
      </c>
      <c r="S35" s="111"/>
      <c r="T35" s="396"/>
      <c r="U35" s="400">
        <v>46113</v>
      </c>
    </row>
    <row r="36" spans="1:21" ht="15">
      <c r="A36" s="379">
        <v>45840</v>
      </c>
      <c r="B36" s="810" t="s">
        <v>664</v>
      </c>
      <c r="C36" s="359">
        <v>117</v>
      </c>
      <c r="D36" s="390" t="str">
        <f>VLOOKUP(C36,'MASTER Name List'!$B$3:$M$186,2,FALSE)</f>
        <v>张志文</v>
      </c>
      <c r="E36" s="420">
        <v>45839</v>
      </c>
      <c r="F36" s="420">
        <v>45839</v>
      </c>
      <c r="G36" s="391">
        <v>45839</v>
      </c>
      <c r="H36" s="422">
        <f t="shared" si="2"/>
        <v>1</v>
      </c>
      <c r="I36" s="392">
        <v>50</v>
      </c>
      <c r="J36" s="184"/>
      <c r="K36" s="184"/>
      <c r="L36" s="107">
        <f t="shared" si="3"/>
        <v>50</v>
      </c>
      <c r="M36" s="108"/>
      <c r="N36" s="819"/>
      <c r="O36" s="397"/>
      <c r="P36" s="110" t="s">
        <v>125</v>
      </c>
      <c r="Q36" s="807" t="s">
        <v>492</v>
      </c>
      <c r="R36" s="80" t="s">
        <v>539</v>
      </c>
      <c r="S36" s="111"/>
      <c r="T36" s="396"/>
      <c r="U36" s="400">
        <v>46143</v>
      </c>
    </row>
    <row r="37" spans="1:21" ht="15">
      <c r="A37" s="379">
        <v>45844</v>
      </c>
      <c r="B37" s="810" t="s">
        <v>665</v>
      </c>
      <c r="C37" s="359">
        <v>137</v>
      </c>
      <c r="D37" s="390" t="str">
        <f>VLOOKUP(C37,'MASTER Name List'!$B$3:$M$186,2,FALSE)</f>
        <v>赖美珍</v>
      </c>
      <c r="E37" s="420">
        <v>45839</v>
      </c>
      <c r="F37" s="420">
        <v>45839</v>
      </c>
      <c r="G37" s="391">
        <v>45839</v>
      </c>
      <c r="H37" s="422">
        <f t="shared" si="2"/>
        <v>1</v>
      </c>
      <c r="I37" s="392">
        <v>50</v>
      </c>
      <c r="J37" s="184"/>
      <c r="K37" s="184"/>
      <c r="L37" s="107">
        <f t="shared" si="3"/>
        <v>50</v>
      </c>
      <c r="M37" s="108"/>
      <c r="N37" s="819"/>
      <c r="O37" s="397"/>
      <c r="P37" s="215" t="s">
        <v>325</v>
      </c>
      <c r="Q37" s="807" t="s">
        <v>606</v>
      </c>
      <c r="R37" s="80" t="s">
        <v>542</v>
      </c>
      <c r="S37" s="111"/>
      <c r="T37" s="396"/>
      <c r="U37" s="400">
        <v>46174</v>
      </c>
    </row>
    <row r="38" spans="1:21" ht="15">
      <c r="A38" s="379">
        <v>45847</v>
      </c>
      <c r="B38" s="810" t="s">
        <v>666</v>
      </c>
      <c r="C38" s="359">
        <v>172</v>
      </c>
      <c r="D38" s="390" t="str">
        <f>VLOOKUP(C38,'MASTER Name List'!$B$3:$M$186,2,FALSE)</f>
        <v>蔡均镅</v>
      </c>
      <c r="E38" s="420">
        <v>45839</v>
      </c>
      <c r="F38" s="420">
        <v>45870</v>
      </c>
      <c r="G38" s="391" t="s">
        <v>602</v>
      </c>
      <c r="H38" s="422">
        <f t="shared" si="2"/>
        <v>2</v>
      </c>
      <c r="I38" s="392">
        <v>50</v>
      </c>
      <c r="J38" s="184"/>
      <c r="K38" s="184"/>
      <c r="L38" s="107">
        <f t="shared" si="3"/>
        <v>100</v>
      </c>
      <c r="M38" s="108"/>
      <c r="N38" s="819"/>
      <c r="O38" s="397"/>
      <c r="P38" s="110" t="s">
        <v>125</v>
      </c>
      <c r="Q38" s="807" t="s">
        <v>194</v>
      </c>
      <c r="R38" s="80" t="s">
        <v>556</v>
      </c>
      <c r="S38" s="111"/>
      <c r="T38" s="396"/>
      <c r="U38" s="400">
        <v>46204</v>
      </c>
    </row>
    <row r="39" spans="1:21" ht="15">
      <c r="A39" s="379">
        <v>45847</v>
      </c>
      <c r="B39" s="810" t="s">
        <v>667</v>
      </c>
      <c r="C39" s="359">
        <v>175</v>
      </c>
      <c r="D39" s="390" t="str">
        <f>VLOOKUP(C39,'MASTER Name List'!$B$3:$M$186,2,FALSE)</f>
        <v>洪鼎惟</v>
      </c>
      <c r="E39" s="420">
        <v>45809</v>
      </c>
      <c r="F39" s="420">
        <v>45809</v>
      </c>
      <c r="G39" s="391">
        <v>45809</v>
      </c>
      <c r="H39" s="422">
        <f t="shared" si="2"/>
        <v>1</v>
      </c>
      <c r="I39" s="392">
        <v>50</v>
      </c>
      <c r="J39" s="184"/>
      <c r="K39" s="184"/>
      <c r="L39" s="107">
        <f t="shared" si="3"/>
        <v>50</v>
      </c>
      <c r="M39" s="108"/>
      <c r="N39" s="819"/>
      <c r="O39" s="397"/>
      <c r="P39" s="110" t="s">
        <v>125</v>
      </c>
      <c r="Q39" s="27" t="s">
        <v>148</v>
      </c>
      <c r="R39" s="80" t="s">
        <v>562</v>
      </c>
      <c r="S39" s="396"/>
      <c r="T39" s="396"/>
      <c r="U39" s="400">
        <v>46235</v>
      </c>
    </row>
    <row r="40" spans="1:21" ht="15">
      <c r="A40" s="379">
        <v>45851</v>
      </c>
      <c r="B40" s="810" t="s">
        <v>668</v>
      </c>
      <c r="C40" s="359">
        <v>175</v>
      </c>
      <c r="D40" s="390" t="str">
        <f>VLOOKUP(C40,'MASTER Name List'!$B$3:$M$186,2,FALSE)</f>
        <v>洪鼎惟</v>
      </c>
      <c r="E40" s="420">
        <v>45839</v>
      </c>
      <c r="F40" s="420">
        <v>45839</v>
      </c>
      <c r="G40" s="391">
        <v>45839</v>
      </c>
      <c r="H40" s="422">
        <f t="shared" si="2"/>
        <v>1</v>
      </c>
      <c r="I40" s="392">
        <v>50</v>
      </c>
      <c r="J40" s="184"/>
      <c r="K40" s="184"/>
      <c r="L40" s="107">
        <f t="shared" si="3"/>
        <v>50</v>
      </c>
      <c r="M40" s="108"/>
      <c r="N40" s="819"/>
      <c r="O40" s="397"/>
      <c r="P40" s="110" t="s">
        <v>125</v>
      </c>
      <c r="Q40" s="27" t="s">
        <v>148</v>
      </c>
      <c r="R40" s="80" t="s">
        <v>562</v>
      </c>
      <c r="S40" s="396"/>
      <c r="T40" s="396"/>
      <c r="U40" s="400">
        <v>46266</v>
      </c>
    </row>
    <row r="41" spans="1:21" ht="15">
      <c r="A41" s="379">
        <v>45861</v>
      </c>
      <c r="B41" s="810" t="s">
        <v>669</v>
      </c>
      <c r="C41" s="359">
        <v>52</v>
      </c>
      <c r="D41" s="390" t="str">
        <f>VLOOKUP(C41,'MASTER Name List'!$B$3:$M$186,2,FALSE)</f>
        <v>陈宝蓉</v>
      </c>
      <c r="E41" s="420">
        <v>45839</v>
      </c>
      <c r="F41" s="420">
        <v>45870</v>
      </c>
      <c r="G41" s="391" t="s">
        <v>602</v>
      </c>
      <c r="H41" s="422">
        <f t="shared" si="2"/>
        <v>2</v>
      </c>
      <c r="I41" s="392">
        <v>50</v>
      </c>
      <c r="J41" s="184"/>
      <c r="K41" s="184"/>
      <c r="L41" s="107">
        <f t="shared" si="3"/>
        <v>100</v>
      </c>
      <c r="M41" s="108"/>
      <c r="N41" s="819"/>
      <c r="O41" s="397"/>
      <c r="P41" s="110" t="s">
        <v>125</v>
      </c>
      <c r="Q41" s="807" t="s">
        <v>330</v>
      </c>
      <c r="R41" s="80" t="s">
        <v>601</v>
      </c>
      <c r="S41" s="396"/>
      <c r="T41" s="396"/>
      <c r="U41" s="400">
        <v>46296</v>
      </c>
    </row>
    <row r="42" spans="1:21" ht="15">
      <c r="A42" s="379">
        <v>45864</v>
      </c>
      <c r="B42" s="810" t="s">
        <v>670</v>
      </c>
      <c r="C42" s="389">
        <v>64</v>
      </c>
      <c r="D42" s="390" t="str">
        <f>VLOOKUP(C42,'MASTER Name List'!$B$3:$M$186,2,FALSE)</f>
        <v>韦素枝</v>
      </c>
      <c r="E42" s="420">
        <v>45901</v>
      </c>
      <c r="F42" s="420">
        <v>45992</v>
      </c>
      <c r="G42" s="391" t="s">
        <v>671</v>
      </c>
      <c r="H42" s="422">
        <f t="shared" si="2"/>
        <v>4</v>
      </c>
      <c r="I42" s="392">
        <v>50</v>
      </c>
      <c r="J42" s="184"/>
      <c r="K42" s="184"/>
      <c r="L42" s="107">
        <f t="shared" si="3"/>
        <v>200</v>
      </c>
      <c r="M42" s="108"/>
      <c r="N42" s="819"/>
      <c r="O42" s="397"/>
      <c r="P42" s="394" t="s">
        <v>125</v>
      </c>
      <c r="Q42" s="409" t="s">
        <v>672</v>
      </c>
      <c r="R42" s="367" t="s">
        <v>617</v>
      </c>
      <c r="S42" s="396"/>
      <c r="T42" s="396"/>
      <c r="U42" s="400">
        <v>46327</v>
      </c>
    </row>
    <row r="43" spans="1:21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U43" s="400">
        <v>46357</v>
      </c>
    </row>
    <row r="44" spans="1:21" ht="15">
      <c r="A44" s="379"/>
      <c r="B44" s="407"/>
      <c r="C44" s="389"/>
      <c r="D44" s="390" t="e">
        <f>VLOOKUP(C44,'MASTER Name List'!$B$3:$M$186,2,FALSE)</f>
        <v>#N/A</v>
      </c>
      <c r="E44" s="420"/>
      <c r="F44" s="420"/>
      <c r="G44" s="391"/>
      <c r="H44" s="422">
        <f t="shared" si="2"/>
        <v>1</v>
      </c>
      <c r="I44" s="392">
        <v>50</v>
      </c>
      <c r="J44" s="184"/>
      <c r="K44" s="184"/>
      <c r="L44" s="107" t="str">
        <f t="shared" si="3"/>
        <v>-</v>
      </c>
      <c r="M44" s="108"/>
      <c r="N44" s="819"/>
      <c r="O44" s="397"/>
      <c r="P44" s="394"/>
      <c r="Q44" s="409"/>
      <c r="S44" s="396"/>
      <c r="T44" s="396"/>
      <c r="U44" s="400">
        <v>46388</v>
      </c>
    </row>
    <row r="45" spans="1:21" ht="15">
      <c r="A45" s="379"/>
      <c r="B45" s="407"/>
      <c r="C45" s="389"/>
      <c r="D45" s="390" t="e">
        <f>VLOOKUP(C45,'MASTER Name List'!$B$3:$M$186,2,FALSE)</f>
        <v>#N/A</v>
      </c>
      <c r="E45" s="420"/>
      <c r="F45" s="420"/>
      <c r="G45" s="391"/>
      <c r="H45" s="422">
        <f t="shared" si="2"/>
        <v>1</v>
      </c>
      <c r="I45" s="392">
        <v>50</v>
      </c>
      <c r="J45" s="184"/>
      <c r="K45" s="184"/>
      <c r="L45" s="107" t="str">
        <f t="shared" si="3"/>
        <v>-</v>
      </c>
      <c r="M45" s="108"/>
      <c r="N45" s="819"/>
      <c r="O45" s="397"/>
      <c r="P45" s="394"/>
      <c r="Q45" s="409"/>
      <c r="S45" s="396"/>
      <c r="T45" s="396"/>
    </row>
    <row r="46" spans="1:21" ht="15">
      <c r="A46" s="379"/>
      <c r="B46" s="407"/>
      <c r="C46" s="389"/>
      <c r="D46" s="390" t="e">
        <f>VLOOKUP(C46,'MASTER Name List'!$B$3:$M$186,2,FALSE)</f>
        <v>#N/A</v>
      </c>
      <c r="E46" s="420"/>
      <c r="F46" s="420"/>
      <c r="G46" s="391"/>
      <c r="H46" s="422">
        <f t="shared" si="2"/>
        <v>1</v>
      </c>
      <c r="I46" s="392">
        <v>50</v>
      </c>
      <c r="J46" s="184"/>
      <c r="K46" s="184"/>
      <c r="L46" s="107" t="str">
        <f t="shared" si="3"/>
        <v>-</v>
      </c>
      <c r="M46" s="108"/>
      <c r="N46" s="819"/>
      <c r="O46" s="397"/>
      <c r="P46" s="394"/>
      <c r="Q46" s="409"/>
      <c r="S46" s="396"/>
      <c r="T46" s="396"/>
    </row>
    <row r="47" spans="1:21" ht="15">
      <c r="A47" s="379"/>
      <c r="B47" s="407"/>
      <c r="C47" s="389"/>
      <c r="D47" s="390" t="e">
        <f>VLOOKUP(C47,'MASTER Name List'!$B$3:$M$186,2,FALSE)</f>
        <v>#N/A</v>
      </c>
      <c r="E47" s="420"/>
      <c r="F47" s="420"/>
      <c r="G47" s="391"/>
      <c r="H47" s="422">
        <f t="shared" si="2"/>
        <v>1</v>
      </c>
      <c r="I47" s="392">
        <v>50</v>
      </c>
      <c r="J47" s="184"/>
      <c r="K47" s="184"/>
      <c r="L47" s="107" t="str">
        <f>IF($C47="","-",$H47*$I47)</f>
        <v>-</v>
      </c>
      <c r="M47" s="108"/>
      <c r="N47" s="819"/>
      <c r="O47" s="397"/>
      <c r="P47" s="394"/>
      <c r="Q47" s="409"/>
      <c r="S47" s="396"/>
      <c r="T47" s="396"/>
    </row>
    <row r="48" spans="1:21" ht="15">
      <c r="A48" s="379"/>
      <c r="B48" s="407"/>
      <c r="C48" s="389"/>
      <c r="D48" s="390" t="e">
        <f>VLOOKUP(C48,'MASTER Name List'!$B$3:$M$186,2,FALSE)</f>
        <v>#N/A</v>
      </c>
      <c r="E48" s="420"/>
      <c r="F48" s="420"/>
      <c r="G48" s="391"/>
      <c r="H48" s="422">
        <f t="shared" si="2"/>
        <v>1</v>
      </c>
      <c r="I48" s="392">
        <v>50</v>
      </c>
      <c r="J48" s="184"/>
      <c r="K48" s="184"/>
      <c r="L48" s="107" t="str">
        <f>IF($C48="","-",$H48*$I48)</f>
        <v>-</v>
      </c>
      <c r="M48" s="108"/>
      <c r="N48" s="819"/>
      <c r="O48" s="397"/>
      <c r="P48" s="394"/>
      <c r="Q48" s="409"/>
      <c r="S48" s="396"/>
      <c r="T48" s="396"/>
    </row>
    <row r="49" spans="1:20" ht="15">
      <c r="A49" s="379"/>
      <c r="B49" s="407"/>
      <c r="C49" s="389"/>
      <c r="D49" s="390" t="e">
        <f>VLOOKUP(C49,'MASTER Name List'!$B$3:$M$186,2,FALSE)</f>
        <v>#N/A</v>
      </c>
      <c r="E49" s="420"/>
      <c r="F49" s="420"/>
      <c r="G49" s="391"/>
      <c r="H49" s="422">
        <f t="shared" si="2"/>
        <v>1</v>
      </c>
      <c r="I49" s="392">
        <v>50</v>
      </c>
      <c r="J49" s="184"/>
      <c r="K49" s="184"/>
      <c r="L49" s="107" t="str">
        <f>IF($C49="","-",$H49*$I49)</f>
        <v>-</v>
      </c>
      <c r="M49" s="108"/>
      <c r="N49" s="819"/>
      <c r="O49" s="397"/>
      <c r="P49" s="394"/>
      <c r="Q49" s="409"/>
      <c r="S49" s="396"/>
      <c r="T49" s="396"/>
    </row>
    <row r="50" spans="1:20" ht="15">
      <c r="A50" s="379"/>
      <c r="B50" s="389"/>
      <c r="C50" s="389"/>
      <c r="D50" s="390"/>
      <c r="E50" s="420"/>
      <c r="F50" s="420"/>
      <c r="G50" s="402"/>
      <c r="H50" s="403"/>
      <c r="I50" s="404"/>
      <c r="J50" s="184"/>
      <c r="K50" s="184"/>
      <c r="L50" s="107" t="str">
        <f>IF($C50="","-",$H50*$I50)</f>
        <v>-</v>
      </c>
      <c r="M50" s="108"/>
      <c r="N50" s="819"/>
      <c r="O50" s="397"/>
      <c r="P50" s="410"/>
      <c r="Q50" s="409"/>
      <c r="S50" s="396"/>
      <c r="T50" s="396"/>
    </row>
    <row r="51" spans="1:20" ht="15">
      <c r="A51" s="379"/>
      <c r="B51" s="411"/>
      <c r="C51" s="412"/>
      <c r="D51" s="413"/>
      <c r="E51" s="421"/>
      <c r="F51" s="421"/>
      <c r="G51" s="414"/>
      <c r="H51" s="415"/>
      <c r="I51" s="416"/>
      <c r="J51" s="124"/>
      <c r="K51" s="124"/>
      <c r="L51" s="124"/>
      <c r="M51" s="125"/>
      <c r="N51" s="417"/>
      <c r="O51" s="417"/>
      <c r="P51" s="417"/>
    </row>
    <row r="52" spans="1:20" ht="15">
      <c r="B52" s="418"/>
      <c r="C52" s="418"/>
      <c r="J52" s="128"/>
      <c r="K52" s="128"/>
      <c r="L52" s="128"/>
      <c r="M52" s="129"/>
    </row>
    <row r="53" spans="1:20" ht="15.6" thickBot="1">
      <c r="B53" s="418"/>
      <c r="C53" s="418"/>
      <c r="J53" s="130">
        <f>SUM(J8:J52)</f>
        <v>1900</v>
      </c>
      <c r="K53" s="130">
        <f>SUM(K8:K52)</f>
        <v>0</v>
      </c>
      <c r="L53" s="130">
        <f>SUM(L8:L52)</f>
        <v>1050</v>
      </c>
      <c r="M53" s="131"/>
      <c r="N53" s="132">
        <f>SUM(N8:N52)</f>
        <v>1900</v>
      </c>
    </row>
    <row r="54" spans="1:20" ht="15" thickTop="1">
      <c r="J54" s="133"/>
      <c r="K54" s="133"/>
      <c r="L54" s="133"/>
      <c r="M54" s="129"/>
    </row>
    <row r="55" spans="1:20" s="363" customFormat="1">
      <c r="G55" s="364"/>
      <c r="I55" s="365"/>
      <c r="J55" s="419"/>
      <c r="K55" s="419"/>
      <c r="L55" s="419"/>
      <c r="Q55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9 E32:F49" xr:uid="{75DFD624-D6AA-4251-9287-36311FE0A358}">
      <formula1>$U$10:$U$45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670F-6D6E-49A5-9D31-B9D2F7B29229}">
  <sheetPr>
    <tabColor rgb="FF00B0F0"/>
  </sheetPr>
  <dimension ref="A4:W50"/>
  <sheetViews>
    <sheetView zoomScaleNormal="100" workbookViewId="0">
      <pane ySplit="8" topLeftCell="A9" activePane="bottomLeft" state="frozen"/>
      <selection activeCell="E38" sqref="E38"/>
      <selection pane="bottomLeft" activeCell="L48" activeCellId="1" sqref="J48 L48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29.44140625" style="366" bestFit="1" customWidth="1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673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45872</v>
      </c>
      <c r="B9" s="177" t="s">
        <v>674</v>
      </c>
      <c r="C9" s="359">
        <v>168</v>
      </c>
      <c r="D9" s="390" t="str">
        <f>VLOOKUP(C9,'MASTER Name List'!$B$3:$M$186,2,FALSE)</f>
        <v>王秋蓉</v>
      </c>
      <c r="E9" s="420">
        <v>45839</v>
      </c>
      <c r="F9" s="420">
        <v>45870</v>
      </c>
      <c r="G9" s="391" t="s">
        <v>581</v>
      </c>
      <c r="H9" s="422">
        <f t="shared" ref="H9:H23" si="0">DATEDIF(E9,F9,"M")+1</f>
        <v>2</v>
      </c>
      <c r="I9" s="392">
        <v>50</v>
      </c>
      <c r="J9" s="107">
        <f>IF($C9="","-",$H9*$I9)</f>
        <v>100</v>
      </c>
      <c r="K9" s="184"/>
      <c r="L9" s="184"/>
      <c r="M9" s="432">
        <v>1</v>
      </c>
      <c r="N9" s="820">
        <f>SUMIF(M:M,"1",J:J)</f>
        <v>100</v>
      </c>
      <c r="O9" s="433" t="s">
        <v>656</v>
      </c>
      <c r="P9" s="431" t="s">
        <v>572</v>
      </c>
      <c r="Q9" s="395"/>
      <c r="S9" s="396"/>
      <c r="T9" s="396"/>
    </row>
    <row r="10" spans="1:23" ht="15">
      <c r="A10" s="379">
        <v>45881</v>
      </c>
      <c r="B10" s="177" t="s">
        <v>675</v>
      </c>
      <c r="C10" s="359">
        <v>18</v>
      </c>
      <c r="D10" s="390" t="str">
        <f>VLOOKUP(C10,'MASTER Name List'!$B$3:$M$186,2,FALSE)</f>
        <v>江杰骏</v>
      </c>
      <c r="E10" s="420">
        <v>45658</v>
      </c>
      <c r="F10" s="420">
        <v>45689</v>
      </c>
      <c r="G10" s="391" t="s">
        <v>676</v>
      </c>
      <c r="H10" s="422">
        <f t="shared" si="0"/>
        <v>2</v>
      </c>
      <c r="I10" s="392">
        <v>50</v>
      </c>
      <c r="J10" s="107">
        <f t="shared" ref="J10:J23" si="1">IF($C10="","-",$H10*$I10)</f>
        <v>100</v>
      </c>
      <c r="K10" s="184"/>
      <c r="L10" s="184"/>
      <c r="M10" s="432">
        <v>2</v>
      </c>
      <c r="N10" s="820"/>
      <c r="O10" s="360"/>
      <c r="P10" s="361"/>
      <c r="Q10" s="399"/>
      <c r="S10" s="396"/>
      <c r="T10" s="396"/>
      <c r="W10" s="240">
        <v>45536</v>
      </c>
    </row>
    <row r="11" spans="1:23" ht="15">
      <c r="A11" s="379">
        <v>45895</v>
      </c>
      <c r="B11" s="177" t="s">
        <v>677</v>
      </c>
      <c r="C11" s="389">
        <v>19</v>
      </c>
      <c r="D11" s="390" t="str">
        <f>VLOOKUP(C11,'MASTER Name List'!$B$3:$M$186,2,FALSE)</f>
        <v>廖秋华</v>
      </c>
      <c r="E11" s="420">
        <v>45839</v>
      </c>
      <c r="F11" s="420">
        <v>45992</v>
      </c>
      <c r="G11" s="726" t="s">
        <v>583</v>
      </c>
      <c r="H11" s="422">
        <f t="shared" si="0"/>
        <v>6</v>
      </c>
      <c r="I11" s="392">
        <v>50</v>
      </c>
      <c r="J11" s="107">
        <f t="shared" si="1"/>
        <v>300</v>
      </c>
      <c r="K11" s="184"/>
      <c r="L11" s="184"/>
      <c r="M11" s="432">
        <v>2</v>
      </c>
      <c r="N11" s="434"/>
      <c r="O11" s="360"/>
      <c r="P11" s="361"/>
      <c r="Q11" s="399"/>
      <c r="S11" s="396"/>
      <c r="T11" s="396"/>
      <c r="W11" s="240">
        <v>45566</v>
      </c>
    </row>
    <row r="12" spans="1:23" ht="15">
      <c r="A12" s="379">
        <v>45899</v>
      </c>
      <c r="B12" s="177" t="s">
        <v>678</v>
      </c>
      <c r="C12" s="389">
        <v>170</v>
      </c>
      <c r="D12" s="390" t="str">
        <f>VLOOKUP(C12,'MASTER Name List'!$B$3:$M$186,2,FALSE)</f>
        <v>陈柔霓</v>
      </c>
      <c r="E12" s="420">
        <v>45901</v>
      </c>
      <c r="F12" s="420">
        <v>45931</v>
      </c>
      <c r="G12" s="726" t="s">
        <v>679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432">
        <v>2</v>
      </c>
      <c r="N12" s="820"/>
      <c r="O12" s="360"/>
      <c r="P12" s="361"/>
      <c r="Q12" s="399"/>
      <c r="S12" s="396"/>
      <c r="T12" s="396"/>
      <c r="W12" s="240">
        <v>45597</v>
      </c>
    </row>
    <row r="13" spans="1:23" ht="15">
      <c r="A13" s="379">
        <v>45899</v>
      </c>
      <c r="B13" s="177" t="s">
        <v>680</v>
      </c>
      <c r="C13" s="389">
        <v>184</v>
      </c>
      <c r="D13" s="390" t="str">
        <f>VLOOKUP(C13,'MASTER Name List'!$B$3:$M$186,2,FALSE)</f>
        <v>赖奕坊</v>
      </c>
      <c r="E13" s="420">
        <v>45870</v>
      </c>
      <c r="F13" s="420">
        <v>45931</v>
      </c>
      <c r="G13" s="726" t="s">
        <v>406</v>
      </c>
      <c r="H13" s="422">
        <f t="shared" si="0"/>
        <v>3</v>
      </c>
      <c r="I13" s="392">
        <v>50</v>
      </c>
      <c r="J13" s="107">
        <f t="shared" si="1"/>
        <v>150</v>
      </c>
      <c r="K13" s="184"/>
      <c r="L13" s="184"/>
      <c r="M13" s="432">
        <v>2</v>
      </c>
      <c r="N13" s="820"/>
      <c r="O13" s="360"/>
      <c r="P13" s="361"/>
      <c r="Q13" s="399"/>
      <c r="S13" s="396"/>
      <c r="T13" s="396"/>
      <c r="W13" s="240">
        <v>45627</v>
      </c>
    </row>
    <row r="14" spans="1:23" ht="15">
      <c r="A14" s="379">
        <v>45899</v>
      </c>
      <c r="B14" s="177" t="s">
        <v>681</v>
      </c>
      <c r="C14" s="389">
        <v>229</v>
      </c>
      <c r="D14" s="390" t="str">
        <f>VLOOKUP(C14,'MASTER Name List'!$B$3:$M$186,2,FALSE)</f>
        <v>陈丽珍</v>
      </c>
      <c r="E14" s="420">
        <v>45901</v>
      </c>
      <c r="F14" s="420">
        <v>45931</v>
      </c>
      <c r="G14" s="726" t="s">
        <v>679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432">
        <v>2</v>
      </c>
      <c r="N14" s="820">
        <f>SUMIF(M:M,"2",J:J)</f>
        <v>750</v>
      </c>
      <c r="O14" s="360" t="s">
        <v>682</v>
      </c>
      <c r="P14" s="361"/>
      <c r="Q14" s="399"/>
      <c r="S14" s="396"/>
      <c r="T14" s="396"/>
      <c r="W14" s="400">
        <v>45658</v>
      </c>
    </row>
    <row r="15" spans="1:23" ht="15">
      <c r="A15" s="379"/>
      <c r="B15" s="177"/>
      <c r="C15" s="389"/>
      <c r="D15" s="390" t="e">
        <f>VLOOKUP(C15,'MASTER Name List'!$B$3:$M$186,2,FALSE)</f>
        <v>#N/A</v>
      </c>
      <c r="E15" s="420"/>
      <c r="F15" s="420"/>
      <c r="G15" s="391"/>
      <c r="H15" s="422">
        <f t="shared" si="0"/>
        <v>1</v>
      </c>
      <c r="I15" s="392">
        <v>50</v>
      </c>
      <c r="J15" s="107" t="str">
        <f t="shared" si="1"/>
        <v>-</v>
      </c>
      <c r="K15" s="184"/>
      <c r="L15" s="184"/>
      <c r="M15" s="432">
        <v>3</v>
      </c>
      <c r="N15" s="820"/>
      <c r="O15" s="360"/>
      <c r="P15" s="361"/>
      <c r="Q15" s="399"/>
      <c r="S15" s="396"/>
      <c r="T15" s="396"/>
      <c r="W15" s="400">
        <v>45689</v>
      </c>
    </row>
    <row r="16" spans="1:23" ht="15">
      <c r="A16" s="379"/>
      <c r="B16" s="177"/>
      <c r="C16" s="389"/>
      <c r="D16" s="390" t="e">
        <f>VLOOKUP(C16,'MASTER Name List'!$B$3:$M$186,2,FALSE)</f>
        <v>#N/A</v>
      </c>
      <c r="E16" s="420"/>
      <c r="F16" s="420"/>
      <c r="G16" s="391"/>
      <c r="H16" s="422">
        <f t="shared" si="0"/>
        <v>1</v>
      </c>
      <c r="I16" s="392">
        <v>50</v>
      </c>
      <c r="J16" s="107" t="str">
        <f t="shared" si="1"/>
        <v>-</v>
      </c>
      <c r="K16" s="184"/>
      <c r="L16" s="184"/>
      <c r="M16" s="432">
        <v>3</v>
      </c>
      <c r="N16" s="820"/>
      <c r="O16" s="360"/>
      <c r="P16" s="361"/>
      <c r="Q16" s="399"/>
      <c r="S16" s="396"/>
      <c r="T16" s="396"/>
      <c r="W16" s="400">
        <v>45717</v>
      </c>
    </row>
    <row r="17" spans="1:23" ht="15">
      <c r="A17" s="379"/>
      <c r="B17" s="177"/>
      <c r="C17" s="389"/>
      <c r="D17" s="390" t="e">
        <f>VLOOKUP(C17,'MASTER Name List'!$B$3:$M$186,2,FALSE)</f>
        <v>#N/A</v>
      </c>
      <c r="E17" s="420"/>
      <c r="F17" s="420"/>
      <c r="G17" s="391"/>
      <c r="H17" s="422">
        <f t="shared" si="0"/>
        <v>1</v>
      </c>
      <c r="I17" s="392">
        <v>50</v>
      </c>
      <c r="J17" s="107" t="str">
        <f t="shared" si="1"/>
        <v>-</v>
      </c>
      <c r="K17" s="184"/>
      <c r="L17" s="184"/>
      <c r="M17" s="432">
        <v>3</v>
      </c>
      <c r="N17" s="820"/>
      <c r="O17" s="360"/>
      <c r="P17" s="361"/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List'!$B$3:$M$186,2,FALSE)</f>
        <v>#N/A</v>
      </c>
      <c r="E18" s="420"/>
      <c r="F18" s="420"/>
      <c r="G18" s="391"/>
      <c r="H18" s="422">
        <f t="shared" si="0"/>
        <v>1</v>
      </c>
      <c r="I18" s="392">
        <v>50</v>
      </c>
      <c r="J18" s="107" t="str">
        <f t="shared" si="1"/>
        <v>-</v>
      </c>
      <c r="K18" s="184"/>
      <c r="L18" s="184"/>
      <c r="M18" s="432">
        <v>3</v>
      </c>
      <c r="N18" s="820"/>
      <c r="O18" s="360"/>
      <c r="P18" s="361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List'!$B$3:$M$186,2,FALSE)</f>
        <v>#N/A</v>
      </c>
      <c r="E19" s="420"/>
      <c r="F19" s="420"/>
      <c r="G19" s="401"/>
      <c r="H19" s="422">
        <f t="shared" si="0"/>
        <v>1</v>
      </c>
      <c r="I19" s="392">
        <v>50</v>
      </c>
      <c r="J19" s="107" t="str">
        <f t="shared" si="1"/>
        <v>-</v>
      </c>
      <c r="K19" s="184"/>
      <c r="L19" s="184"/>
      <c r="M19" s="432">
        <v>3</v>
      </c>
      <c r="N19" s="820">
        <f>SUMIF(M:M,"3",J:J)</f>
        <v>0</v>
      </c>
      <c r="O19" s="360"/>
      <c r="P19" s="361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List'!$B$3:$M$186,2,FALSE)</f>
        <v>#N/A</v>
      </c>
      <c r="E20" s="420"/>
      <c r="F20" s="420"/>
      <c r="G20" s="401"/>
      <c r="H20" s="422">
        <f t="shared" si="0"/>
        <v>1</v>
      </c>
      <c r="I20" s="392">
        <v>50</v>
      </c>
      <c r="J20" s="107" t="str">
        <f t="shared" si="1"/>
        <v>-</v>
      </c>
      <c r="K20" s="184"/>
      <c r="L20" s="184"/>
      <c r="M20" s="432"/>
      <c r="N20" s="820"/>
      <c r="O20" s="360"/>
      <c r="P20" s="361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List'!$B$3:$M$186,2,FALSE)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432"/>
      <c r="N21" s="820"/>
      <c r="O21" s="360"/>
      <c r="P21" s="361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List'!$B$3:$M$186,2,FALSE)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432"/>
      <c r="N22" s="820"/>
      <c r="O22" s="360"/>
      <c r="P22" s="361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List'!$B$3:$M$186,2,FALSE)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432"/>
      <c r="N23" s="820"/>
      <c r="O23" s="360"/>
      <c r="P23" s="360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432"/>
      <c r="N24" s="815"/>
      <c r="O24" s="394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432"/>
      <c r="N25" s="815"/>
      <c r="O25" s="394"/>
      <c r="P25" s="394"/>
      <c r="Q25" s="399"/>
      <c r="S25" s="396"/>
      <c r="T25" s="396"/>
      <c r="W25" s="400">
        <v>45992</v>
      </c>
    </row>
    <row r="26" spans="1:23" ht="15">
      <c r="A26" s="379">
        <v>45870</v>
      </c>
      <c r="B26" s="407" t="s">
        <v>683</v>
      </c>
      <c r="C26" s="389">
        <v>116</v>
      </c>
      <c r="D26" s="390" t="str">
        <f>VLOOKUP(C26,'MASTER Name List'!$B$3:$M$186,2,FALSE)</f>
        <v>李薇薇</v>
      </c>
      <c r="E26" s="420">
        <v>45870</v>
      </c>
      <c r="F26" s="420">
        <v>45870</v>
      </c>
      <c r="G26" s="391">
        <v>45870</v>
      </c>
      <c r="H26" s="422">
        <f t="shared" ref="H26:H44" si="2">DATEDIF(E26,F26,"M")+1</f>
        <v>1</v>
      </c>
      <c r="I26" s="392">
        <v>50</v>
      </c>
      <c r="J26" s="184"/>
      <c r="K26" s="184"/>
      <c r="L26" s="107">
        <f>IF($C26="","-",$H26*$I26)</f>
        <v>50</v>
      </c>
      <c r="M26" s="432"/>
      <c r="N26" s="815"/>
      <c r="O26" s="397" t="s">
        <v>491</v>
      </c>
      <c r="P26" s="394" t="s">
        <v>125</v>
      </c>
      <c r="Q26" s="27" t="s">
        <v>133</v>
      </c>
      <c r="R26" s="367" t="s">
        <v>538</v>
      </c>
      <c r="S26" s="396"/>
      <c r="T26" s="396"/>
      <c r="W26" s="400">
        <v>46023</v>
      </c>
    </row>
    <row r="27" spans="1:23" ht="15">
      <c r="A27" s="379">
        <v>45870</v>
      </c>
      <c r="B27" s="407" t="s">
        <v>684</v>
      </c>
      <c r="C27" s="389">
        <v>117</v>
      </c>
      <c r="D27" s="390" t="str">
        <f>VLOOKUP(C27,'MASTER Name List'!$B$3:$M$186,2,FALSE)</f>
        <v>张志文</v>
      </c>
      <c r="E27" s="420">
        <v>45870</v>
      </c>
      <c r="F27" s="420">
        <v>45870</v>
      </c>
      <c r="G27" s="391">
        <v>45870</v>
      </c>
      <c r="H27" s="422">
        <f t="shared" si="2"/>
        <v>1</v>
      </c>
      <c r="I27" s="392">
        <v>50</v>
      </c>
      <c r="J27" s="184"/>
      <c r="K27" s="184"/>
      <c r="L27" s="107">
        <f t="shared" ref="L27:L45" si="3">IF($C27="","-",$H27*$I27)</f>
        <v>50</v>
      </c>
      <c r="M27" s="432"/>
      <c r="N27" s="815"/>
      <c r="O27" s="394"/>
      <c r="P27" s="394" t="s">
        <v>125</v>
      </c>
      <c r="Q27" s="27" t="s">
        <v>685</v>
      </c>
      <c r="R27" s="367" t="s">
        <v>539</v>
      </c>
      <c r="S27" s="396"/>
      <c r="T27" s="396"/>
      <c r="W27" s="400">
        <v>46054</v>
      </c>
    </row>
    <row r="28" spans="1:23" ht="15">
      <c r="A28" s="663"/>
      <c r="B28" s="664" t="s">
        <v>686</v>
      </c>
      <c r="C28" s="665"/>
      <c r="D28" s="666" t="s">
        <v>687</v>
      </c>
      <c r="E28" s="667"/>
      <c r="F28" s="667"/>
      <c r="G28" s="668"/>
      <c r="H28" s="669"/>
      <c r="I28" s="670"/>
      <c r="J28" s="184"/>
      <c r="K28" s="184"/>
      <c r="L28" s="107"/>
      <c r="M28" s="432"/>
      <c r="N28" s="815"/>
      <c r="O28" s="660" t="s">
        <v>688</v>
      </c>
      <c r="P28" s="394"/>
      <c r="Q28" s="662" t="s">
        <v>689</v>
      </c>
      <c r="S28" s="396"/>
      <c r="T28" s="396"/>
      <c r="W28" s="400">
        <v>46082</v>
      </c>
    </row>
    <row r="29" spans="1:23" ht="15">
      <c r="A29" s="379">
        <v>45873</v>
      </c>
      <c r="B29" s="661" t="s">
        <v>690</v>
      </c>
      <c r="C29" s="389">
        <v>173</v>
      </c>
      <c r="D29" s="390" t="str">
        <f>VLOOKUP(C29,'MASTER Name List'!$B$3:$M$186,2,FALSE)</f>
        <v>张杍䌻</v>
      </c>
      <c r="E29" s="420">
        <v>45870</v>
      </c>
      <c r="F29" s="420">
        <v>46023</v>
      </c>
      <c r="G29" s="391" t="s">
        <v>691</v>
      </c>
      <c r="H29" s="422">
        <f t="shared" si="2"/>
        <v>6</v>
      </c>
      <c r="I29" s="392">
        <v>50</v>
      </c>
      <c r="J29" s="184"/>
      <c r="K29" s="184"/>
      <c r="L29" s="107">
        <f t="shared" si="3"/>
        <v>300</v>
      </c>
      <c r="M29" s="432"/>
      <c r="N29" s="815"/>
      <c r="O29" s="394"/>
      <c r="P29" s="394" t="s">
        <v>125</v>
      </c>
      <c r="Q29" s="809" t="s">
        <v>495</v>
      </c>
      <c r="R29" s="367" t="s">
        <v>692</v>
      </c>
      <c r="S29" s="396"/>
      <c r="T29" s="396"/>
      <c r="W29" s="400">
        <v>46113</v>
      </c>
    </row>
    <row r="30" spans="1:23" ht="15">
      <c r="A30" s="379">
        <v>45873</v>
      </c>
      <c r="B30" s="407" t="s">
        <v>693</v>
      </c>
      <c r="C30" s="389">
        <v>48</v>
      </c>
      <c r="D30" s="390" t="str">
        <f>VLOOKUP(C30,'MASTER Name List'!$B$3:$M$186,2,FALSE)</f>
        <v>叶鏸郧</v>
      </c>
      <c r="E30" s="420">
        <v>45748</v>
      </c>
      <c r="F30" s="420">
        <v>45809</v>
      </c>
      <c r="G30" s="726" t="s">
        <v>543</v>
      </c>
      <c r="H30" s="422">
        <f t="shared" si="2"/>
        <v>3</v>
      </c>
      <c r="I30" s="392">
        <v>50</v>
      </c>
      <c r="J30" s="184"/>
      <c r="K30" s="184"/>
      <c r="L30" s="107">
        <f t="shared" si="3"/>
        <v>150</v>
      </c>
      <c r="M30" s="432"/>
      <c r="N30" s="815"/>
      <c r="O30" s="425"/>
      <c r="P30" s="110" t="s">
        <v>125</v>
      </c>
      <c r="Q30" s="809" t="s">
        <v>694</v>
      </c>
      <c r="R30" s="367" t="s">
        <v>609</v>
      </c>
      <c r="S30" s="396"/>
      <c r="T30" s="396"/>
      <c r="W30" s="400">
        <v>46143</v>
      </c>
    </row>
    <row r="31" spans="1:23" ht="15">
      <c r="A31" s="379">
        <v>45874</v>
      </c>
      <c r="B31" s="407" t="s">
        <v>695</v>
      </c>
      <c r="C31" s="389">
        <v>102</v>
      </c>
      <c r="D31" s="390" t="str">
        <f>VLOOKUP(C31,'MASTER Name List'!$B$3:$M$186,2,FALSE)</f>
        <v>戴川凤</v>
      </c>
      <c r="E31" s="420">
        <v>45839</v>
      </c>
      <c r="F31" s="420">
        <v>45870</v>
      </c>
      <c r="G31" s="391" t="s">
        <v>581</v>
      </c>
      <c r="H31" s="422">
        <f t="shared" si="2"/>
        <v>2</v>
      </c>
      <c r="I31" s="392">
        <v>50</v>
      </c>
      <c r="J31" s="184"/>
      <c r="K31" s="184"/>
      <c r="L31" s="107">
        <f t="shared" si="3"/>
        <v>100</v>
      </c>
      <c r="M31" s="432"/>
      <c r="N31" s="815"/>
      <c r="O31" s="397"/>
      <c r="P31" s="110" t="s">
        <v>325</v>
      </c>
      <c r="Q31" s="399"/>
      <c r="R31" s="367" t="s">
        <v>604</v>
      </c>
      <c r="S31" s="396"/>
      <c r="T31" s="396"/>
      <c r="W31" s="400">
        <v>46174</v>
      </c>
    </row>
    <row r="32" spans="1:23" ht="13.95" customHeight="1">
      <c r="A32" s="379">
        <v>45877</v>
      </c>
      <c r="B32" s="407" t="s">
        <v>696</v>
      </c>
      <c r="C32" s="389">
        <v>137</v>
      </c>
      <c r="D32" s="390" t="str">
        <f>VLOOKUP(C32,'MASTER Name List'!$B$3:$M$186,2,FALSE)</f>
        <v>赖美珍</v>
      </c>
      <c r="E32" s="420">
        <v>45870</v>
      </c>
      <c r="F32" s="420">
        <v>45870</v>
      </c>
      <c r="G32" s="391">
        <v>45870</v>
      </c>
      <c r="H32" s="422">
        <f t="shared" si="2"/>
        <v>1</v>
      </c>
      <c r="I32" s="392">
        <v>50</v>
      </c>
      <c r="J32" s="184"/>
      <c r="K32" s="184"/>
      <c r="L32" s="107">
        <f t="shared" si="3"/>
        <v>50</v>
      </c>
      <c r="M32" s="432"/>
      <c r="N32" s="815"/>
      <c r="O32" s="394"/>
      <c r="P32" s="110" t="s">
        <v>605</v>
      </c>
      <c r="Q32" s="809" t="s">
        <v>606</v>
      </c>
      <c r="R32" s="367" t="s">
        <v>542</v>
      </c>
      <c r="S32" s="396"/>
      <c r="T32" s="396"/>
      <c r="W32" s="400">
        <v>46204</v>
      </c>
    </row>
    <row r="33" spans="1:23" ht="15">
      <c r="A33" s="379">
        <v>45877</v>
      </c>
      <c r="B33" s="407" t="s">
        <v>697</v>
      </c>
      <c r="C33" s="389">
        <v>175</v>
      </c>
      <c r="D33" s="390" t="str">
        <f>VLOOKUP(C33,'MASTER Name List'!$B$3:$M$186,2,FALSE)</f>
        <v>洪鼎惟</v>
      </c>
      <c r="E33" s="420">
        <v>45870</v>
      </c>
      <c r="F33" s="420">
        <v>45870</v>
      </c>
      <c r="G33" s="391">
        <v>45870</v>
      </c>
      <c r="H33" s="422">
        <f t="shared" si="2"/>
        <v>1</v>
      </c>
      <c r="I33" s="392">
        <v>50</v>
      </c>
      <c r="J33" s="184"/>
      <c r="K33" s="184"/>
      <c r="L33" s="107">
        <f t="shared" si="3"/>
        <v>50</v>
      </c>
      <c r="M33" s="432"/>
      <c r="N33" s="815"/>
      <c r="O33" s="394"/>
      <c r="P33" s="394" t="s">
        <v>125</v>
      </c>
      <c r="Q33" s="27" t="s">
        <v>148</v>
      </c>
      <c r="R33" s="367" t="s">
        <v>562</v>
      </c>
      <c r="S33" s="396"/>
      <c r="T33" s="396"/>
      <c r="W33" s="400">
        <v>46235</v>
      </c>
    </row>
    <row r="34" spans="1:23" ht="15">
      <c r="A34" s="379">
        <v>45878</v>
      </c>
      <c r="B34" s="407" t="s">
        <v>698</v>
      </c>
      <c r="C34" s="389">
        <v>80</v>
      </c>
      <c r="D34" s="390" t="str">
        <f>VLOOKUP(C34,'MASTER Name List'!$B$3:$M$186,2,FALSE)</f>
        <v>黄淑芬</v>
      </c>
      <c r="E34" s="420">
        <v>45870</v>
      </c>
      <c r="F34" s="420">
        <v>45870</v>
      </c>
      <c r="G34" s="391">
        <v>45870</v>
      </c>
      <c r="H34" s="422">
        <f t="shared" si="2"/>
        <v>1</v>
      </c>
      <c r="I34" s="392">
        <v>50</v>
      </c>
      <c r="J34" s="184"/>
      <c r="K34" s="184"/>
      <c r="L34" s="107">
        <f t="shared" si="3"/>
        <v>50</v>
      </c>
      <c r="M34" s="432"/>
      <c r="N34" s="815"/>
      <c r="O34" s="394"/>
      <c r="P34" s="394" t="s">
        <v>125</v>
      </c>
      <c r="Q34" s="809" t="s">
        <v>179</v>
      </c>
      <c r="R34" s="367" t="s">
        <v>599</v>
      </c>
      <c r="S34" s="396"/>
      <c r="T34" s="396"/>
      <c r="W34" s="400">
        <v>46266</v>
      </c>
    </row>
    <row r="35" spans="1:23" ht="15">
      <c r="A35" s="379">
        <v>45878</v>
      </c>
      <c r="B35" s="407" t="s">
        <v>699</v>
      </c>
      <c r="C35" s="389">
        <v>224</v>
      </c>
      <c r="D35" s="390" t="str">
        <f>VLOOKUP(C35,'MASTER Name List'!$B$3:$M$186,2,FALSE)</f>
        <v xml:space="preserve">黄文勝 </v>
      </c>
      <c r="E35" s="420">
        <v>45870</v>
      </c>
      <c r="F35" s="420">
        <v>45870</v>
      </c>
      <c r="G35" s="391">
        <v>45870</v>
      </c>
      <c r="H35" s="422">
        <f t="shared" si="2"/>
        <v>1</v>
      </c>
      <c r="I35" s="392">
        <v>50</v>
      </c>
      <c r="J35" s="184"/>
      <c r="K35" s="184"/>
      <c r="L35" s="107">
        <f t="shared" si="3"/>
        <v>50</v>
      </c>
      <c r="M35" s="432"/>
      <c r="N35" s="815"/>
      <c r="O35" s="394"/>
      <c r="P35" s="398" t="s">
        <v>125</v>
      </c>
      <c r="Q35" s="27" t="s">
        <v>179</v>
      </c>
      <c r="R35" s="367" t="s">
        <v>600</v>
      </c>
      <c r="S35" s="396"/>
      <c r="T35" s="396"/>
      <c r="W35" s="400">
        <v>46296</v>
      </c>
    </row>
    <row r="36" spans="1:23" ht="15">
      <c r="A36" s="379">
        <v>45880</v>
      </c>
      <c r="B36" s="407" t="s">
        <v>700</v>
      </c>
      <c r="C36" s="389">
        <v>104</v>
      </c>
      <c r="D36" s="390" t="str">
        <f>VLOOKUP(C36,'MASTER Name List'!$B$3:$M$186,2,FALSE)</f>
        <v>连美丽</v>
      </c>
      <c r="E36" s="420">
        <v>45839</v>
      </c>
      <c r="F36" s="420">
        <v>45870</v>
      </c>
      <c r="G36" s="726" t="s">
        <v>581</v>
      </c>
      <c r="H36" s="422">
        <f t="shared" si="2"/>
        <v>2</v>
      </c>
      <c r="I36" s="392">
        <v>50</v>
      </c>
      <c r="J36" s="184"/>
      <c r="K36" s="184"/>
      <c r="L36" s="107">
        <f t="shared" si="3"/>
        <v>100</v>
      </c>
      <c r="M36" s="432"/>
      <c r="N36" s="815"/>
      <c r="O36" s="394"/>
      <c r="P36" s="16" t="s">
        <v>125</v>
      </c>
      <c r="Q36" s="76" t="s">
        <v>701</v>
      </c>
      <c r="R36" s="367" t="s">
        <v>545</v>
      </c>
      <c r="S36" s="396"/>
      <c r="T36" s="396"/>
      <c r="W36" s="400">
        <v>46327</v>
      </c>
    </row>
    <row r="37" spans="1:23" ht="15">
      <c r="A37" s="379">
        <v>45895</v>
      </c>
      <c r="B37" s="407" t="s">
        <v>702</v>
      </c>
      <c r="C37" s="389">
        <v>145</v>
      </c>
      <c r="D37" s="390" t="str">
        <f>VLOOKUP(C37,'MASTER Name List'!$B$3:$M$186,2,FALSE)</f>
        <v>许俊豪</v>
      </c>
      <c r="E37" s="420">
        <v>45901</v>
      </c>
      <c r="F37" s="420">
        <v>45992</v>
      </c>
      <c r="G37" s="391" t="s">
        <v>671</v>
      </c>
      <c r="H37" s="422">
        <f t="shared" si="2"/>
        <v>4</v>
      </c>
      <c r="I37" s="392">
        <v>50</v>
      </c>
      <c r="J37" s="184"/>
      <c r="K37" s="184"/>
      <c r="L37" s="107">
        <f t="shared" si="3"/>
        <v>200</v>
      </c>
      <c r="M37" s="432"/>
      <c r="N37" s="815"/>
      <c r="O37" s="394"/>
      <c r="P37" s="16" t="s">
        <v>125</v>
      </c>
      <c r="Q37" s="76" t="s">
        <v>431</v>
      </c>
      <c r="R37" s="367" t="s">
        <v>537</v>
      </c>
      <c r="S37" s="396"/>
      <c r="T37" s="396"/>
      <c r="W37" s="400">
        <v>46357</v>
      </c>
    </row>
    <row r="38" spans="1:23" ht="15">
      <c r="A38" s="379">
        <v>45899</v>
      </c>
      <c r="B38" s="407" t="s">
        <v>703</v>
      </c>
      <c r="C38" s="389">
        <v>68</v>
      </c>
      <c r="D38" s="390" t="str">
        <f>VLOOKUP(C38,'MASTER Name List'!$B$3:$M$186,2,FALSE)</f>
        <v>沈观胜</v>
      </c>
      <c r="E38" s="420">
        <v>45839</v>
      </c>
      <c r="F38" s="420">
        <v>45901</v>
      </c>
      <c r="G38" s="726" t="s">
        <v>704</v>
      </c>
      <c r="H38" s="422">
        <f t="shared" si="2"/>
        <v>3</v>
      </c>
      <c r="I38" s="392">
        <v>50</v>
      </c>
      <c r="J38" s="184"/>
      <c r="K38" s="184"/>
      <c r="L38" s="107">
        <f t="shared" si="3"/>
        <v>150</v>
      </c>
      <c r="M38" s="432"/>
      <c r="N38" s="815"/>
      <c r="O38" s="394"/>
      <c r="P38" s="394" t="s">
        <v>125</v>
      </c>
      <c r="Q38" s="821" t="s">
        <v>211</v>
      </c>
      <c r="R38" s="367" t="s">
        <v>544</v>
      </c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List'!$B$3:$M$186,2,FALSE)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432"/>
      <c r="N39" s="815"/>
      <c r="O39" s="394"/>
      <c r="P39" s="394"/>
      <c r="Q39" s="409"/>
      <c r="S39" s="396"/>
      <c r="T39" s="396"/>
    </row>
    <row r="40" spans="1:23" ht="15">
      <c r="A40" s="379"/>
      <c r="B40" s="40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432"/>
      <c r="N40" s="815"/>
      <c r="O40" s="394"/>
      <c r="P40" s="394"/>
      <c r="Q40" s="409"/>
      <c r="S40" s="396"/>
      <c r="T40" s="396"/>
    </row>
    <row r="41" spans="1:23" ht="15">
      <c r="A41" s="379"/>
      <c r="B41" s="40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432"/>
      <c r="N41" s="815"/>
      <c r="O41" s="394"/>
      <c r="P41" s="394"/>
      <c r="Q41" s="409"/>
      <c r="S41" s="396"/>
      <c r="T41" s="396"/>
    </row>
    <row r="42" spans="1:23" ht="15">
      <c r="A42" s="379"/>
      <c r="B42" s="40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432"/>
      <c r="N42" s="815"/>
      <c r="O42" s="394"/>
      <c r="P42" s="394"/>
      <c r="Q42" s="409"/>
      <c r="S42" s="396"/>
      <c r="T42" s="396"/>
    </row>
    <row r="43" spans="1:23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432"/>
      <c r="N43" s="815"/>
      <c r="O43" s="394"/>
      <c r="P43" s="394"/>
      <c r="Q43" s="409"/>
      <c r="S43" s="396"/>
      <c r="T43" s="396"/>
    </row>
    <row r="44" spans="1:23" ht="15">
      <c r="A44" s="379"/>
      <c r="B44" s="407"/>
      <c r="C44" s="389"/>
      <c r="D44" s="390" t="e">
        <f>VLOOKUP(C44,'MASTER Name List'!$B$3:$M$186,2,FALSE)</f>
        <v>#N/A</v>
      </c>
      <c r="E44" s="420"/>
      <c r="F44" s="420"/>
      <c r="G44" s="391"/>
      <c r="H44" s="422">
        <f t="shared" si="2"/>
        <v>1</v>
      </c>
      <c r="I44" s="392">
        <v>50</v>
      </c>
      <c r="J44" s="184"/>
      <c r="K44" s="184"/>
      <c r="L44" s="107" t="str">
        <f t="shared" si="3"/>
        <v>-</v>
      </c>
      <c r="M44" s="432"/>
      <c r="N44" s="815"/>
      <c r="O44" s="394"/>
      <c r="P44" s="394"/>
      <c r="Q44" s="409"/>
      <c r="S44" s="396"/>
      <c r="T44" s="396"/>
    </row>
    <row r="45" spans="1:23" ht="15">
      <c r="A45" s="379"/>
      <c r="B45" s="389"/>
      <c r="C45" s="389"/>
      <c r="D45" s="390"/>
      <c r="E45" s="420"/>
      <c r="F45" s="420"/>
      <c r="G45" s="402"/>
      <c r="H45" s="403"/>
      <c r="I45" s="404"/>
      <c r="J45" s="184"/>
      <c r="K45" s="184"/>
      <c r="L45" s="107" t="str">
        <f t="shared" si="3"/>
        <v>-</v>
      </c>
      <c r="M45" s="432"/>
      <c r="N45" s="815"/>
      <c r="O45" s="394"/>
      <c r="P45" s="394"/>
      <c r="Q45" s="409"/>
      <c r="S45" s="396"/>
      <c r="T45" s="396"/>
    </row>
    <row r="46" spans="1:23" ht="15">
      <c r="A46" s="379"/>
      <c r="B46" s="411"/>
      <c r="C46" s="412"/>
      <c r="D46" s="413"/>
      <c r="E46" s="421"/>
      <c r="F46" s="421"/>
      <c r="G46" s="414"/>
      <c r="H46" s="415"/>
      <c r="I46" s="416"/>
      <c r="J46" s="124"/>
      <c r="K46" s="124"/>
      <c r="L46" s="124"/>
      <c r="M46" s="125"/>
      <c r="N46" s="417"/>
      <c r="O46" s="417"/>
      <c r="P46" s="417"/>
    </row>
    <row r="47" spans="1:23" ht="15">
      <c r="B47" s="418"/>
      <c r="C47" s="418"/>
      <c r="J47" s="128"/>
      <c r="K47" s="128"/>
      <c r="L47" s="128"/>
      <c r="M47" s="129"/>
    </row>
    <row r="48" spans="1:23" ht="15.6" thickBot="1">
      <c r="B48" s="418"/>
      <c r="C48" s="418"/>
      <c r="J48" s="130">
        <f>SUM(J8:J47)</f>
        <v>850</v>
      </c>
      <c r="K48" s="130">
        <f>SUM(K8:K47)</f>
        <v>0</v>
      </c>
      <c r="L48" s="130">
        <f>SUM(L8:L47)</f>
        <v>1300</v>
      </c>
      <c r="M48" s="131"/>
      <c r="N48" s="132">
        <f>SUM(N8:N47)</f>
        <v>850</v>
      </c>
    </row>
    <row r="49" spans="7:17" ht="15" thickTop="1">
      <c r="J49" s="133"/>
      <c r="K49" s="133"/>
      <c r="L49" s="133"/>
      <c r="M49" s="129"/>
    </row>
    <row r="50" spans="7:17" s="363" customFormat="1">
      <c r="G50" s="364"/>
      <c r="I50" s="365"/>
      <c r="J50" s="419"/>
      <c r="K50" s="419"/>
      <c r="L50" s="419"/>
      <c r="Q50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3 E26:F44" xr:uid="{AC5247F7-0A27-426E-AD7E-5EA0121F1394}">
      <formula1>$W$10:$W$40</formula1>
    </dataValidation>
  </dataValidation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199F-E770-41CE-A7FC-C84D3E5ABBEA}">
  <sheetPr>
    <tabColor rgb="FF00B0F0"/>
  </sheetPr>
  <dimension ref="A4:W61"/>
  <sheetViews>
    <sheetView zoomScale="90" zoomScaleNormal="90" workbookViewId="0">
      <pane ySplit="8" topLeftCell="A9" activePane="bottomLeft" state="frozen"/>
      <selection activeCell="E38" sqref="E38"/>
      <selection pane="bottomLeft" activeCell="L50" activeCellId="1" sqref="J50 L50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705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45905</v>
      </c>
      <c r="B9" s="177" t="s">
        <v>706</v>
      </c>
      <c r="C9" s="389">
        <v>97</v>
      </c>
      <c r="D9" s="390" t="str">
        <f>VLOOKUP(C9,'MASTER Name List'!$B$3:$M$186,2,FALSE)</f>
        <v>陈素秋</v>
      </c>
      <c r="E9" s="420">
        <v>45901</v>
      </c>
      <c r="F9" s="420">
        <v>45931</v>
      </c>
      <c r="G9" s="726" t="s">
        <v>679</v>
      </c>
      <c r="H9" s="422">
        <f t="shared" ref="H9:H26" si="0">DATEDIF(E9,F9,"M")+1</f>
        <v>2</v>
      </c>
      <c r="I9" s="392">
        <v>50</v>
      </c>
      <c r="J9" s="107">
        <f>IF($C9="","-",$H9*$I9)</f>
        <v>100</v>
      </c>
      <c r="K9" s="184"/>
      <c r="L9" s="184"/>
      <c r="M9" s="108">
        <v>1</v>
      </c>
      <c r="N9" s="819"/>
      <c r="O9" s="393"/>
      <c r="P9" s="431" t="s">
        <v>572</v>
      </c>
      <c r="Q9" s="395"/>
      <c r="S9" s="396"/>
      <c r="T9" s="396"/>
    </row>
    <row r="10" spans="1:23" ht="15">
      <c r="A10" s="379">
        <v>45906</v>
      </c>
      <c r="B10" s="177" t="s">
        <v>707</v>
      </c>
      <c r="C10" s="389">
        <v>43</v>
      </c>
      <c r="D10" s="390" t="str">
        <f>VLOOKUP(C10,'MASTER Name List'!$B$3:$M$186,2,FALSE)</f>
        <v>林德成</v>
      </c>
      <c r="E10" s="420">
        <v>45839</v>
      </c>
      <c r="F10" s="420">
        <v>45992</v>
      </c>
      <c r="G10" s="726" t="s">
        <v>583</v>
      </c>
      <c r="H10" s="422">
        <f t="shared" si="0"/>
        <v>6</v>
      </c>
      <c r="I10" s="392">
        <v>50</v>
      </c>
      <c r="J10" s="107">
        <f t="shared" ref="J10:J26" si="1">IF($C10="","-",$H10*$I10)</f>
        <v>300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45906</v>
      </c>
      <c r="B11" s="177" t="s">
        <v>708</v>
      </c>
      <c r="C11" s="389">
        <v>178</v>
      </c>
      <c r="D11" s="390" t="str">
        <f>VLOOKUP(C11,'MASTER Name List'!$B$3:$M$186,2,FALSE)</f>
        <v>颜美葒</v>
      </c>
      <c r="E11" s="420">
        <v>45931</v>
      </c>
      <c r="F11" s="420">
        <v>45931</v>
      </c>
      <c r="G11" s="391">
        <v>45931</v>
      </c>
      <c r="H11" s="422">
        <f t="shared" si="0"/>
        <v>1</v>
      </c>
      <c r="I11" s="392">
        <v>50</v>
      </c>
      <c r="J11" s="107">
        <f t="shared" si="1"/>
        <v>50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45906</v>
      </c>
      <c r="B12" s="177" t="s">
        <v>709</v>
      </c>
      <c r="C12" s="389">
        <v>186</v>
      </c>
      <c r="D12" s="390" t="str">
        <f>VLOOKUP(C12,'MASTER Name List'!$B$3:$M$186,2,FALSE)</f>
        <v>刘玉云</v>
      </c>
      <c r="E12" s="420">
        <v>45901</v>
      </c>
      <c r="F12" s="420">
        <v>45931</v>
      </c>
      <c r="G12" s="726" t="s">
        <v>679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1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45906</v>
      </c>
      <c r="B13" s="177" t="s">
        <v>710</v>
      </c>
      <c r="C13" s="389">
        <v>208</v>
      </c>
      <c r="D13" s="390" t="str">
        <f>VLOOKUP(C13,'MASTER Name List'!$B$3:$M$186,2,FALSE)</f>
        <v>萧志倫</v>
      </c>
      <c r="E13" s="420">
        <v>45870</v>
      </c>
      <c r="F13" s="420">
        <v>45870</v>
      </c>
      <c r="G13" s="391">
        <v>45870</v>
      </c>
      <c r="H13" s="422">
        <f t="shared" si="0"/>
        <v>1</v>
      </c>
      <c r="I13" s="392">
        <v>50</v>
      </c>
      <c r="J13" s="107">
        <f t="shared" si="1"/>
        <v>50</v>
      </c>
      <c r="K13" s="184"/>
      <c r="L13" s="184"/>
      <c r="M13" s="108">
        <v>1</v>
      </c>
      <c r="N13" s="819">
        <f>SUMIF(M:M,"1",J:J)</f>
        <v>600</v>
      </c>
      <c r="O13" s="397" t="s">
        <v>711</v>
      </c>
      <c r="Q13" s="399"/>
      <c r="S13" s="396"/>
      <c r="T13" s="396"/>
      <c r="W13" s="240">
        <v>45627</v>
      </c>
    </row>
    <row r="14" spans="1:23" ht="15">
      <c r="A14" s="379">
        <v>45910</v>
      </c>
      <c r="B14" s="447" t="s">
        <v>712</v>
      </c>
      <c r="C14" s="389">
        <v>185</v>
      </c>
      <c r="D14" s="390" t="str">
        <f>VLOOKUP(C14,'MASTER Name List'!$B$3:$M$186,2,FALSE)</f>
        <v>羅梅瑂</v>
      </c>
      <c r="E14" s="420">
        <v>45931</v>
      </c>
      <c r="F14" s="420">
        <v>45962</v>
      </c>
      <c r="G14" s="726" t="s">
        <v>713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108">
        <v>2</v>
      </c>
      <c r="N14" s="819"/>
      <c r="O14" s="397"/>
      <c r="P14" s="431" t="s">
        <v>714</v>
      </c>
      <c r="Q14" s="399"/>
      <c r="S14" s="396"/>
      <c r="T14" s="396"/>
      <c r="W14" s="400">
        <v>45658</v>
      </c>
    </row>
    <row r="15" spans="1:23" ht="15">
      <c r="A15" s="379">
        <v>45917</v>
      </c>
      <c r="B15" s="177" t="s">
        <v>715</v>
      </c>
      <c r="C15" s="389">
        <v>73</v>
      </c>
      <c r="D15" s="390" t="str">
        <f>VLOOKUP(C15,'MASTER Name List'!$B$3:$M$186,2,FALSE)</f>
        <v>李宝明</v>
      </c>
      <c r="E15" s="420">
        <v>45901</v>
      </c>
      <c r="F15" s="420">
        <v>45992</v>
      </c>
      <c r="G15" s="726" t="s">
        <v>716</v>
      </c>
      <c r="H15" s="422">
        <f t="shared" si="0"/>
        <v>4</v>
      </c>
      <c r="I15" s="392">
        <v>50</v>
      </c>
      <c r="J15" s="107">
        <f t="shared" si="1"/>
        <v>200</v>
      </c>
      <c r="K15" s="184"/>
      <c r="L15" s="184"/>
      <c r="M15" s="108">
        <v>2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45921</v>
      </c>
      <c r="B16" s="177" t="s">
        <v>717</v>
      </c>
      <c r="C16" s="389">
        <v>155</v>
      </c>
      <c r="D16" s="390" t="str">
        <f>VLOOKUP(C16,'MASTER Name List'!$B$3:$M$186,2,FALSE)</f>
        <v>李宝珠</v>
      </c>
      <c r="E16" s="420">
        <v>45901</v>
      </c>
      <c r="F16" s="420">
        <v>45992</v>
      </c>
      <c r="G16" s="726" t="s">
        <v>716</v>
      </c>
      <c r="H16" s="422">
        <f t="shared" si="0"/>
        <v>4</v>
      </c>
      <c r="I16" s="392">
        <v>50</v>
      </c>
      <c r="J16" s="107">
        <f t="shared" si="1"/>
        <v>200</v>
      </c>
      <c r="K16" s="184"/>
      <c r="L16" s="184"/>
      <c r="M16" s="108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45922</v>
      </c>
      <c r="B17" s="177" t="s">
        <v>718</v>
      </c>
      <c r="C17" s="389">
        <v>208</v>
      </c>
      <c r="D17" s="390" t="str">
        <f>VLOOKUP(C17,'MASTER Name List'!$B$3:$M$186,2,FALSE)</f>
        <v>萧志倫</v>
      </c>
      <c r="E17" s="420">
        <v>45901</v>
      </c>
      <c r="F17" s="420">
        <v>45931</v>
      </c>
      <c r="G17" s="726" t="s">
        <v>719</v>
      </c>
      <c r="H17" s="422">
        <f t="shared" si="0"/>
        <v>2</v>
      </c>
      <c r="I17" s="392">
        <v>50</v>
      </c>
      <c r="J17" s="107">
        <f t="shared" si="1"/>
        <v>100</v>
      </c>
      <c r="K17" s="184"/>
      <c r="L17" s="184"/>
      <c r="M17" s="108">
        <v>2</v>
      </c>
      <c r="N17" s="819"/>
      <c r="O17" s="397"/>
      <c r="Q17" s="399"/>
      <c r="S17" s="396"/>
      <c r="T17" s="396"/>
      <c r="W17" s="400">
        <v>45748</v>
      </c>
    </row>
    <row r="18" spans="1:23" ht="15">
      <c r="A18" s="379">
        <v>45922</v>
      </c>
      <c r="B18" s="177" t="s">
        <v>720</v>
      </c>
      <c r="C18" s="389">
        <v>4</v>
      </c>
      <c r="D18" s="390" t="str">
        <f>VLOOKUP(C18,'MASTER Name List'!$B$3:$M$186,2,FALSE)</f>
        <v>邹运金</v>
      </c>
      <c r="E18" s="420">
        <v>45901</v>
      </c>
      <c r="F18" s="420">
        <v>45992</v>
      </c>
      <c r="G18" s="726" t="s">
        <v>716</v>
      </c>
      <c r="H18" s="422">
        <f t="shared" si="0"/>
        <v>4</v>
      </c>
      <c r="I18" s="392">
        <v>50</v>
      </c>
      <c r="J18" s="107">
        <f t="shared" si="1"/>
        <v>200</v>
      </c>
      <c r="K18" s="184"/>
      <c r="L18" s="184"/>
      <c r="M18" s="108">
        <v>2</v>
      </c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>
        <v>45922</v>
      </c>
      <c r="B19" s="177" t="s">
        <v>721</v>
      </c>
      <c r="C19" s="389">
        <v>131</v>
      </c>
      <c r="D19" s="390" t="str">
        <f>VLOOKUP(C19,'MASTER Name List'!$B$3:$M$186,2,FALSE)</f>
        <v>王康芬</v>
      </c>
      <c r="E19" s="420">
        <v>45901</v>
      </c>
      <c r="F19" s="420">
        <v>45992</v>
      </c>
      <c r="G19" s="726" t="s">
        <v>716</v>
      </c>
      <c r="H19" s="422">
        <f t="shared" si="0"/>
        <v>4</v>
      </c>
      <c r="I19" s="392">
        <v>50</v>
      </c>
      <c r="J19" s="107">
        <f t="shared" si="1"/>
        <v>200</v>
      </c>
      <c r="K19" s="184"/>
      <c r="L19" s="184"/>
      <c r="M19" s="108">
        <v>2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45922</v>
      </c>
      <c r="B20" s="177" t="s">
        <v>722</v>
      </c>
      <c r="C20" s="389">
        <v>214</v>
      </c>
      <c r="D20" s="390" t="str">
        <f>VLOOKUP(C20,'MASTER Name List'!$B$3:$M$186,2,FALSE)</f>
        <v>苏淑禛</v>
      </c>
      <c r="E20" s="420">
        <v>45931</v>
      </c>
      <c r="F20" s="420">
        <v>45992</v>
      </c>
      <c r="G20" s="727" t="s">
        <v>723</v>
      </c>
      <c r="H20" s="422">
        <f t="shared" si="0"/>
        <v>3</v>
      </c>
      <c r="I20" s="392">
        <v>50</v>
      </c>
      <c r="J20" s="107">
        <f t="shared" si="1"/>
        <v>150</v>
      </c>
      <c r="K20" s="184"/>
      <c r="L20" s="184"/>
      <c r="M20" s="108">
        <v>2</v>
      </c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>
        <v>45926</v>
      </c>
      <c r="B21" s="177" t="s">
        <v>724</v>
      </c>
      <c r="C21" s="389">
        <v>134</v>
      </c>
      <c r="D21" s="390" t="str">
        <f>VLOOKUP(C21,'MASTER Name List'!$B$3:$M$186,2,FALSE)</f>
        <v>黄丽萍</v>
      </c>
      <c r="E21" s="420">
        <v>45839</v>
      </c>
      <c r="F21" s="420">
        <v>45931</v>
      </c>
      <c r="G21" s="727" t="s">
        <v>725</v>
      </c>
      <c r="H21" s="422">
        <f t="shared" si="0"/>
        <v>4</v>
      </c>
      <c r="I21" s="392">
        <v>50</v>
      </c>
      <c r="J21" s="107">
        <f t="shared" si="1"/>
        <v>200</v>
      </c>
      <c r="K21" s="184"/>
      <c r="L21" s="184"/>
      <c r="M21" s="108">
        <v>2</v>
      </c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>
        <v>45926</v>
      </c>
      <c r="B22" s="177" t="s">
        <v>726</v>
      </c>
      <c r="C22" s="389">
        <v>135</v>
      </c>
      <c r="D22" s="390" t="str">
        <f>VLOOKUP(C22,'MASTER Name List'!$B$3:$M$186,2,FALSE)</f>
        <v>刘永耀</v>
      </c>
      <c r="E22" s="420">
        <v>45839</v>
      </c>
      <c r="F22" s="420">
        <v>45931</v>
      </c>
      <c r="G22" s="727" t="s">
        <v>725</v>
      </c>
      <c r="H22" s="422">
        <f t="shared" si="0"/>
        <v>4</v>
      </c>
      <c r="I22" s="392">
        <v>50</v>
      </c>
      <c r="J22" s="107">
        <f t="shared" si="1"/>
        <v>200</v>
      </c>
      <c r="K22" s="184"/>
      <c r="L22" s="184"/>
      <c r="M22" s="108">
        <v>2</v>
      </c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>
        <v>45926</v>
      </c>
      <c r="B23" s="177" t="s">
        <v>727</v>
      </c>
      <c r="C23" s="389">
        <v>168</v>
      </c>
      <c r="D23" s="390" t="str">
        <f>VLOOKUP(C23,'MASTER Name List'!$B$3:$M$186,2,FALSE)</f>
        <v>王秋蓉</v>
      </c>
      <c r="E23" s="420">
        <v>45901</v>
      </c>
      <c r="F23" s="420">
        <v>45931</v>
      </c>
      <c r="G23" s="822" t="s">
        <v>719</v>
      </c>
      <c r="H23" s="422">
        <f t="shared" si="0"/>
        <v>2</v>
      </c>
      <c r="I23" s="392">
        <v>50</v>
      </c>
      <c r="J23" s="107">
        <f t="shared" si="1"/>
        <v>100</v>
      </c>
      <c r="K23" s="184"/>
      <c r="L23" s="184"/>
      <c r="M23" s="108">
        <v>2</v>
      </c>
      <c r="N23" s="819">
        <f>SUMIF(M:M,"2",J:J)</f>
        <v>1650</v>
      </c>
      <c r="O23" s="397" t="s">
        <v>728</v>
      </c>
      <c r="P23" s="394"/>
      <c r="Q23" s="399"/>
      <c r="S23" s="396"/>
      <c r="T23" s="396"/>
      <c r="W23" s="400">
        <v>45931</v>
      </c>
    </row>
    <row r="24" spans="1:23" ht="15">
      <c r="A24" s="379">
        <v>45928</v>
      </c>
      <c r="B24" s="177" t="s">
        <v>729</v>
      </c>
      <c r="C24" s="389">
        <v>163</v>
      </c>
      <c r="D24" s="390" t="str">
        <f>VLOOKUP(C24,'MASTER Name List'!$B$3:$M$186,2,FALSE)</f>
        <v>周玉暹</v>
      </c>
      <c r="E24" s="420">
        <v>45658</v>
      </c>
      <c r="F24" s="420">
        <v>45748</v>
      </c>
      <c r="G24" s="822" t="s">
        <v>730</v>
      </c>
      <c r="H24" s="422">
        <f t="shared" si="0"/>
        <v>4</v>
      </c>
      <c r="I24" s="392">
        <v>50</v>
      </c>
      <c r="J24" s="107">
        <f t="shared" si="1"/>
        <v>200</v>
      </c>
      <c r="K24" s="184"/>
      <c r="L24" s="184"/>
      <c r="M24" s="108">
        <v>3</v>
      </c>
      <c r="N24" s="819">
        <f>SUMIF(M:M,"3",J:J)</f>
        <v>200</v>
      </c>
      <c r="O24" s="397" t="s">
        <v>731</v>
      </c>
      <c r="P24" s="394"/>
      <c r="Q24" s="399"/>
      <c r="S24" s="396"/>
      <c r="T24" s="396"/>
      <c r="W24" s="400">
        <v>45962</v>
      </c>
    </row>
    <row r="25" spans="1:23" ht="15">
      <c r="A25" s="379"/>
      <c r="B25" s="177"/>
      <c r="C25" s="389"/>
      <c r="D25" s="390" t="e">
        <f>VLOOKUP(C25,'MASTER Name List'!$B$3:$M$186,2,FALSE)</f>
        <v>#N/A</v>
      </c>
      <c r="E25" s="420"/>
      <c r="F25" s="420"/>
      <c r="G25" s="402"/>
      <c r="H25" s="422">
        <f t="shared" si="0"/>
        <v>1</v>
      </c>
      <c r="I25" s="392">
        <v>50</v>
      </c>
      <c r="J25" s="107" t="str">
        <f t="shared" si="1"/>
        <v>-</v>
      </c>
      <c r="K25" s="184"/>
      <c r="L25" s="184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/>
      <c r="B26" s="177"/>
      <c r="C26" s="389"/>
      <c r="D26" s="390" t="e">
        <f>VLOOKUP(C26,'MASTER Name List'!$B$3:$M$186,2,FALSE)</f>
        <v>#N/A</v>
      </c>
      <c r="E26" s="420"/>
      <c r="F26" s="420"/>
      <c r="G26" s="402"/>
      <c r="H26" s="422">
        <f t="shared" si="0"/>
        <v>1</v>
      </c>
      <c r="I26" s="392">
        <v>50</v>
      </c>
      <c r="J26" s="107" t="str">
        <f t="shared" si="1"/>
        <v>-</v>
      </c>
      <c r="K26" s="184"/>
      <c r="L26" s="184"/>
      <c r="M26" s="108"/>
      <c r="N26" s="819"/>
      <c r="O26" s="397"/>
      <c r="P26" s="394"/>
      <c r="Q26" s="399"/>
      <c r="S26" s="396"/>
      <c r="T26" s="396"/>
      <c r="W26" s="400">
        <v>46023</v>
      </c>
    </row>
    <row r="27" spans="1:23" ht="15">
      <c r="A27" s="379"/>
      <c r="B27" s="177"/>
      <c r="C27" s="389"/>
      <c r="D27" s="390"/>
      <c r="E27" s="420"/>
      <c r="F27" s="420"/>
      <c r="G27" s="402"/>
      <c r="H27" s="403"/>
      <c r="I27" s="404"/>
      <c r="J27" s="107"/>
      <c r="K27" s="107"/>
      <c r="L27" s="107"/>
      <c r="M27" s="108"/>
      <c r="N27" s="819"/>
      <c r="O27" s="397"/>
      <c r="P27" s="394"/>
      <c r="Q27" s="399"/>
      <c r="S27" s="396"/>
      <c r="T27" s="396"/>
      <c r="W27" s="400">
        <v>46054</v>
      </c>
    </row>
    <row r="28" spans="1:23" ht="15">
      <c r="A28" s="379"/>
      <c r="B28" s="405" t="s">
        <v>487</v>
      </c>
      <c r="C28" s="389"/>
      <c r="D28" s="390"/>
      <c r="E28" s="420"/>
      <c r="F28" s="420"/>
      <c r="G28" s="391"/>
      <c r="H28" s="406"/>
      <c r="I28" s="392"/>
      <c r="J28" s="107"/>
      <c r="K28" s="107"/>
      <c r="L28" s="107"/>
      <c r="M28" s="108"/>
      <c r="N28" s="819"/>
      <c r="O28" s="397"/>
      <c r="P28" s="394"/>
      <c r="Q28" s="399"/>
      <c r="S28" s="396"/>
      <c r="T28" s="396"/>
      <c r="W28" s="400">
        <v>46082</v>
      </c>
    </row>
    <row r="29" spans="1:23" ht="15.6">
      <c r="A29" s="379">
        <v>45901</v>
      </c>
      <c r="B29" s="407" t="s">
        <v>732</v>
      </c>
      <c r="C29" s="389">
        <v>162</v>
      </c>
      <c r="D29" s="390" t="str">
        <f>VLOOKUP(C29,'MASTER Name List'!$B$3:$M$186,2,FALSE)</f>
        <v>方惠贤</v>
      </c>
      <c r="E29" s="420">
        <v>45901</v>
      </c>
      <c r="F29" s="420">
        <v>45931</v>
      </c>
      <c r="G29" s="726" t="s">
        <v>719</v>
      </c>
      <c r="H29" s="422">
        <f t="shared" ref="H29:H46" si="2">DATEDIF(E29,F29,"M")+1</f>
        <v>2</v>
      </c>
      <c r="I29" s="392">
        <v>50</v>
      </c>
      <c r="J29" s="184"/>
      <c r="K29" s="184"/>
      <c r="L29" s="107">
        <f>IF($C29="","-",$H29*$I29)</f>
        <v>100</v>
      </c>
      <c r="M29" s="108"/>
      <c r="N29" s="819"/>
      <c r="O29" s="852" t="s">
        <v>688</v>
      </c>
      <c r="P29" s="394" t="s">
        <v>125</v>
      </c>
      <c r="Q29" t="s">
        <v>126</v>
      </c>
      <c r="S29" s="396"/>
      <c r="T29" s="636" t="s">
        <v>603</v>
      </c>
      <c r="W29" s="400">
        <v>46113</v>
      </c>
    </row>
    <row r="30" spans="1:23" ht="15">
      <c r="A30" s="379">
        <v>45901</v>
      </c>
      <c r="B30" s="407" t="s">
        <v>733</v>
      </c>
      <c r="C30" s="389">
        <v>116</v>
      </c>
      <c r="D30" s="390" t="str">
        <f>VLOOKUP(C30,'MASTER Name List'!$B$3:$M$186,2,FALSE)</f>
        <v>李薇薇</v>
      </c>
      <c r="E30" s="420">
        <v>45901</v>
      </c>
      <c r="F30" s="420">
        <v>45901</v>
      </c>
      <c r="G30" s="726">
        <v>45901</v>
      </c>
      <c r="H30" s="422">
        <f t="shared" si="2"/>
        <v>1</v>
      </c>
      <c r="I30" s="392">
        <v>50</v>
      </c>
      <c r="J30" s="184"/>
      <c r="K30" s="184"/>
      <c r="L30" s="107">
        <f t="shared" ref="L30:L47" si="3">IF($C30="","-",$H30*$I30)</f>
        <v>50</v>
      </c>
      <c r="M30" s="108"/>
      <c r="N30" s="819"/>
      <c r="O30" s="397"/>
      <c r="P30" s="394" t="s">
        <v>125</v>
      </c>
      <c r="Q30" s="27" t="s">
        <v>133</v>
      </c>
      <c r="S30" s="396"/>
      <c r="T30" s="367" t="s">
        <v>538</v>
      </c>
      <c r="W30" s="400">
        <v>46143</v>
      </c>
    </row>
    <row r="31" spans="1:23" ht="15">
      <c r="A31" s="379">
        <v>45901</v>
      </c>
      <c r="B31" s="407" t="s">
        <v>734</v>
      </c>
      <c r="C31" s="389">
        <v>117</v>
      </c>
      <c r="D31" s="390" t="str">
        <f>VLOOKUP(C31,'MASTER Name List'!$B$3:$M$186,2,FALSE)</f>
        <v>张志文</v>
      </c>
      <c r="E31" s="420">
        <v>45901</v>
      </c>
      <c r="F31" s="420">
        <v>45901</v>
      </c>
      <c r="G31" s="726">
        <v>45901</v>
      </c>
      <c r="H31" s="422">
        <f t="shared" si="2"/>
        <v>1</v>
      </c>
      <c r="I31" s="392">
        <v>50</v>
      </c>
      <c r="J31" s="184"/>
      <c r="K31" s="184"/>
      <c r="L31" s="107">
        <f t="shared" si="3"/>
        <v>50</v>
      </c>
      <c r="M31" s="108"/>
      <c r="N31" s="819"/>
      <c r="O31" s="397"/>
      <c r="P31" s="363" t="s">
        <v>125</v>
      </c>
      <c r="Q31" s="27" t="s">
        <v>685</v>
      </c>
      <c r="S31" s="396"/>
      <c r="T31" s="367" t="s">
        <v>539</v>
      </c>
      <c r="W31" s="400">
        <v>46174</v>
      </c>
    </row>
    <row r="32" spans="1:23" ht="15.6">
      <c r="A32" s="379">
        <v>45904</v>
      </c>
      <c r="B32" s="407" t="s">
        <v>735</v>
      </c>
      <c r="C32" s="389">
        <v>172</v>
      </c>
      <c r="D32" s="390" t="str">
        <f>VLOOKUP(C32,'MASTER Name List'!$B$3:$M$186,2,FALSE)</f>
        <v>蔡均镅</v>
      </c>
      <c r="E32" s="420">
        <v>45901</v>
      </c>
      <c r="F32" s="420">
        <v>45931</v>
      </c>
      <c r="G32" s="726" t="s">
        <v>719</v>
      </c>
      <c r="H32" s="422">
        <f t="shared" si="2"/>
        <v>2</v>
      </c>
      <c r="I32" s="392">
        <v>50</v>
      </c>
      <c r="J32" s="184"/>
      <c r="K32" s="184"/>
      <c r="L32" s="107">
        <f t="shared" si="3"/>
        <v>100</v>
      </c>
      <c r="M32" s="108"/>
      <c r="N32" s="819"/>
      <c r="O32" s="408"/>
      <c r="P32" s="633" t="s">
        <v>125</v>
      </c>
      <c r="Q32" t="s">
        <v>194</v>
      </c>
      <c r="S32" s="396"/>
      <c r="T32" s="636" t="s">
        <v>556</v>
      </c>
      <c r="W32" s="400">
        <v>46204</v>
      </c>
    </row>
    <row r="33" spans="1:23" ht="15.6">
      <c r="A33" s="379">
        <v>45905</v>
      </c>
      <c r="B33" s="407" t="s">
        <v>736</v>
      </c>
      <c r="C33" s="389">
        <v>123</v>
      </c>
      <c r="D33" s="390" t="str">
        <f>VLOOKUP(C33,'MASTER Name List'!$B$3:$M$186,2,FALSE)</f>
        <v>黄丽娟</v>
      </c>
      <c r="E33" s="420">
        <v>45839</v>
      </c>
      <c r="F33" s="420">
        <v>45931</v>
      </c>
      <c r="G33" s="726" t="s">
        <v>725</v>
      </c>
      <c r="H33" s="422">
        <f t="shared" si="2"/>
        <v>4</v>
      </c>
      <c r="I33" s="392">
        <v>50</v>
      </c>
      <c r="J33" s="184"/>
      <c r="K33" s="184"/>
      <c r="L33" s="107">
        <f t="shared" si="3"/>
        <v>200</v>
      </c>
      <c r="M33" s="108"/>
      <c r="N33" s="819"/>
      <c r="O33" s="397"/>
      <c r="P33" s="634" t="s">
        <v>125</v>
      </c>
      <c r="Q33" s="823" t="s">
        <v>197</v>
      </c>
      <c r="S33" s="396"/>
      <c r="T33" s="636" t="s">
        <v>541</v>
      </c>
      <c r="W33" s="400">
        <v>46235</v>
      </c>
    </row>
    <row r="34" spans="1:23" ht="15.6">
      <c r="A34" s="379">
        <v>45908</v>
      </c>
      <c r="B34" s="407" t="s">
        <v>737</v>
      </c>
      <c r="C34" s="389">
        <v>24</v>
      </c>
      <c r="D34" s="390" t="str">
        <f>VLOOKUP(C34,'MASTER Name List'!$B$3:$M$186,2,FALSE)</f>
        <v>陈淑心</v>
      </c>
      <c r="E34" s="420">
        <v>45839</v>
      </c>
      <c r="F34" s="420">
        <v>45992</v>
      </c>
      <c r="G34" s="726" t="s">
        <v>660</v>
      </c>
      <c r="H34" s="422">
        <f t="shared" si="2"/>
        <v>6</v>
      </c>
      <c r="I34" s="392">
        <v>50</v>
      </c>
      <c r="J34" s="184"/>
      <c r="K34" s="184"/>
      <c r="L34" s="107">
        <f t="shared" si="3"/>
        <v>300</v>
      </c>
      <c r="M34" s="108"/>
      <c r="N34" s="819"/>
      <c r="O34" s="397"/>
      <c r="P34" s="634" t="s">
        <v>125</v>
      </c>
      <c r="Q34" s="823" t="s">
        <v>349</v>
      </c>
      <c r="S34" s="396"/>
      <c r="T34" s="636" t="s">
        <v>558</v>
      </c>
      <c r="W34" s="400">
        <v>46266</v>
      </c>
    </row>
    <row r="35" spans="1:23" ht="15.6">
      <c r="A35" s="379">
        <v>45908</v>
      </c>
      <c r="B35" s="407" t="s">
        <v>738</v>
      </c>
      <c r="C35" s="389">
        <v>137</v>
      </c>
      <c r="D35" s="390" t="str">
        <f>VLOOKUP(C35,'MASTER Name List'!$B$3:$M$186,2,FALSE)</f>
        <v>赖美珍</v>
      </c>
      <c r="E35" s="420">
        <v>45901</v>
      </c>
      <c r="F35" s="420">
        <v>45901</v>
      </c>
      <c r="G35" s="726">
        <v>45901</v>
      </c>
      <c r="H35" s="422">
        <f t="shared" si="2"/>
        <v>1</v>
      </c>
      <c r="I35" s="392">
        <v>50</v>
      </c>
      <c r="J35" s="184"/>
      <c r="K35" s="184"/>
      <c r="L35" s="107">
        <f t="shared" si="3"/>
        <v>50</v>
      </c>
      <c r="M35" s="108"/>
      <c r="N35" s="819"/>
      <c r="O35" s="397"/>
      <c r="P35" s="233" t="s">
        <v>605</v>
      </c>
      <c r="Q35" s="809" t="s">
        <v>606</v>
      </c>
      <c r="S35" s="396"/>
      <c r="T35" s="636" t="s">
        <v>542</v>
      </c>
      <c r="W35" s="400">
        <v>46296</v>
      </c>
    </row>
    <row r="36" spans="1:23" ht="15.6">
      <c r="A36" s="379">
        <v>45909</v>
      </c>
      <c r="B36" s="407" t="s">
        <v>739</v>
      </c>
      <c r="C36" s="389">
        <v>52</v>
      </c>
      <c r="D36" s="390" t="str">
        <f>VLOOKUP(C36,'MASTER Name List'!$B$3:$M$186,2,FALSE)</f>
        <v>陈宝蓉</v>
      </c>
      <c r="E36" s="420">
        <v>45901</v>
      </c>
      <c r="F36" s="420">
        <v>45931</v>
      </c>
      <c r="G36" s="726" t="s">
        <v>719</v>
      </c>
      <c r="H36" s="422">
        <f t="shared" si="2"/>
        <v>2</v>
      </c>
      <c r="I36" s="392">
        <v>50</v>
      </c>
      <c r="J36" s="184"/>
      <c r="K36" s="184"/>
      <c r="L36" s="107">
        <f t="shared" si="3"/>
        <v>100</v>
      </c>
      <c r="M36" s="108"/>
      <c r="N36" s="819"/>
      <c r="O36" s="397"/>
      <c r="P36" s="634" t="s">
        <v>125</v>
      </c>
      <c r="Q36" s="809" t="s">
        <v>330</v>
      </c>
      <c r="S36" s="396"/>
      <c r="T36" s="636" t="s">
        <v>601</v>
      </c>
      <c r="W36" s="400">
        <v>46327</v>
      </c>
    </row>
    <row r="37" spans="1:23" ht="15.6">
      <c r="A37" s="379">
        <v>45911</v>
      </c>
      <c r="B37" s="407" t="s">
        <v>740</v>
      </c>
      <c r="C37" s="389">
        <v>114</v>
      </c>
      <c r="D37" s="390" t="str">
        <f>VLOOKUP(C37,'MASTER Name List'!$B$3:$M$186,2,FALSE)</f>
        <v>刁修淋</v>
      </c>
      <c r="E37" s="420">
        <v>45901</v>
      </c>
      <c r="F37" s="420">
        <v>45992</v>
      </c>
      <c r="G37" s="726" t="s">
        <v>716</v>
      </c>
      <c r="H37" s="422">
        <f t="shared" si="2"/>
        <v>4</v>
      </c>
      <c r="I37" s="392">
        <v>50</v>
      </c>
      <c r="J37" s="184"/>
      <c r="K37" s="184"/>
      <c r="L37" s="107">
        <f t="shared" si="3"/>
        <v>200</v>
      </c>
      <c r="M37" s="108"/>
      <c r="N37" s="819"/>
      <c r="O37" s="397"/>
      <c r="P37" s="634" t="s">
        <v>125</v>
      </c>
      <c r="Q37" s="809" t="s">
        <v>741</v>
      </c>
      <c r="S37" s="396"/>
      <c r="T37" s="636" t="s">
        <v>742</v>
      </c>
      <c r="W37" s="400">
        <v>46357</v>
      </c>
    </row>
    <row r="38" spans="1:23" ht="15.6">
      <c r="A38" s="379">
        <v>45918</v>
      </c>
      <c r="B38" s="407" t="s">
        <v>743</v>
      </c>
      <c r="C38" s="389">
        <v>80</v>
      </c>
      <c r="D38" s="390" t="str">
        <f>VLOOKUP(C38,'MASTER Name List'!$B$3:$M$186,2,FALSE)</f>
        <v>黄淑芬</v>
      </c>
      <c r="E38" s="420">
        <v>45901</v>
      </c>
      <c r="F38" s="420">
        <v>45901</v>
      </c>
      <c r="G38" s="391">
        <v>45901</v>
      </c>
      <c r="H38" s="422">
        <f t="shared" si="2"/>
        <v>1</v>
      </c>
      <c r="I38" s="392">
        <v>50</v>
      </c>
      <c r="J38" s="184"/>
      <c r="K38" s="184"/>
      <c r="L38" s="107">
        <f t="shared" si="3"/>
        <v>50</v>
      </c>
      <c r="M38" s="108"/>
      <c r="N38" s="819"/>
      <c r="O38" s="397"/>
      <c r="P38" s="634" t="s">
        <v>125</v>
      </c>
      <c r="Q38" s="809" t="s">
        <v>179</v>
      </c>
      <c r="S38" s="396"/>
      <c r="T38" s="636" t="s">
        <v>599</v>
      </c>
      <c r="W38" s="400">
        <v>46388</v>
      </c>
    </row>
    <row r="39" spans="1:23" ht="15.6">
      <c r="A39" s="379">
        <v>45918</v>
      </c>
      <c r="B39" s="407" t="s">
        <v>744</v>
      </c>
      <c r="C39" s="389">
        <v>224</v>
      </c>
      <c r="D39" s="390" t="str">
        <f>VLOOKUP(C39,'MASTER Name List'!$B$3:$M$186,2,FALSE)</f>
        <v xml:space="preserve">黄文勝 </v>
      </c>
      <c r="E39" s="420">
        <v>45901</v>
      </c>
      <c r="F39" s="420">
        <v>45901</v>
      </c>
      <c r="G39" s="391">
        <v>45901</v>
      </c>
      <c r="H39" s="422">
        <f t="shared" si="2"/>
        <v>1</v>
      </c>
      <c r="I39" s="392">
        <v>50</v>
      </c>
      <c r="J39" s="184"/>
      <c r="K39" s="184"/>
      <c r="L39" s="107">
        <f t="shared" si="3"/>
        <v>50</v>
      </c>
      <c r="M39" s="108"/>
      <c r="N39" s="819"/>
      <c r="O39" s="397"/>
      <c r="P39" s="634" t="s">
        <v>125</v>
      </c>
      <c r="Q39" s="27" t="s">
        <v>179</v>
      </c>
      <c r="S39" s="396"/>
      <c r="T39" s="636" t="s">
        <v>600</v>
      </c>
      <c r="W39" s="400">
        <v>46419</v>
      </c>
    </row>
    <row r="40" spans="1:23" ht="15">
      <c r="A40" s="379"/>
      <c r="B40" s="40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635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407"/>
      <c r="C44" s="389"/>
      <c r="D44" s="390" t="e">
        <f>VLOOKUP(C44,'MASTER Name List'!$B$3:$M$186,2,FALSE)</f>
        <v>#N/A</v>
      </c>
      <c r="E44" s="420"/>
      <c r="F44" s="420"/>
      <c r="G44" s="391"/>
      <c r="H44" s="422">
        <f t="shared" si="2"/>
        <v>1</v>
      </c>
      <c r="I44" s="392">
        <v>50</v>
      </c>
      <c r="J44" s="184"/>
      <c r="K44" s="184"/>
      <c r="L44" s="107" t="str">
        <f t="shared" si="3"/>
        <v>-</v>
      </c>
      <c r="M44" s="108"/>
      <c r="N44" s="819"/>
      <c r="O44" s="397"/>
      <c r="P44" s="394"/>
      <c r="Q44" s="409"/>
      <c r="S44" s="396"/>
      <c r="T44" s="396"/>
      <c r="W44" s="400">
        <v>46569</v>
      </c>
    </row>
    <row r="45" spans="1:23" ht="15">
      <c r="A45" s="379"/>
      <c r="B45" s="407"/>
      <c r="C45" s="389"/>
      <c r="D45" s="390" t="e">
        <f>VLOOKUP(C45,'MASTER Name List'!$B$3:$M$186,2,FALSE)</f>
        <v>#N/A</v>
      </c>
      <c r="E45" s="420"/>
      <c r="F45" s="420"/>
      <c r="G45" s="391"/>
      <c r="H45" s="422">
        <f t="shared" si="2"/>
        <v>1</v>
      </c>
      <c r="I45" s="392">
        <v>50</v>
      </c>
      <c r="J45" s="184"/>
      <c r="K45" s="184"/>
      <c r="L45" s="107" t="str">
        <f t="shared" si="3"/>
        <v>-</v>
      </c>
      <c r="M45" s="108"/>
      <c r="N45" s="819"/>
      <c r="O45" s="397"/>
      <c r="P45" s="394"/>
      <c r="Q45" s="409"/>
      <c r="S45" s="396"/>
      <c r="T45" s="396"/>
      <c r="W45" s="400">
        <v>46600</v>
      </c>
    </row>
    <row r="46" spans="1:23" ht="15">
      <c r="A46" s="379"/>
      <c r="B46" s="407"/>
      <c r="C46" s="389"/>
      <c r="D46" s="390" t="e">
        <f>VLOOKUP(C46,'MASTER Name List'!$B$3:$M$186,2,FALSE)</f>
        <v>#N/A</v>
      </c>
      <c r="E46" s="420"/>
      <c r="F46" s="420"/>
      <c r="G46" s="391"/>
      <c r="H46" s="422">
        <f t="shared" si="2"/>
        <v>1</v>
      </c>
      <c r="I46" s="392">
        <v>50</v>
      </c>
      <c r="J46" s="184"/>
      <c r="K46" s="184"/>
      <c r="L46" s="107" t="str">
        <f t="shared" si="3"/>
        <v>-</v>
      </c>
      <c r="M46" s="108"/>
      <c r="N46" s="819"/>
      <c r="O46" s="397"/>
      <c r="P46" s="394"/>
      <c r="Q46" s="409"/>
      <c r="S46" s="396"/>
      <c r="T46" s="396"/>
      <c r="W46" s="400">
        <v>46631</v>
      </c>
    </row>
    <row r="47" spans="1:23" ht="15">
      <c r="A47" s="379"/>
      <c r="B47" s="389"/>
      <c r="C47" s="389"/>
      <c r="D47" s="390"/>
      <c r="E47" s="420"/>
      <c r="F47" s="420"/>
      <c r="G47" s="402"/>
      <c r="H47" s="403"/>
      <c r="I47" s="404"/>
      <c r="J47" s="184"/>
      <c r="K47" s="184"/>
      <c r="L47" s="107" t="str">
        <f t="shared" si="3"/>
        <v>-</v>
      </c>
      <c r="M47" s="108"/>
      <c r="N47" s="819"/>
      <c r="O47" s="397"/>
      <c r="P47" s="410"/>
      <c r="Q47" s="409"/>
      <c r="S47" s="396"/>
      <c r="T47" s="396"/>
      <c r="W47" s="400">
        <v>46661</v>
      </c>
    </row>
    <row r="48" spans="1:23" ht="15">
      <c r="A48" s="379"/>
      <c r="B48" s="411"/>
      <c r="C48" s="412"/>
      <c r="D48" s="413"/>
      <c r="E48" s="421"/>
      <c r="F48" s="421"/>
      <c r="G48" s="414"/>
      <c r="H48" s="415"/>
      <c r="I48" s="416"/>
      <c r="J48" s="124"/>
      <c r="K48" s="124"/>
      <c r="L48" s="124"/>
      <c r="M48" s="125"/>
      <c r="N48" s="417"/>
      <c r="O48" s="417"/>
      <c r="P48" s="417"/>
      <c r="W48" s="400">
        <v>46692</v>
      </c>
    </row>
    <row r="49" spans="2:23" ht="15">
      <c r="B49" s="418"/>
      <c r="C49" s="418"/>
      <c r="J49" s="128"/>
      <c r="K49" s="128"/>
      <c r="L49" s="128"/>
      <c r="M49" s="129"/>
      <c r="W49" s="400">
        <v>46722</v>
      </c>
    </row>
    <row r="50" spans="2:23" ht="15.6" thickBot="1">
      <c r="B50" s="418"/>
      <c r="C50" s="418"/>
      <c r="J50" s="130">
        <f>SUM(J8:J49)</f>
        <v>2450</v>
      </c>
      <c r="K50" s="130">
        <f>SUM(K8:K49)</f>
        <v>0</v>
      </c>
      <c r="L50" s="130">
        <f>SUM(L8:L49)</f>
        <v>1250</v>
      </c>
      <c r="M50" s="131"/>
      <c r="N50" s="132">
        <f>SUM(N8:N49)</f>
        <v>2450</v>
      </c>
      <c r="W50" s="400">
        <v>46753</v>
      </c>
    </row>
    <row r="51" spans="2:23" ht="15.6" thickTop="1">
      <c r="J51" s="133"/>
      <c r="K51" s="133"/>
      <c r="L51" s="133"/>
      <c r="M51" s="129"/>
      <c r="W51" s="400">
        <v>46784</v>
      </c>
    </row>
    <row r="52" spans="2:23" s="363" customFormat="1" ht="15">
      <c r="G52" s="364"/>
      <c r="I52" s="365"/>
      <c r="J52" s="419"/>
      <c r="K52" s="419"/>
      <c r="L52" s="419"/>
      <c r="Q52" s="366"/>
      <c r="W52" s="400">
        <v>46813</v>
      </c>
    </row>
    <row r="53" spans="2:23" ht="15">
      <c r="W53" s="400">
        <v>46844</v>
      </c>
    </row>
    <row r="54" spans="2:23" ht="15">
      <c r="W54" s="400">
        <v>46874</v>
      </c>
    </row>
    <row r="55" spans="2:23" ht="15">
      <c r="W55" s="400">
        <v>46905</v>
      </c>
    </row>
    <row r="56" spans="2:23" ht="15">
      <c r="W56" s="400">
        <v>46935</v>
      </c>
    </row>
    <row r="57" spans="2:23" ht="15">
      <c r="W57" s="400">
        <v>46966</v>
      </c>
    </row>
    <row r="58" spans="2:23" ht="15">
      <c r="W58" s="400">
        <v>46997</v>
      </c>
    </row>
    <row r="59" spans="2:23" ht="15">
      <c r="W59" s="400">
        <v>47027</v>
      </c>
    </row>
    <row r="60" spans="2:23" ht="15">
      <c r="W60" s="400">
        <v>47058</v>
      </c>
    </row>
    <row r="61" spans="2:23" ht="15">
      <c r="W61" s="400">
        <v>47088</v>
      </c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6 E29:F46" xr:uid="{C14279DA-E8E9-46D3-BD78-A95C5C2C67B5}">
      <formula1>$W$10:$W$42</formula1>
    </dataValidation>
  </dataValidation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B2E1-E470-4933-A93C-0E8A77EAF824}">
  <sheetPr>
    <tabColor rgb="FF00B0F0"/>
  </sheetPr>
  <dimension ref="A4:W61"/>
  <sheetViews>
    <sheetView zoomScaleNormal="100" workbookViewId="0">
      <pane ySplit="8" topLeftCell="A9" activePane="bottomLeft" state="frozen"/>
      <selection pane="bottomLeft" activeCell="C41" sqref="C41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745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45936</v>
      </c>
      <c r="B9" s="177" t="s">
        <v>746</v>
      </c>
      <c r="C9" s="389">
        <v>178</v>
      </c>
      <c r="D9" s="390" t="str">
        <f>VLOOKUP(C9,'MASTER Name List'!$B$3:$M$186,2,FALSE)</f>
        <v>颜美葒</v>
      </c>
      <c r="E9" s="420">
        <v>45962</v>
      </c>
      <c r="F9" s="420">
        <v>45962</v>
      </c>
      <c r="G9" s="391">
        <v>45962</v>
      </c>
      <c r="H9" s="422">
        <f t="shared" ref="H9:H23" si="0">DATEDIF(E9,F9,"M")+1</f>
        <v>1</v>
      </c>
      <c r="I9" s="392">
        <v>50</v>
      </c>
      <c r="J9" s="107">
        <f>IF($C9="","-",$H9*$I9)</f>
        <v>50</v>
      </c>
      <c r="K9" s="184"/>
      <c r="L9" s="184"/>
      <c r="M9" s="108">
        <v>1</v>
      </c>
      <c r="N9" s="819"/>
      <c r="O9" s="393"/>
      <c r="P9" s="431" t="s">
        <v>714</v>
      </c>
      <c r="Q9" s="395"/>
      <c r="S9" s="396"/>
      <c r="T9" s="396"/>
    </row>
    <row r="10" spans="1:23" ht="15">
      <c r="A10" s="379">
        <v>45936</v>
      </c>
      <c r="B10" s="177" t="s">
        <v>747</v>
      </c>
      <c r="C10" s="389">
        <v>180</v>
      </c>
      <c r="D10" s="390" t="str">
        <f>VLOOKUP(C10,'MASTER Name List'!$B$3:$M$186,2,FALSE)</f>
        <v>蔡健铭</v>
      </c>
      <c r="E10" s="420">
        <v>45839</v>
      </c>
      <c r="F10" s="420">
        <v>45901</v>
      </c>
      <c r="G10" s="726" t="s">
        <v>704</v>
      </c>
      <c r="H10" s="422">
        <f t="shared" si="0"/>
        <v>3</v>
      </c>
      <c r="I10" s="392">
        <v>50</v>
      </c>
      <c r="J10" s="107">
        <f t="shared" ref="J10:J23" si="1">IF($C10="","-",$H10*$I10)</f>
        <v>150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45936</v>
      </c>
      <c r="B11" s="177" t="s">
        <v>748</v>
      </c>
      <c r="C11" s="389">
        <v>86</v>
      </c>
      <c r="D11" s="390" t="str">
        <f>VLOOKUP(C11,'MASTER Name List'!$B$3:$M$186,2,FALSE)</f>
        <v>蔡祥贤</v>
      </c>
      <c r="E11" s="420">
        <v>45839</v>
      </c>
      <c r="F11" s="420">
        <v>45901</v>
      </c>
      <c r="G11" s="726" t="s">
        <v>704</v>
      </c>
      <c r="H11" s="422">
        <f t="shared" si="0"/>
        <v>3</v>
      </c>
      <c r="I11" s="392">
        <v>50</v>
      </c>
      <c r="J11" s="107">
        <f t="shared" si="1"/>
        <v>150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45936</v>
      </c>
      <c r="B12" s="177" t="s">
        <v>749</v>
      </c>
      <c r="C12" s="389">
        <v>72</v>
      </c>
      <c r="D12" s="390" t="str">
        <f>VLOOKUP(C12,'MASTER Name List'!$B$3:$M$186,2,FALSE)</f>
        <v>何月琼</v>
      </c>
      <c r="E12" s="420">
        <v>45839</v>
      </c>
      <c r="F12" s="420">
        <v>45901</v>
      </c>
      <c r="G12" s="726" t="s">
        <v>704</v>
      </c>
      <c r="H12" s="422">
        <f t="shared" si="0"/>
        <v>3</v>
      </c>
      <c r="I12" s="392">
        <v>50</v>
      </c>
      <c r="J12" s="107">
        <f t="shared" si="1"/>
        <v>150</v>
      </c>
      <c r="K12" s="184"/>
      <c r="L12" s="184"/>
      <c r="M12" s="108">
        <v>1</v>
      </c>
      <c r="N12" s="819">
        <f>SUMIF(M:M,"1",J:J)</f>
        <v>500</v>
      </c>
      <c r="O12" s="397" t="s">
        <v>731</v>
      </c>
      <c r="Q12" s="399"/>
      <c r="S12" s="396"/>
      <c r="T12" s="396"/>
      <c r="W12" s="240">
        <v>45597</v>
      </c>
    </row>
    <row r="13" spans="1:23" ht="15">
      <c r="A13" s="379">
        <v>45940</v>
      </c>
      <c r="B13" s="177" t="s">
        <v>750</v>
      </c>
      <c r="C13" s="389">
        <v>23</v>
      </c>
      <c r="D13" s="390" t="str">
        <f>VLOOKUP(C13,'MASTER Name List'!$B$3:$M$186,2,FALSE)</f>
        <v>罗彩瑛</v>
      </c>
      <c r="E13" s="420">
        <v>45901</v>
      </c>
      <c r="F13" s="420">
        <v>45992</v>
      </c>
      <c r="G13" s="726" t="s">
        <v>719</v>
      </c>
      <c r="H13" s="422">
        <f t="shared" si="0"/>
        <v>4</v>
      </c>
      <c r="I13" s="392">
        <v>50</v>
      </c>
      <c r="J13" s="107">
        <f t="shared" si="1"/>
        <v>200</v>
      </c>
      <c r="K13" s="184"/>
      <c r="L13" s="184"/>
      <c r="M13" s="108">
        <v>2</v>
      </c>
      <c r="N13" s="819">
        <f>SUMIF(M:M,"2",J:J)</f>
        <v>200</v>
      </c>
      <c r="O13" s="397" t="s">
        <v>751</v>
      </c>
      <c r="Q13" s="399"/>
      <c r="S13" s="396"/>
      <c r="T13" s="396"/>
      <c r="W13" s="240">
        <v>45627</v>
      </c>
    </row>
    <row r="14" spans="1:23" ht="15">
      <c r="A14" s="379">
        <v>45948</v>
      </c>
      <c r="B14" s="177" t="s">
        <v>752</v>
      </c>
      <c r="C14" s="389">
        <v>223</v>
      </c>
      <c r="D14" s="390" t="str">
        <f>VLOOKUP(C14,'MASTER Name List'!$B$3:$M$186,2,FALSE)</f>
        <v>黄莉珍</v>
      </c>
      <c r="E14" s="420">
        <v>45901</v>
      </c>
      <c r="F14" s="420">
        <v>45992</v>
      </c>
      <c r="G14" s="726" t="s">
        <v>716</v>
      </c>
      <c r="H14" s="422">
        <f t="shared" si="0"/>
        <v>4</v>
      </c>
      <c r="I14" s="392">
        <v>50</v>
      </c>
      <c r="J14" s="107">
        <f t="shared" si="1"/>
        <v>200</v>
      </c>
      <c r="K14" s="184"/>
      <c r="L14" s="184"/>
      <c r="M14" s="108">
        <v>3</v>
      </c>
      <c r="N14" s="819">
        <f>SUMIF(M:M,"3",J:J)</f>
        <v>200</v>
      </c>
      <c r="O14" s="397" t="s">
        <v>753</v>
      </c>
      <c r="Q14" s="399"/>
      <c r="S14" s="396"/>
      <c r="T14" s="396"/>
      <c r="W14" s="400">
        <v>45658</v>
      </c>
    </row>
    <row r="15" spans="1:23" ht="15">
      <c r="A15" s="379">
        <v>45951</v>
      </c>
      <c r="B15" s="177" t="s">
        <v>754</v>
      </c>
      <c r="C15" s="389">
        <v>96</v>
      </c>
      <c r="D15" s="390" t="str">
        <f>VLOOKUP(C15,'MASTER Name List'!$B$3:$M$186,2,FALSE)</f>
        <v>余丽苹</v>
      </c>
      <c r="E15" s="420">
        <v>46023</v>
      </c>
      <c r="F15" s="420">
        <v>46174</v>
      </c>
      <c r="G15" s="726" t="s">
        <v>755</v>
      </c>
      <c r="H15" s="422">
        <f t="shared" si="0"/>
        <v>6</v>
      </c>
      <c r="I15" s="392">
        <v>50</v>
      </c>
      <c r="J15" s="107">
        <f t="shared" si="1"/>
        <v>300</v>
      </c>
      <c r="K15" s="184"/>
      <c r="L15" s="184"/>
      <c r="M15" s="108">
        <v>4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45961</v>
      </c>
      <c r="B16" s="177" t="s">
        <v>756</v>
      </c>
      <c r="C16" s="389">
        <v>225</v>
      </c>
      <c r="D16" s="390" t="str">
        <f>VLOOKUP(C16,'MASTER Name List'!$B$3:$M$186,2,FALSE)</f>
        <v>陈巧欢</v>
      </c>
      <c r="E16" s="420">
        <v>45748</v>
      </c>
      <c r="F16" s="420">
        <v>45992</v>
      </c>
      <c r="G16" s="726" t="s">
        <v>757</v>
      </c>
      <c r="H16" s="422">
        <f t="shared" si="0"/>
        <v>9</v>
      </c>
      <c r="I16" s="392">
        <v>50</v>
      </c>
      <c r="J16" s="107">
        <f t="shared" si="1"/>
        <v>450</v>
      </c>
      <c r="K16" s="184"/>
      <c r="L16" s="184"/>
      <c r="M16" s="108">
        <v>4</v>
      </c>
      <c r="N16" s="819">
        <f>SUMIF(M:M,"4",J:J)</f>
        <v>750</v>
      </c>
      <c r="O16" s="397" t="s">
        <v>758</v>
      </c>
      <c r="Q16" s="399"/>
      <c r="S16" s="396"/>
      <c r="T16" s="396"/>
      <c r="W16" s="400">
        <v>45717</v>
      </c>
    </row>
    <row r="17" spans="1:23" ht="15">
      <c r="A17" s="379"/>
      <c r="B17" s="177"/>
      <c r="C17" s="389"/>
      <c r="D17" s="390" t="e">
        <f>VLOOKUP(C17,'MASTER Name List'!$B$3:$M$186,2,FALSE)</f>
        <v>#N/A</v>
      </c>
      <c r="E17" s="420"/>
      <c r="F17" s="420"/>
      <c r="G17" s="391"/>
      <c r="H17" s="422">
        <f t="shared" si="0"/>
        <v>1</v>
      </c>
      <c r="I17" s="392">
        <v>50</v>
      </c>
      <c r="J17" s="107" t="str">
        <f t="shared" si="1"/>
        <v>-</v>
      </c>
      <c r="K17" s="184"/>
      <c r="L17" s="184"/>
      <c r="M17" s="108"/>
      <c r="N17" s="819"/>
      <c r="O17" s="397"/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List'!$B$3:$M$186,2,FALSE)</f>
        <v>#N/A</v>
      </c>
      <c r="E18" s="420"/>
      <c r="F18" s="420"/>
      <c r="G18" s="391"/>
      <c r="H18" s="422">
        <f t="shared" si="0"/>
        <v>1</v>
      </c>
      <c r="I18" s="392">
        <v>50</v>
      </c>
      <c r="J18" s="107" t="str">
        <f t="shared" si="1"/>
        <v>-</v>
      </c>
      <c r="K18" s="184"/>
      <c r="L18" s="184"/>
      <c r="M18" s="108"/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List'!$B$3:$M$186,2,FALSE)</f>
        <v>#N/A</v>
      </c>
      <c r="E19" s="420"/>
      <c r="F19" s="420"/>
      <c r="G19" s="401"/>
      <c r="H19" s="422">
        <f t="shared" si="0"/>
        <v>1</v>
      </c>
      <c r="I19" s="392">
        <v>50</v>
      </c>
      <c r="J19" s="107" t="str">
        <f t="shared" si="1"/>
        <v>-</v>
      </c>
      <c r="K19" s="184"/>
      <c r="L19" s="184"/>
      <c r="M19" s="108"/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List'!$B$3:$M$186,2,FALSE)</f>
        <v>#N/A</v>
      </c>
      <c r="E20" s="420"/>
      <c r="F20" s="420"/>
      <c r="G20" s="401"/>
      <c r="H20" s="422">
        <f t="shared" si="0"/>
        <v>1</v>
      </c>
      <c r="I20" s="392">
        <v>50</v>
      </c>
      <c r="J20" s="107" t="str">
        <f t="shared" si="1"/>
        <v>-</v>
      </c>
      <c r="K20" s="184"/>
      <c r="L20" s="184"/>
      <c r="M20" s="108"/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List'!$B$3:$M$186,2,FALSE)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List'!$B$3:$M$186,2,FALSE)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List'!$B$3:$M$186,2,FALSE)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45931</v>
      </c>
      <c r="B26" s="407" t="s">
        <v>1724</v>
      </c>
      <c r="C26" s="389">
        <v>116</v>
      </c>
      <c r="D26" s="390" t="str">
        <f>VLOOKUP(C26,'MASTER Name List'!$B$3:$M$186,2,FALSE)</f>
        <v>李薇薇</v>
      </c>
      <c r="E26" s="420">
        <v>45931</v>
      </c>
      <c r="F26" s="420">
        <v>45931</v>
      </c>
      <c r="G26" s="391">
        <v>45931</v>
      </c>
      <c r="H26" s="422">
        <f t="shared" ref="H26:H43" si="2">DATEDIF(E26,F26,"M")+1</f>
        <v>1</v>
      </c>
      <c r="I26" s="392">
        <v>50</v>
      </c>
      <c r="J26" s="184"/>
      <c r="K26" s="184"/>
      <c r="L26" s="107">
        <f>IF($C26="","-",$H26*$I26)</f>
        <v>50</v>
      </c>
      <c r="M26" s="108"/>
      <c r="N26" s="819"/>
      <c r="O26" s="852" t="s">
        <v>688</v>
      </c>
      <c r="P26" s="394" t="s">
        <v>125</v>
      </c>
      <c r="Q26" s="399" t="s">
        <v>133</v>
      </c>
      <c r="S26" s="396"/>
      <c r="T26" s="396"/>
      <c r="W26" s="400">
        <v>46023</v>
      </c>
    </row>
    <row r="27" spans="1:23" ht="15">
      <c r="A27" s="379">
        <v>45931</v>
      </c>
      <c r="B27" s="407" t="s">
        <v>1725</v>
      </c>
      <c r="C27" s="389">
        <v>117</v>
      </c>
      <c r="D27" s="390" t="str">
        <f>VLOOKUP(C27,'MASTER Name List'!$B$3:$M$186,2,FALSE)</f>
        <v>张志文</v>
      </c>
      <c r="E27" s="420">
        <v>45931</v>
      </c>
      <c r="F27" s="420">
        <v>45931</v>
      </c>
      <c r="G27" s="391">
        <v>45931</v>
      </c>
      <c r="H27" s="422">
        <f t="shared" si="2"/>
        <v>1</v>
      </c>
      <c r="I27" s="392">
        <v>50</v>
      </c>
      <c r="J27" s="184"/>
      <c r="K27" s="184"/>
      <c r="L27" s="107">
        <f t="shared" ref="L27:L44" si="3">IF($C27="","-",$H27*$I27)</f>
        <v>50</v>
      </c>
      <c r="M27" s="108"/>
      <c r="N27" s="819"/>
      <c r="O27" s="397"/>
      <c r="P27" s="394" t="s">
        <v>125</v>
      </c>
      <c r="Q27" s="399" t="s">
        <v>685</v>
      </c>
      <c r="S27" s="396"/>
      <c r="T27" s="396"/>
      <c r="W27" s="400">
        <v>46054</v>
      </c>
    </row>
    <row r="28" spans="1:23" ht="15">
      <c r="A28" s="379">
        <v>45934</v>
      </c>
      <c r="B28" s="407" t="s">
        <v>1726</v>
      </c>
      <c r="C28" s="389">
        <v>48</v>
      </c>
      <c r="D28" s="390" t="str">
        <f>VLOOKUP(C28,'MASTER Name List'!$B$3:$M$186,2,FALSE)</f>
        <v>叶鏸郧</v>
      </c>
      <c r="E28" s="420">
        <v>45839</v>
      </c>
      <c r="F28" s="420">
        <v>45931</v>
      </c>
      <c r="G28" s="726" t="s">
        <v>759</v>
      </c>
      <c r="H28" s="422">
        <f t="shared" si="2"/>
        <v>4</v>
      </c>
      <c r="I28" s="392">
        <v>50</v>
      </c>
      <c r="J28" s="184"/>
      <c r="K28" s="184"/>
      <c r="L28" s="107">
        <f t="shared" si="3"/>
        <v>200</v>
      </c>
      <c r="M28" s="108"/>
      <c r="N28" s="819"/>
      <c r="O28" s="397"/>
      <c r="P28" s="363" t="s">
        <v>125</v>
      </c>
      <c r="Q28" s="399" t="s">
        <v>694</v>
      </c>
      <c r="S28" s="396"/>
      <c r="T28" s="396"/>
      <c r="W28" s="400">
        <v>46082</v>
      </c>
    </row>
    <row r="29" spans="1:23" ht="15">
      <c r="A29" s="379">
        <v>45934</v>
      </c>
      <c r="B29" s="407" t="s">
        <v>1727</v>
      </c>
      <c r="C29" s="389">
        <v>128</v>
      </c>
      <c r="D29" s="390" t="str">
        <f>VLOOKUP(C29,'MASTER Name List'!$B$3:$M$186,2,FALSE)</f>
        <v>萧势襁</v>
      </c>
      <c r="E29" s="420">
        <v>45931</v>
      </c>
      <c r="F29" s="420">
        <v>45992</v>
      </c>
      <c r="G29" s="726" t="s">
        <v>723</v>
      </c>
      <c r="H29" s="422">
        <f t="shared" si="2"/>
        <v>3</v>
      </c>
      <c r="I29" s="392">
        <v>50</v>
      </c>
      <c r="J29" s="184"/>
      <c r="K29" s="184"/>
      <c r="L29" s="107">
        <f t="shared" si="3"/>
        <v>150</v>
      </c>
      <c r="M29" s="108"/>
      <c r="N29" s="819"/>
      <c r="O29" s="408"/>
      <c r="P29" s="394" t="s">
        <v>125</v>
      </c>
      <c r="Q29" s="823" t="s">
        <v>439</v>
      </c>
      <c r="S29" s="396"/>
      <c r="T29" s="396"/>
      <c r="W29" s="400">
        <v>46113</v>
      </c>
    </row>
    <row r="30" spans="1:23" ht="15">
      <c r="A30" s="379">
        <v>45935</v>
      </c>
      <c r="B30" s="407" t="s">
        <v>1728</v>
      </c>
      <c r="C30" s="389">
        <v>102</v>
      </c>
      <c r="D30" s="390" t="str">
        <f>VLOOKUP(C30,'MASTER Name List'!$B$3:$M$186,2,FALSE)</f>
        <v>戴川凤</v>
      </c>
      <c r="E30" s="420">
        <v>45901</v>
      </c>
      <c r="F30" s="420">
        <v>45992</v>
      </c>
      <c r="G30" s="726" t="s">
        <v>716</v>
      </c>
      <c r="H30" s="422">
        <f>DATEDIF(E30,F30,"M")+1</f>
        <v>4</v>
      </c>
      <c r="I30" s="392">
        <v>50</v>
      </c>
      <c r="J30" s="184"/>
      <c r="K30" s="184"/>
      <c r="L30" s="107">
        <f t="shared" si="3"/>
        <v>200</v>
      </c>
      <c r="M30" s="108"/>
      <c r="N30" s="819"/>
      <c r="O30" s="397"/>
      <c r="P30" s="394" t="s">
        <v>325</v>
      </c>
      <c r="Q30" s="823" t="s">
        <v>760</v>
      </c>
      <c r="S30" s="396"/>
      <c r="T30" s="396"/>
      <c r="W30" s="400">
        <v>46143</v>
      </c>
    </row>
    <row r="31" spans="1:23" ht="15">
      <c r="A31" s="379">
        <v>45936</v>
      </c>
      <c r="B31" s="407" t="s">
        <v>1729</v>
      </c>
      <c r="C31" s="389">
        <v>175</v>
      </c>
      <c r="D31" s="390" t="s">
        <v>147</v>
      </c>
      <c r="E31" s="420">
        <v>45901</v>
      </c>
      <c r="F31" s="420">
        <v>45901</v>
      </c>
      <c r="G31" s="726">
        <v>45901</v>
      </c>
      <c r="H31" s="422">
        <f>DATEDIF(E31,F31,"M")+1</f>
        <v>1</v>
      </c>
      <c r="I31" s="392">
        <v>50</v>
      </c>
      <c r="J31" s="184"/>
      <c r="K31" s="184"/>
      <c r="L31" s="107">
        <f t="shared" si="3"/>
        <v>50</v>
      </c>
      <c r="M31" s="108"/>
      <c r="N31" s="819"/>
      <c r="O31" s="397"/>
      <c r="P31" s="394" t="s">
        <v>125</v>
      </c>
      <c r="Q31" s="399" t="s">
        <v>148</v>
      </c>
      <c r="S31" s="396"/>
      <c r="T31" s="396"/>
      <c r="W31" s="400">
        <v>46174</v>
      </c>
    </row>
    <row r="32" spans="1:23" ht="15">
      <c r="A32" s="379">
        <v>45936</v>
      </c>
      <c r="B32" s="407" t="s">
        <v>1730</v>
      </c>
      <c r="C32" s="389">
        <v>193</v>
      </c>
      <c r="D32" s="390" t="s">
        <v>761</v>
      </c>
      <c r="E32" s="420">
        <v>45658</v>
      </c>
      <c r="F32" s="420">
        <v>45809</v>
      </c>
      <c r="G32" s="726" t="s">
        <v>762</v>
      </c>
      <c r="H32" s="422">
        <f>DATEDIF(E32,F32,"M")+1</f>
        <v>6</v>
      </c>
      <c r="I32" s="392">
        <v>50</v>
      </c>
      <c r="J32" s="184"/>
      <c r="K32" s="184"/>
      <c r="L32" s="107">
        <f t="shared" si="3"/>
        <v>300</v>
      </c>
      <c r="M32" s="108"/>
      <c r="N32" s="819"/>
      <c r="O32" s="397"/>
      <c r="P32" s="394" t="s">
        <v>125</v>
      </c>
      <c r="Q32" s="823" t="s">
        <v>763</v>
      </c>
      <c r="S32" s="396"/>
      <c r="T32" s="396"/>
      <c r="W32" s="400">
        <v>46204</v>
      </c>
    </row>
    <row r="33" spans="1:23" ht="15">
      <c r="A33" s="379">
        <v>45943</v>
      </c>
      <c r="B33" s="407" t="s">
        <v>1731</v>
      </c>
      <c r="C33" s="389">
        <v>103</v>
      </c>
      <c r="D33" s="390" t="s">
        <v>764</v>
      </c>
      <c r="E33" s="420">
        <v>45901</v>
      </c>
      <c r="F33" s="420">
        <v>45992</v>
      </c>
      <c r="G33" s="726" t="s">
        <v>716</v>
      </c>
      <c r="H33" s="422">
        <f>DATEDIF(E33,F33,"M")+1</f>
        <v>4</v>
      </c>
      <c r="I33" s="392">
        <v>50</v>
      </c>
      <c r="J33" s="184"/>
      <c r="K33" s="184"/>
      <c r="L33" s="107">
        <f t="shared" si="3"/>
        <v>200</v>
      </c>
      <c r="M33" s="108"/>
      <c r="N33" s="819"/>
      <c r="O33" s="397"/>
      <c r="P33" s="394" t="s">
        <v>125</v>
      </c>
      <c r="Q33" s="823" t="s">
        <v>765</v>
      </c>
      <c r="S33" s="396"/>
      <c r="T33" s="396"/>
      <c r="W33" s="400">
        <v>46235</v>
      </c>
    </row>
    <row r="34" spans="1:23" ht="15">
      <c r="A34" s="379">
        <v>45948</v>
      </c>
      <c r="B34" s="407" t="s">
        <v>1732</v>
      </c>
      <c r="C34" s="389">
        <v>104</v>
      </c>
      <c r="D34" s="390" t="s">
        <v>141</v>
      </c>
      <c r="E34" s="420">
        <v>45901</v>
      </c>
      <c r="F34" s="420">
        <v>45992</v>
      </c>
      <c r="G34" s="391" t="s">
        <v>716</v>
      </c>
      <c r="H34" s="422">
        <f>DATEDIF(E34,F34,"M")+1</f>
        <v>4</v>
      </c>
      <c r="I34" s="392">
        <v>50</v>
      </c>
      <c r="J34" s="184"/>
      <c r="K34" s="184"/>
      <c r="L34" s="107">
        <f t="shared" si="3"/>
        <v>200</v>
      </c>
      <c r="M34" s="108"/>
      <c r="N34" s="819"/>
      <c r="O34" s="397"/>
      <c r="P34" s="397" t="s">
        <v>125</v>
      </c>
      <c r="Q34" s="409" t="s">
        <v>142</v>
      </c>
      <c r="S34" s="396"/>
      <c r="T34" s="396"/>
      <c r="W34" s="400">
        <v>46266</v>
      </c>
    </row>
    <row r="35" spans="1:23" ht="15">
      <c r="A35" s="379">
        <v>45948</v>
      </c>
      <c r="B35" s="407" t="s">
        <v>1733</v>
      </c>
      <c r="C35" s="389">
        <v>137</v>
      </c>
      <c r="D35" s="390" t="s">
        <v>165</v>
      </c>
      <c r="E35" s="420">
        <v>45931</v>
      </c>
      <c r="F35" s="420">
        <v>45931</v>
      </c>
      <c r="G35" s="726">
        <v>45931</v>
      </c>
      <c r="H35" s="422">
        <f t="shared" si="2"/>
        <v>1</v>
      </c>
      <c r="I35" s="392">
        <v>50</v>
      </c>
      <c r="J35" s="184"/>
      <c r="K35" s="184"/>
      <c r="L35" s="107">
        <f t="shared" si="3"/>
        <v>50</v>
      </c>
      <c r="M35" s="108"/>
      <c r="N35" s="819"/>
      <c r="O35" s="397"/>
      <c r="P35" s="394" t="s">
        <v>605</v>
      </c>
      <c r="Q35" s="409" t="s">
        <v>606</v>
      </c>
      <c r="S35" s="396"/>
      <c r="T35" s="396"/>
      <c r="W35" s="400">
        <v>46296</v>
      </c>
    </row>
    <row r="36" spans="1:23" ht="15">
      <c r="A36" s="379">
        <v>45951</v>
      </c>
      <c r="B36" s="407" t="s">
        <v>1734</v>
      </c>
      <c r="C36" s="389">
        <v>175</v>
      </c>
      <c r="D36" s="390" t="s">
        <v>147</v>
      </c>
      <c r="E36" s="420">
        <v>45931</v>
      </c>
      <c r="F36" s="420">
        <v>45931</v>
      </c>
      <c r="G36" s="726">
        <v>45931</v>
      </c>
      <c r="H36" s="422">
        <f t="shared" si="2"/>
        <v>1</v>
      </c>
      <c r="I36" s="392">
        <v>50</v>
      </c>
      <c r="J36" s="184"/>
      <c r="K36" s="184"/>
      <c r="L36" s="107">
        <f t="shared" si="3"/>
        <v>50</v>
      </c>
      <c r="M36" s="108"/>
      <c r="N36" s="819"/>
      <c r="O36" s="397"/>
      <c r="P36" s="394" t="s">
        <v>125</v>
      </c>
      <c r="Q36" s="409" t="s">
        <v>148</v>
      </c>
      <c r="S36" s="396"/>
      <c r="T36" s="396"/>
      <c r="W36" s="400">
        <v>46327</v>
      </c>
    </row>
    <row r="37" spans="1:23" ht="15">
      <c r="A37" s="379">
        <v>45958</v>
      </c>
      <c r="B37" s="407" t="s">
        <v>1735</v>
      </c>
      <c r="C37" s="389">
        <v>70</v>
      </c>
      <c r="D37" s="390" t="s">
        <v>766</v>
      </c>
      <c r="E37" s="420">
        <v>45870</v>
      </c>
      <c r="F37" s="420">
        <v>46023</v>
      </c>
      <c r="G37" s="391" t="s">
        <v>767</v>
      </c>
      <c r="H37" s="422">
        <f t="shared" si="2"/>
        <v>6</v>
      </c>
      <c r="I37" s="392">
        <v>50</v>
      </c>
      <c r="J37" s="184"/>
      <c r="K37" s="184"/>
      <c r="L37" s="107">
        <f t="shared" si="3"/>
        <v>300</v>
      </c>
      <c r="M37" s="108"/>
      <c r="N37" s="819"/>
      <c r="O37" s="397"/>
      <c r="P37" s="394" t="s">
        <v>125</v>
      </c>
      <c r="Q37" s="409" t="s">
        <v>567</v>
      </c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List'!$B$3:$M$186,2,FALSE)</f>
        <v>#N/A</v>
      </c>
      <c r="E38" s="420"/>
      <c r="F38" s="420"/>
      <c r="G38" s="391"/>
      <c r="H38" s="422">
        <f t="shared" si="2"/>
        <v>1</v>
      </c>
      <c r="I38" s="392">
        <v>50</v>
      </c>
      <c r="J38" s="184"/>
      <c r="K38" s="184"/>
      <c r="L38" s="107" t="str">
        <f t="shared" si="3"/>
        <v>-</v>
      </c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List'!$B$3:$M$186,2,FALSE)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3"/>
        <v>-</v>
      </c>
      <c r="M44" s="108"/>
      <c r="N44" s="819"/>
      <c r="O44" s="397"/>
      <c r="P44" s="410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1650</v>
      </c>
      <c r="K47" s="130">
        <f>SUM(K8:K46)</f>
        <v>0</v>
      </c>
      <c r="L47" s="130">
        <f>SUM(L8:L46)</f>
        <v>1800</v>
      </c>
      <c r="M47" s="131"/>
      <c r="N47" s="132">
        <f>SUM(N8:N46)</f>
        <v>1650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365"/>
      <c r="J49" s="419"/>
      <c r="K49" s="419"/>
      <c r="L49" s="419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3 E26:F43" xr:uid="{446DF293-9003-4AFE-A3E7-176D0FF5896E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360B-9B2E-461F-9A69-13891F7514A8}">
  <sheetPr>
    <tabColor rgb="FF00B0F0"/>
  </sheetPr>
  <dimension ref="A4:W61"/>
  <sheetViews>
    <sheetView zoomScale="90" zoomScaleNormal="90" workbookViewId="0">
      <pane ySplit="8" topLeftCell="A9" activePane="bottomLeft" state="frozen"/>
      <selection activeCell="L26" sqref="L26:L35"/>
      <selection pane="bottomLeft" activeCell="E18" sqref="E18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768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45963</v>
      </c>
      <c r="B9" s="177" t="s">
        <v>769</v>
      </c>
      <c r="C9" s="389">
        <v>33</v>
      </c>
      <c r="D9" s="390" t="str">
        <f>VLOOKUP(C9,'MASTER Name List'!$B$3:$M$186,2,FALSE)</f>
        <v>房薇玲</v>
      </c>
      <c r="E9" s="420">
        <v>45839</v>
      </c>
      <c r="F9" s="420">
        <v>45992</v>
      </c>
      <c r="G9" s="726" t="s">
        <v>660</v>
      </c>
      <c r="H9" s="422">
        <f t="shared" ref="H9:H23" si="0">DATEDIF(E9,F9,"M")+1</f>
        <v>6</v>
      </c>
      <c r="I9" s="392">
        <v>50</v>
      </c>
      <c r="J9" s="107">
        <f>IF($C9="","-",$H9*$I9)</f>
        <v>300</v>
      </c>
      <c r="K9" s="184"/>
      <c r="L9" s="184"/>
      <c r="M9" s="108">
        <v>1</v>
      </c>
      <c r="N9" s="819">
        <f>SUMIF(M:M,"1",J:J)</f>
        <v>300</v>
      </c>
      <c r="O9" s="393" t="s">
        <v>758</v>
      </c>
      <c r="P9" s="431" t="s">
        <v>714</v>
      </c>
      <c r="Q9" s="395"/>
      <c r="S9" s="396"/>
      <c r="T9" s="396"/>
    </row>
    <row r="10" spans="1:23" ht="15">
      <c r="A10" s="379">
        <v>45969</v>
      </c>
      <c r="B10" s="177" t="s">
        <v>770</v>
      </c>
      <c r="C10" s="389">
        <v>136</v>
      </c>
      <c r="D10" s="390" t="str">
        <f>VLOOKUP(C10,'MASTER Name List'!$B$3:$M$186,2,FALSE)</f>
        <v>赖宝珍</v>
      </c>
      <c r="E10" s="420">
        <v>45839</v>
      </c>
      <c r="F10" s="420">
        <v>45992</v>
      </c>
      <c r="G10" s="726" t="s">
        <v>660</v>
      </c>
      <c r="H10" s="422">
        <f t="shared" si="0"/>
        <v>6</v>
      </c>
      <c r="I10" s="392">
        <v>50</v>
      </c>
      <c r="J10" s="107">
        <f t="shared" ref="J10:J23" si="1">IF($C10="","-",$H10*$I10)</f>
        <v>300</v>
      </c>
      <c r="K10" s="184"/>
      <c r="L10" s="184"/>
      <c r="M10" s="108">
        <v>2</v>
      </c>
      <c r="N10" s="819"/>
      <c r="O10" s="397"/>
      <c r="P10" s="398"/>
      <c r="Q10" s="823" t="s">
        <v>771</v>
      </c>
      <c r="S10" s="396"/>
      <c r="T10" s="396"/>
      <c r="W10" s="240">
        <v>45536</v>
      </c>
    </row>
    <row r="11" spans="1:23" ht="15">
      <c r="A11" s="379">
        <v>45969</v>
      </c>
      <c r="B11" s="177" t="s">
        <v>772</v>
      </c>
      <c r="C11" s="389">
        <v>178</v>
      </c>
      <c r="D11" s="390" t="str">
        <f>VLOOKUP(C11,'MASTER Name List'!$B$3:$M$186,2,FALSE)</f>
        <v>颜美葒</v>
      </c>
      <c r="E11" s="420">
        <v>45992</v>
      </c>
      <c r="F11" s="420">
        <v>45992</v>
      </c>
      <c r="G11" s="391">
        <v>45992</v>
      </c>
      <c r="H11" s="422">
        <f t="shared" si="0"/>
        <v>1</v>
      </c>
      <c r="I11" s="392">
        <v>50</v>
      </c>
      <c r="J11" s="107">
        <f t="shared" si="1"/>
        <v>50</v>
      </c>
      <c r="K11" s="184"/>
      <c r="L11" s="184"/>
      <c r="M11" s="108">
        <v>2</v>
      </c>
      <c r="O11" s="397"/>
      <c r="Q11" s="399"/>
      <c r="S11" s="396"/>
      <c r="T11" s="396"/>
      <c r="W11" s="240">
        <v>45566</v>
      </c>
    </row>
    <row r="12" spans="1:23" ht="15">
      <c r="A12" s="379">
        <v>45969</v>
      </c>
      <c r="B12" s="177" t="s">
        <v>773</v>
      </c>
      <c r="C12" s="389">
        <v>186</v>
      </c>
      <c r="D12" s="390" t="str">
        <f>VLOOKUP(C12,'MASTER Name List'!$B$3:$M$186,2,FALSE)</f>
        <v>刘玉云</v>
      </c>
      <c r="E12" s="420">
        <v>45962</v>
      </c>
      <c r="F12" s="420">
        <v>45992</v>
      </c>
      <c r="G12" s="726" t="s">
        <v>774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2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45969</v>
      </c>
      <c r="B13" s="177" t="s">
        <v>775</v>
      </c>
      <c r="C13" s="389">
        <v>126</v>
      </c>
      <c r="D13" s="390" t="str">
        <f>VLOOKUP(C13,'MASTER Name List'!$B$3:$M$186,2,FALSE)</f>
        <v>张凤</v>
      </c>
      <c r="E13" s="420">
        <v>45931</v>
      </c>
      <c r="F13" s="420">
        <v>45992</v>
      </c>
      <c r="G13" s="726" t="s">
        <v>723</v>
      </c>
      <c r="H13" s="422">
        <f t="shared" si="0"/>
        <v>3</v>
      </c>
      <c r="I13" s="392">
        <v>50</v>
      </c>
      <c r="J13" s="107">
        <f t="shared" si="1"/>
        <v>150</v>
      </c>
      <c r="K13" s="184"/>
      <c r="L13" s="184"/>
      <c r="M13" s="108">
        <v>2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45970</v>
      </c>
      <c r="B14" s="177" t="s">
        <v>776</v>
      </c>
      <c r="C14" s="389">
        <v>97</v>
      </c>
      <c r="D14" s="390" t="str">
        <f>VLOOKUP(C14,'MASTER Name List'!$B$3:$M$186,2,FALSE)</f>
        <v>陈素秋</v>
      </c>
      <c r="E14" s="420">
        <v>45962</v>
      </c>
      <c r="F14" s="420">
        <v>45992</v>
      </c>
      <c r="G14" s="726" t="s">
        <v>774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108">
        <v>2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45970</v>
      </c>
      <c r="B15" s="177" t="s">
        <v>777</v>
      </c>
      <c r="C15" s="389">
        <v>3</v>
      </c>
      <c r="D15" s="390" t="str">
        <f>VLOOKUP(C15,'MASTER Name List'!$B$3:$M$186,2,FALSE)</f>
        <v>Anna Justina</v>
      </c>
      <c r="E15" s="420">
        <v>45901</v>
      </c>
      <c r="F15" s="420">
        <v>45931</v>
      </c>
      <c r="G15" s="726" t="s">
        <v>719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108">
        <v>2</v>
      </c>
      <c r="N15" s="819">
        <f>SUMIF(M:M,"2",J:J)</f>
        <v>800</v>
      </c>
      <c r="O15" s="397" t="s">
        <v>778</v>
      </c>
      <c r="Q15" s="399"/>
      <c r="S15" s="396"/>
      <c r="T15" s="396"/>
      <c r="W15" s="400">
        <v>45689</v>
      </c>
    </row>
    <row r="16" spans="1:23" ht="15">
      <c r="A16" s="379">
        <v>45975</v>
      </c>
      <c r="B16" s="177" t="s">
        <v>779</v>
      </c>
      <c r="C16" s="389">
        <v>170</v>
      </c>
      <c r="D16" s="390" t="str">
        <f>VLOOKUP(C16,'MASTER Name List'!$B$3:$M$186,2,FALSE)</f>
        <v>陈柔霓</v>
      </c>
      <c r="E16" s="420">
        <v>45962</v>
      </c>
      <c r="F16" s="420">
        <v>45992</v>
      </c>
      <c r="G16" s="726" t="s">
        <v>774</v>
      </c>
      <c r="H16" s="422">
        <f t="shared" si="0"/>
        <v>2</v>
      </c>
      <c r="I16" s="392">
        <v>50</v>
      </c>
      <c r="J16" s="107">
        <f t="shared" si="1"/>
        <v>100</v>
      </c>
      <c r="K16" s="184"/>
      <c r="L16" s="184"/>
      <c r="M16" s="108">
        <v>3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45981</v>
      </c>
      <c r="B17" s="177" t="s">
        <v>780</v>
      </c>
      <c r="C17" s="389">
        <v>208</v>
      </c>
      <c r="D17" s="390" t="str">
        <f>VLOOKUP(C17,'MASTER Name List'!$B$3:$M$186,2,FALSE)</f>
        <v>萧志倫</v>
      </c>
      <c r="E17" s="420">
        <v>45962</v>
      </c>
      <c r="F17" s="420">
        <v>45962</v>
      </c>
      <c r="G17" s="391">
        <v>45962</v>
      </c>
      <c r="H17" s="422">
        <f t="shared" si="0"/>
        <v>1</v>
      </c>
      <c r="I17" s="392">
        <v>50</v>
      </c>
      <c r="J17" s="107">
        <f t="shared" si="1"/>
        <v>50</v>
      </c>
      <c r="K17" s="184"/>
      <c r="L17" s="184"/>
      <c r="M17" s="108">
        <v>3</v>
      </c>
      <c r="N17" s="819">
        <f>SUMIF(M:M,"3",J:J)</f>
        <v>150</v>
      </c>
      <c r="O17" s="397" t="s">
        <v>781</v>
      </c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List'!$B$3:$M$186,2,FALSE)</f>
        <v>#N/A</v>
      </c>
      <c r="E18" s="420"/>
      <c r="F18" s="420"/>
      <c r="G18" s="391"/>
      <c r="H18" s="422">
        <f t="shared" si="0"/>
        <v>1</v>
      </c>
      <c r="I18" s="392">
        <v>50</v>
      </c>
      <c r="J18" s="107" t="str">
        <f t="shared" si="1"/>
        <v>-</v>
      </c>
      <c r="K18" s="184"/>
      <c r="L18" s="184"/>
      <c r="M18" s="108"/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List'!$B$3:$M$186,2,FALSE)</f>
        <v>#N/A</v>
      </c>
      <c r="E19" s="420"/>
      <c r="F19" s="420"/>
      <c r="G19" s="401"/>
      <c r="H19" s="422">
        <f t="shared" si="0"/>
        <v>1</v>
      </c>
      <c r="I19" s="392">
        <v>50</v>
      </c>
      <c r="J19" s="107" t="str">
        <f t="shared" si="1"/>
        <v>-</v>
      </c>
      <c r="K19" s="184"/>
      <c r="L19" s="184"/>
      <c r="M19" s="108"/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List'!$B$3:$M$186,2,FALSE)</f>
        <v>#N/A</v>
      </c>
      <c r="E20" s="420"/>
      <c r="F20" s="420"/>
      <c r="G20" s="401"/>
      <c r="H20" s="422">
        <f t="shared" si="0"/>
        <v>1</v>
      </c>
      <c r="I20" s="392">
        <v>50</v>
      </c>
      <c r="J20" s="107" t="str">
        <f t="shared" si="1"/>
        <v>-</v>
      </c>
      <c r="K20" s="184"/>
      <c r="L20" s="184"/>
      <c r="M20" s="108"/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List'!$B$3:$M$186,2,FALSE)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List'!$B$3:$M$186,2,FALSE)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List'!$B$3:$M$186,2,FALSE)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45962</v>
      </c>
      <c r="B26" s="407" t="s">
        <v>1736</v>
      </c>
      <c r="C26" s="389">
        <v>116</v>
      </c>
      <c r="D26" s="390" t="str">
        <f>VLOOKUP(C26,'MASTER Name List'!$B$3:$M$186,2,FALSE)</f>
        <v>李薇薇</v>
      </c>
      <c r="E26" s="420">
        <v>45962</v>
      </c>
      <c r="F26" s="420">
        <v>45962</v>
      </c>
      <c r="G26" s="391">
        <v>45962</v>
      </c>
      <c r="H26" s="422">
        <f t="shared" ref="H26:H43" si="2">DATEDIF(E26,F26,"M")+1</f>
        <v>1</v>
      </c>
      <c r="I26" s="392">
        <v>50</v>
      </c>
      <c r="J26" s="184"/>
      <c r="K26" s="184"/>
      <c r="L26" s="107">
        <f>IF($C26="","-",$H26*$I26)</f>
        <v>50</v>
      </c>
      <c r="M26" s="108"/>
      <c r="N26" s="819"/>
      <c r="O26" s="852" t="s">
        <v>688</v>
      </c>
      <c r="P26" s="394" t="s">
        <v>125</v>
      </c>
      <c r="Q26" s="399" t="s">
        <v>133</v>
      </c>
      <c r="S26" s="396"/>
      <c r="T26" s="396"/>
      <c r="W26" s="400">
        <v>46023</v>
      </c>
    </row>
    <row r="27" spans="1:23" ht="15">
      <c r="A27" s="379">
        <v>45962</v>
      </c>
      <c r="B27" s="407" t="s">
        <v>1737</v>
      </c>
      <c r="C27" s="389">
        <v>117</v>
      </c>
      <c r="D27" s="390" t="str">
        <f>VLOOKUP(C27,'MASTER Name List'!$B$3:$M$186,2,FALSE)</f>
        <v>张志文</v>
      </c>
      <c r="E27" s="420">
        <v>45962</v>
      </c>
      <c r="F27" s="420">
        <v>45962</v>
      </c>
      <c r="G27" s="391">
        <v>45962</v>
      </c>
      <c r="H27" s="422">
        <f t="shared" si="2"/>
        <v>1</v>
      </c>
      <c r="I27" s="392">
        <v>50</v>
      </c>
      <c r="J27" s="184"/>
      <c r="K27" s="184"/>
      <c r="L27" s="107">
        <f t="shared" ref="L27:L44" si="3">IF($C27="","-",$H27*$I27)</f>
        <v>50</v>
      </c>
      <c r="M27" s="108"/>
      <c r="N27" s="819"/>
      <c r="O27" s="397"/>
      <c r="P27" s="394" t="s">
        <v>125</v>
      </c>
      <c r="Q27" s="399" t="s">
        <v>685</v>
      </c>
      <c r="S27" s="396"/>
      <c r="T27" s="396"/>
      <c r="W27" s="400">
        <v>46054</v>
      </c>
    </row>
    <row r="28" spans="1:23" ht="15">
      <c r="A28" s="379">
        <v>45963</v>
      </c>
      <c r="B28" s="407" t="s">
        <v>1738</v>
      </c>
      <c r="C28" s="389">
        <v>80</v>
      </c>
      <c r="D28" s="390" t="str">
        <f>VLOOKUP(C28,'MASTER Name List'!$B$3:$M$186,2,FALSE)</f>
        <v>黄淑芬</v>
      </c>
      <c r="E28" s="420">
        <v>45931</v>
      </c>
      <c r="F28" s="420">
        <v>45962</v>
      </c>
      <c r="G28" s="726" t="s">
        <v>713</v>
      </c>
      <c r="H28" s="422">
        <f t="shared" si="2"/>
        <v>2</v>
      </c>
      <c r="I28" s="392">
        <v>50</v>
      </c>
      <c r="J28" s="184"/>
      <c r="K28" s="184"/>
      <c r="L28" s="107">
        <f t="shared" si="3"/>
        <v>100</v>
      </c>
      <c r="M28" s="108"/>
      <c r="N28" s="819"/>
      <c r="O28" s="397"/>
      <c r="P28" s="363" t="s">
        <v>125</v>
      </c>
      <c r="Q28" s="823" t="s">
        <v>179</v>
      </c>
      <c r="S28" s="396"/>
      <c r="T28" s="396"/>
      <c r="W28" s="400">
        <v>46082</v>
      </c>
    </row>
    <row r="29" spans="1:23" ht="15">
      <c r="A29" s="379">
        <v>45963</v>
      </c>
      <c r="B29" s="407" t="s">
        <v>1739</v>
      </c>
      <c r="C29" s="389">
        <v>224</v>
      </c>
      <c r="D29" s="390" t="str">
        <f>VLOOKUP(C29,'MASTER Name List'!$B$3:$M$186,2,FALSE)</f>
        <v xml:space="preserve">黄文勝 </v>
      </c>
      <c r="E29" s="420">
        <v>45931</v>
      </c>
      <c r="F29" s="420">
        <v>45962</v>
      </c>
      <c r="G29" s="726" t="s">
        <v>713</v>
      </c>
      <c r="H29" s="422">
        <f t="shared" si="2"/>
        <v>2</v>
      </c>
      <c r="I29" s="392">
        <v>50</v>
      </c>
      <c r="J29" s="184"/>
      <c r="K29" s="184"/>
      <c r="L29" s="107">
        <f t="shared" si="3"/>
        <v>100</v>
      </c>
      <c r="M29" s="108"/>
      <c r="N29" s="819"/>
      <c r="O29" s="408"/>
      <c r="P29" s="394" t="s">
        <v>125</v>
      </c>
      <c r="Q29" s="399" t="s">
        <v>179</v>
      </c>
      <c r="S29" s="396"/>
      <c r="T29" s="396"/>
      <c r="W29" s="400">
        <v>46113</v>
      </c>
    </row>
    <row r="30" spans="1:23" ht="15">
      <c r="A30" s="379">
        <v>45964</v>
      </c>
      <c r="B30" s="407" t="s">
        <v>1740</v>
      </c>
      <c r="C30" s="389">
        <v>14</v>
      </c>
      <c r="D30" s="390" t="str">
        <f>VLOOKUP(C30,'MASTER Name List'!$B$3:$M$186,2,FALSE)</f>
        <v>廖佳韵</v>
      </c>
      <c r="E30" s="420">
        <v>45778</v>
      </c>
      <c r="F30" s="420">
        <v>45992</v>
      </c>
      <c r="G30" s="726" t="s">
        <v>782</v>
      </c>
      <c r="H30" s="422">
        <f t="shared" si="2"/>
        <v>8</v>
      </c>
      <c r="I30" s="392">
        <v>50</v>
      </c>
      <c r="J30" s="184"/>
      <c r="K30" s="184"/>
      <c r="L30" s="107">
        <f t="shared" si="3"/>
        <v>400</v>
      </c>
      <c r="M30" s="108"/>
      <c r="N30" s="819"/>
      <c r="O30" s="397"/>
      <c r="P30" s="394" t="s">
        <v>125</v>
      </c>
      <c r="Q30" s="399" t="s">
        <v>399</v>
      </c>
      <c r="S30" s="396"/>
      <c r="T30" s="396"/>
      <c r="W30" s="400">
        <v>46143</v>
      </c>
    </row>
    <row r="31" spans="1:23" ht="15">
      <c r="A31" s="379">
        <v>45965</v>
      </c>
      <c r="B31" s="407" t="s">
        <v>1741</v>
      </c>
      <c r="C31" s="389">
        <v>162</v>
      </c>
      <c r="D31" s="390" t="str">
        <f>VLOOKUP(C31,'MASTER Name List'!$B$3:$M$186,2,FALSE)</f>
        <v>方惠贤</v>
      </c>
      <c r="E31" s="420">
        <v>45962</v>
      </c>
      <c r="F31" s="420">
        <v>45992</v>
      </c>
      <c r="G31" s="726" t="s">
        <v>774</v>
      </c>
      <c r="H31" s="422">
        <f t="shared" si="2"/>
        <v>2</v>
      </c>
      <c r="I31" s="392">
        <v>50</v>
      </c>
      <c r="J31" s="184"/>
      <c r="K31" s="184"/>
      <c r="L31" s="107">
        <f t="shared" si="3"/>
        <v>100</v>
      </c>
      <c r="M31" s="108"/>
      <c r="N31" s="819"/>
      <c r="O31" s="397"/>
      <c r="P31" s="394" t="s">
        <v>125</v>
      </c>
      <c r="Q31" s="823" t="s">
        <v>126</v>
      </c>
      <c r="S31" s="396"/>
      <c r="T31" s="396"/>
      <c r="W31" s="400">
        <v>46174</v>
      </c>
    </row>
    <row r="32" spans="1:23" ht="15">
      <c r="A32" s="379">
        <v>45965</v>
      </c>
      <c r="B32" s="407" t="s">
        <v>1742</v>
      </c>
      <c r="C32" s="389">
        <v>172</v>
      </c>
      <c r="D32" s="390" t="str">
        <f>VLOOKUP(C32,'MASTER Name List'!$B$3:$M$186,2,FALSE)</f>
        <v>蔡均镅</v>
      </c>
      <c r="E32" s="420">
        <v>45962</v>
      </c>
      <c r="F32" s="420">
        <v>45992</v>
      </c>
      <c r="G32" s="726" t="s">
        <v>774</v>
      </c>
      <c r="H32" s="422">
        <f t="shared" si="2"/>
        <v>2</v>
      </c>
      <c r="I32" s="392">
        <v>50</v>
      </c>
      <c r="J32" s="184"/>
      <c r="K32" s="184"/>
      <c r="L32" s="107">
        <f t="shared" si="3"/>
        <v>100</v>
      </c>
      <c r="M32" s="108"/>
      <c r="N32" s="819"/>
      <c r="O32" s="397"/>
      <c r="P32" s="394" t="s">
        <v>125</v>
      </c>
      <c r="Q32" s="399" t="s">
        <v>194</v>
      </c>
      <c r="S32" s="396"/>
      <c r="T32" s="396"/>
      <c r="W32" s="400">
        <v>46204</v>
      </c>
    </row>
    <row r="33" spans="1:23" ht="15">
      <c r="A33" s="379">
        <v>45965</v>
      </c>
      <c r="B33" s="407" t="s">
        <v>1743</v>
      </c>
      <c r="C33" s="389">
        <v>175</v>
      </c>
      <c r="D33" s="390" t="str">
        <f>VLOOKUP(C33,'MASTER Name List'!$B$3:$M$186,2,FALSE)</f>
        <v>洪鼎惟</v>
      </c>
      <c r="E33" s="420">
        <v>45962</v>
      </c>
      <c r="F33" s="420">
        <v>45962</v>
      </c>
      <c r="G33" s="391">
        <v>45962</v>
      </c>
      <c r="H33" s="422">
        <f t="shared" si="2"/>
        <v>1</v>
      </c>
      <c r="I33" s="392">
        <v>50</v>
      </c>
      <c r="J33" s="184"/>
      <c r="K33" s="184"/>
      <c r="L33" s="107">
        <f t="shared" si="3"/>
        <v>50</v>
      </c>
      <c r="M33" s="108"/>
      <c r="N33" s="819"/>
      <c r="O33" s="397"/>
      <c r="P33" s="363" t="s">
        <v>125</v>
      </c>
      <c r="Q33" s="399" t="s">
        <v>148</v>
      </c>
      <c r="S33" s="396"/>
      <c r="T33" s="396"/>
      <c r="W33" s="400">
        <v>46235</v>
      </c>
    </row>
    <row r="34" spans="1:23" ht="15">
      <c r="A34" s="379">
        <v>45977</v>
      </c>
      <c r="B34" s="407" t="s">
        <v>1744</v>
      </c>
      <c r="C34" s="389">
        <v>52</v>
      </c>
      <c r="D34" s="390" t="str">
        <f>VLOOKUP(C34,'MASTER Name List'!$B$3:$M$186,2,FALSE)</f>
        <v>陈宝蓉</v>
      </c>
      <c r="E34" s="420">
        <v>45962</v>
      </c>
      <c r="F34" s="420">
        <v>45992</v>
      </c>
      <c r="G34" s="726" t="s">
        <v>774</v>
      </c>
      <c r="H34" s="422">
        <f t="shared" si="2"/>
        <v>2</v>
      </c>
      <c r="I34" s="392">
        <v>50</v>
      </c>
      <c r="J34" s="184"/>
      <c r="K34" s="184"/>
      <c r="L34" s="107">
        <f t="shared" si="3"/>
        <v>100</v>
      </c>
      <c r="M34" s="108"/>
      <c r="N34" s="819"/>
      <c r="O34" s="397"/>
      <c r="P34" s="397" t="s">
        <v>125</v>
      </c>
      <c r="Q34" s="409" t="s">
        <v>330</v>
      </c>
      <c r="S34" s="396"/>
      <c r="T34" s="396"/>
      <c r="W34" s="400">
        <v>46266</v>
      </c>
    </row>
    <row r="35" spans="1:23" ht="15">
      <c r="A35" s="379">
        <v>45977</v>
      </c>
      <c r="B35" s="407" t="s">
        <v>1745</v>
      </c>
      <c r="C35" s="389">
        <v>137</v>
      </c>
      <c r="D35" s="390" t="str">
        <f>VLOOKUP(C35,'MASTER Name List'!$B$3:$M$186,2,FALSE)</f>
        <v>赖美珍</v>
      </c>
      <c r="E35" s="420">
        <v>45962</v>
      </c>
      <c r="F35" s="420">
        <v>45962</v>
      </c>
      <c r="G35" s="391">
        <v>45962</v>
      </c>
      <c r="H35" s="422">
        <f t="shared" si="2"/>
        <v>1</v>
      </c>
      <c r="I35" s="392">
        <v>50</v>
      </c>
      <c r="J35" s="184"/>
      <c r="K35" s="184"/>
      <c r="L35" s="107">
        <f t="shared" si="3"/>
        <v>50</v>
      </c>
      <c r="M35" s="108"/>
      <c r="N35" s="819"/>
      <c r="O35" s="397"/>
      <c r="P35" s="394" t="s">
        <v>605</v>
      </c>
      <c r="Q35" s="409" t="s">
        <v>606</v>
      </c>
      <c r="S35" s="396"/>
      <c r="T35" s="396"/>
      <c r="W35" s="400">
        <v>46296</v>
      </c>
    </row>
    <row r="36" spans="1:23" ht="15">
      <c r="A36" s="379"/>
      <c r="B36" s="407"/>
      <c r="C36" s="389"/>
      <c r="D36" s="390" t="e">
        <f>VLOOKUP(C36,'MASTER Name List'!$B$3:$M$186,2,FALSE)</f>
        <v>#N/A</v>
      </c>
      <c r="E36" s="420"/>
      <c r="F36" s="420"/>
      <c r="G36" s="391"/>
      <c r="H36" s="422">
        <f t="shared" si="2"/>
        <v>1</v>
      </c>
      <c r="I36" s="392">
        <v>50</v>
      </c>
      <c r="J36" s="184"/>
      <c r="K36" s="184"/>
      <c r="L36" s="107" t="str">
        <f t="shared" si="3"/>
        <v>-</v>
      </c>
      <c r="M36" s="108"/>
      <c r="N36" s="819"/>
      <c r="O36" s="397"/>
      <c r="P36" s="394"/>
      <c r="Q36" s="409"/>
      <c r="S36" s="396"/>
      <c r="T36" s="396"/>
      <c r="W36" s="400">
        <v>46327</v>
      </c>
    </row>
    <row r="37" spans="1:23" ht="15">
      <c r="A37" s="379"/>
      <c r="B37" s="407"/>
      <c r="C37" s="389"/>
      <c r="D37" s="390" t="e">
        <f>VLOOKUP(C37,'MASTER Name List'!$B$3:$M$186,2,FALSE)</f>
        <v>#N/A</v>
      </c>
      <c r="E37" s="420"/>
      <c r="F37" s="420"/>
      <c r="G37" s="391"/>
      <c r="H37" s="422">
        <f t="shared" si="2"/>
        <v>1</v>
      </c>
      <c r="I37" s="392">
        <v>50</v>
      </c>
      <c r="J37" s="184"/>
      <c r="K37" s="184"/>
      <c r="L37" s="107" t="str">
        <f t="shared" si="3"/>
        <v>-</v>
      </c>
      <c r="M37" s="108"/>
      <c r="N37" s="819"/>
      <c r="O37" s="397"/>
      <c r="P37" s="394"/>
      <c r="Q37" s="409"/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List'!$B$3:$M$186,2,FALSE)</f>
        <v>#N/A</v>
      </c>
      <c r="E38" s="420"/>
      <c r="F38" s="420"/>
      <c r="G38" s="391"/>
      <c r="H38" s="422">
        <f t="shared" si="2"/>
        <v>1</v>
      </c>
      <c r="I38" s="392">
        <v>50</v>
      </c>
      <c r="J38" s="184"/>
      <c r="K38" s="184"/>
      <c r="L38" s="107" t="str">
        <f t="shared" si="3"/>
        <v>-</v>
      </c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List'!$B$3:$M$186,2,FALSE)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3"/>
        <v>-</v>
      </c>
      <c r="M44" s="108"/>
      <c r="N44" s="819"/>
      <c r="O44" s="397"/>
      <c r="P44" s="410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1250</v>
      </c>
      <c r="K47" s="130">
        <f>SUM(K8:K46)</f>
        <v>0</v>
      </c>
      <c r="L47" s="130">
        <f>SUM(L8:L46)</f>
        <v>1100</v>
      </c>
      <c r="M47" s="131"/>
      <c r="N47" s="132">
        <f>SUM(N8:N46)</f>
        <v>1250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365"/>
      <c r="J49" s="419"/>
      <c r="K49" s="419"/>
      <c r="L49" s="419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26:F43 E9:F23" xr:uid="{F92D3580-B2D5-48CF-AA70-18CE91F9FF95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683F-72D9-41E4-83E2-E4A9565BDC61}">
  <sheetPr>
    <tabColor rgb="FF00B0F0"/>
  </sheetPr>
  <dimension ref="A4:W61"/>
  <sheetViews>
    <sheetView zoomScale="120" zoomScaleNormal="120" workbookViewId="0">
      <pane ySplit="8" topLeftCell="A24" activePane="bottomLeft" state="frozen"/>
      <selection activeCell="L26" sqref="L26:L35"/>
      <selection pane="bottomLeft" activeCell="B34" sqref="B34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768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45994</v>
      </c>
      <c r="B9" s="177" t="s">
        <v>783</v>
      </c>
      <c r="C9" s="389">
        <v>226</v>
      </c>
      <c r="D9" s="390" t="str">
        <f>VLOOKUP(C9,'MASTER Name List'!$B$3:$M$186,2,FALSE)</f>
        <v>锺镒壕</v>
      </c>
      <c r="E9" s="420">
        <v>45931</v>
      </c>
      <c r="F9" s="420">
        <v>45992</v>
      </c>
      <c r="G9" s="726" t="s">
        <v>723</v>
      </c>
      <c r="H9" s="422">
        <f t="shared" ref="H9:H23" si="0">DATEDIF(E9,F9,"M")+1</f>
        <v>3</v>
      </c>
      <c r="I9" s="392">
        <v>50</v>
      </c>
      <c r="J9" s="107">
        <f>IF($C9="","-",$H9*$I9)</f>
        <v>150</v>
      </c>
      <c r="K9" s="184"/>
      <c r="L9" s="184"/>
      <c r="M9" s="108">
        <v>1</v>
      </c>
      <c r="N9" s="819"/>
      <c r="O9" s="393"/>
      <c r="P9" s="431" t="s">
        <v>714</v>
      </c>
      <c r="Q9" s="395"/>
      <c r="S9" s="396"/>
      <c r="T9" s="396"/>
    </row>
    <row r="10" spans="1:23" ht="15">
      <c r="A10" s="379">
        <v>45995</v>
      </c>
      <c r="B10" s="177" t="s">
        <v>784</v>
      </c>
      <c r="C10" s="389">
        <v>168</v>
      </c>
      <c r="D10" s="390" t="str">
        <f>VLOOKUP(C10,'MASTER Name List'!$B$3:$M$186,2,FALSE)</f>
        <v>王秋蓉</v>
      </c>
      <c r="E10" s="420">
        <v>45962</v>
      </c>
      <c r="F10" s="420">
        <v>45992</v>
      </c>
      <c r="G10" s="726" t="s">
        <v>774</v>
      </c>
      <c r="H10" s="422">
        <f t="shared" si="0"/>
        <v>2</v>
      </c>
      <c r="I10" s="392">
        <v>50</v>
      </c>
      <c r="J10" s="107">
        <f t="shared" ref="J10:J23" si="1">IF($C10="","-",$H10*$I10)</f>
        <v>100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45999</v>
      </c>
      <c r="B11" s="177" t="s">
        <v>785</v>
      </c>
      <c r="C11" s="389">
        <v>151</v>
      </c>
      <c r="D11" s="390" t="str">
        <f>VLOOKUP(C11,'MASTER Name List'!$B$3:$M$186,2,FALSE)</f>
        <v>翁俊斌</v>
      </c>
      <c r="E11" s="420">
        <v>46023</v>
      </c>
      <c r="F11" s="420">
        <v>46357</v>
      </c>
      <c r="G11" s="726" t="s">
        <v>786</v>
      </c>
      <c r="H11" s="422">
        <f t="shared" si="0"/>
        <v>12</v>
      </c>
      <c r="I11" s="392">
        <v>50</v>
      </c>
      <c r="J11" s="107">
        <f t="shared" si="1"/>
        <v>600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46002</v>
      </c>
      <c r="B12" s="177" t="s">
        <v>787</v>
      </c>
      <c r="C12" s="389">
        <v>181</v>
      </c>
      <c r="D12" s="390" t="str">
        <f>VLOOKUP(C12,'MASTER Name List'!$B$3:$M$186,2,FALSE)</f>
        <v>陈金清</v>
      </c>
      <c r="E12" s="865">
        <v>45901</v>
      </c>
      <c r="F12" s="865">
        <v>45931</v>
      </c>
      <c r="G12" s="866" t="s">
        <v>719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1</v>
      </c>
      <c r="N12" s="819">
        <f>SUMIF(M:M,"1",J:J)</f>
        <v>950</v>
      </c>
      <c r="O12" s="397" t="s">
        <v>788</v>
      </c>
      <c r="Q12" s="399"/>
      <c r="S12" s="396"/>
      <c r="T12" s="396"/>
      <c r="W12" s="240">
        <v>45597</v>
      </c>
    </row>
    <row r="13" spans="1:23" ht="15">
      <c r="A13" s="379">
        <v>46013</v>
      </c>
      <c r="B13" s="177" t="s">
        <v>789</v>
      </c>
      <c r="C13" s="389">
        <v>173</v>
      </c>
      <c r="D13" s="390" t="str">
        <f>VLOOKUP(C13,'MASTER Name List'!$B$3:$M$186,2,FALSE)</f>
        <v>张杍䌻</v>
      </c>
      <c r="E13" s="420">
        <v>46054</v>
      </c>
      <c r="F13" s="420">
        <v>46082</v>
      </c>
      <c r="G13" s="726" t="s">
        <v>613</v>
      </c>
      <c r="H13" s="422">
        <f t="shared" si="0"/>
        <v>2</v>
      </c>
      <c r="I13" s="392">
        <v>50</v>
      </c>
      <c r="J13" s="107">
        <f t="shared" si="1"/>
        <v>100</v>
      </c>
      <c r="K13" s="184"/>
      <c r="L13" s="184"/>
      <c r="M13" s="108">
        <v>2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46014</v>
      </c>
      <c r="B14" s="177" t="s">
        <v>790</v>
      </c>
      <c r="C14" s="389">
        <v>132</v>
      </c>
      <c r="D14" s="390" t="str">
        <f>VLOOKUP(C14,'MASTER Name List'!$B$3:$M$186,2,FALSE)</f>
        <v>陈杍䍿</v>
      </c>
      <c r="E14" s="420">
        <v>45901</v>
      </c>
      <c r="F14" s="420">
        <v>45962</v>
      </c>
      <c r="G14" s="726" t="s">
        <v>791</v>
      </c>
      <c r="H14" s="422">
        <f t="shared" si="0"/>
        <v>3</v>
      </c>
      <c r="I14" s="392">
        <v>50</v>
      </c>
      <c r="J14" s="107">
        <f t="shared" si="1"/>
        <v>150</v>
      </c>
      <c r="K14" s="184"/>
      <c r="L14" s="184"/>
      <c r="M14" s="108">
        <v>2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46014</v>
      </c>
      <c r="B15" s="177" t="s">
        <v>792</v>
      </c>
      <c r="C15" s="389">
        <v>229</v>
      </c>
      <c r="D15" s="390" t="str">
        <f>VLOOKUP(C15,'MASTER Name List'!$B$3:$M$186,2,FALSE)</f>
        <v>陈丽珍</v>
      </c>
      <c r="E15" s="420">
        <v>45962</v>
      </c>
      <c r="F15" s="420">
        <v>45992</v>
      </c>
      <c r="G15" s="726" t="s">
        <v>774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108">
        <v>2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46014</v>
      </c>
      <c r="B16" s="177" t="s">
        <v>793</v>
      </c>
      <c r="C16" s="389">
        <v>229</v>
      </c>
      <c r="D16" s="390" t="str">
        <f>VLOOKUP(C16,'MASTER Name List'!$B$3:$M$186,2,FALSE)</f>
        <v>陈丽珍</v>
      </c>
      <c r="E16" s="420">
        <v>46023</v>
      </c>
      <c r="F16" s="420">
        <v>46174</v>
      </c>
      <c r="G16" s="726" t="s">
        <v>755</v>
      </c>
      <c r="H16" s="422">
        <f t="shared" si="0"/>
        <v>6</v>
      </c>
      <c r="I16" s="392">
        <v>50</v>
      </c>
      <c r="J16" s="107">
        <f t="shared" si="1"/>
        <v>300</v>
      </c>
      <c r="K16" s="184"/>
      <c r="L16" s="184"/>
      <c r="M16" s="108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46015</v>
      </c>
      <c r="B17" s="177" t="s">
        <v>794</v>
      </c>
      <c r="C17" s="389">
        <v>4</v>
      </c>
      <c r="D17" s="390" t="str">
        <f>VLOOKUP(C17,'MASTER Name List'!$B$3:$M$186,2,FALSE)</f>
        <v>邹运金</v>
      </c>
      <c r="E17" s="420">
        <v>46023</v>
      </c>
      <c r="F17" s="420">
        <v>46082</v>
      </c>
      <c r="G17" s="726" t="s">
        <v>795</v>
      </c>
      <c r="H17" s="422">
        <f t="shared" si="0"/>
        <v>3</v>
      </c>
      <c r="I17" s="392">
        <v>50</v>
      </c>
      <c r="J17" s="107">
        <f t="shared" si="1"/>
        <v>150</v>
      </c>
      <c r="K17" s="184"/>
      <c r="L17" s="184"/>
      <c r="M17" s="108">
        <v>2</v>
      </c>
      <c r="N17" s="819"/>
      <c r="O17" s="397"/>
      <c r="Q17" s="399"/>
      <c r="S17" s="396"/>
      <c r="T17" s="396"/>
      <c r="W17" s="400">
        <v>45748</v>
      </c>
    </row>
    <row r="18" spans="1:23" ht="15">
      <c r="A18" s="379">
        <v>46015</v>
      </c>
      <c r="B18" s="177" t="s">
        <v>796</v>
      </c>
      <c r="C18" s="389">
        <v>177</v>
      </c>
      <c r="D18" s="390" t="str">
        <f>VLOOKUP(C18,'MASTER Name List'!$B$3:$M$186,2,FALSE)</f>
        <v>陈桂香</v>
      </c>
      <c r="E18" s="420">
        <v>46023</v>
      </c>
      <c r="F18" s="420">
        <v>46174</v>
      </c>
      <c r="G18" s="726" t="s">
        <v>755</v>
      </c>
      <c r="H18" s="422">
        <f t="shared" si="0"/>
        <v>6</v>
      </c>
      <c r="I18" s="392">
        <v>50</v>
      </c>
      <c r="J18" s="107">
        <f t="shared" si="1"/>
        <v>300</v>
      </c>
      <c r="K18" s="184"/>
      <c r="L18" s="184"/>
      <c r="M18" s="108">
        <v>2</v>
      </c>
      <c r="N18" s="819">
        <f>SUMIF(M:M,"2",J:J)</f>
        <v>1100</v>
      </c>
      <c r="O18" s="397" t="s">
        <v>797</v>
      </c>
      <c r="P18" s="398"/>
      <c r="Q18" s="399"/>
      <c r="S18" s="396"/>
      <c r="T18" s="396"/>
      <c r="W18" s="400">
        <v>45778</v>
      </c>
    </row>
    <row r="19" spans="1:23" ht="15">
      <c r="A19" s="379">
        <v>46018</v>
      </c>
      <c r="B19" s="177" t="s">
        <v>798</v>
      </c>
      <c r="C19" s="389">
        <v>178</v>
      </c>
      <c r="D19" s="390" t="str">
        <f>VLOOKUP(C19,'MASTER Name List'!$B$3:$M$186,2,FALSE)</f>
        <v>颜美葒</v>
      </c>
      <c r="E19" s="420">
        <v>46023</v>
      </c>
      <c r="F19" s="420">
        <v>46023</v>
      </c>
      <c r="G19" s="401">
        <v>46023</v>
      </c>
      <c r="H19" s="422">
        <f t="shared" si="0"/>
        <v>1</v>
      </c>
      <c r="I19" s="392">
        <v>50</v>
      </c>
      <c r="J19" s="107">
        <f t="shared" si="1"/>
        <v>50</v>
      </c>
      <c r="K19" s="184"/>
      <c r="L19" s="184"/>
      <c r="M19" s="108">
        <v>3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46018</v>
      </c>
      <c r="B20" s="177" t="s">
        <v>799</v>
      </c>
      <c r="C20" s="389">
        <v>184</v>
      </c>
      <c r="D20" s="390" t="str">
        <f>VLOOKUP(C20,'MASTER Name List'!$B$3:$M$186,2,FALSE)</f>
        <v>赖奕坊</v>
      </c>
      <c r="E20" s="420">
        <v>45962</v>
      </c>
      <c r="F20" s="420">
        <v>45992</v>
      </c>
      <c r="G20" s="727" t="s">
        <v>774</v>
      </c>
      <c r="H20" s="422">
        <f t="shared" si="0"/>
        <v>2</v>
      </c>
      <c r="I20" s="392">
        <v>50</v>
      </c>
      <c r="J20" s="107">
        <f t="shared" si="1"/>
        <v>100</v>
      </c>
      <c r="K20" s="184"/>
      <c r="L20" s="184"/>
      <c r="M20" s="108">
        <v>3</v>
      </c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>
        <v>46018</v>
      </c>
      <c r="B21" s="177" t="s">
        <v>800</v>
      </c>
      <c r="C21" s="389">
        <v>23</v>
      </c>
      <c r="D21" s="390" t="str">
        <f>VLOOKUP(C21,'MASTER Name List'!$B$3:$M$186,2,FALSE)</f>
        <v>罗彩瑛</v>
      </c>
      <c r="E21" s="420">
        <v>46023</v>
      </c>
      <c r="F21" s="420">
        <v>46054</v>
      </c>
      <c r="G21" s="727" t="s">
        <v>801</v>
      </c>
      <c r="H21" s="422">
        <f t="shared" si="0"/>
        <v>2</v>
      </c>
      <c r="I21" s="392">
        <v>50</v>
      </c>
      <c r="J21" s="107">
        <f t="shared" si="1"/>
        <v>100</v>
      </c>
      <c r="K21" s="184"/>
      <c r="L21" s="184"/>
      <c r="M21" s="108">
        <v>3</v>
      </c>
      <c r="N21" s="819">
        <f>SUMIF(M:M,"3",J:J)</f>
        <v>250</v>
      </c>
      <c r="O21" s="397" t="s">
        <v>802</v>
      </c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List'!$B$3:$M$186,2,FALSE)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List'!$B$3:$M$186,2,FALSE)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45993</v>
      </c>
      <c r="B26" s="407" t="s">
        <v>1746</v>
      </c>
      <c r="C26" s="389">
        <v>116</v>
      </c>
      <c r="D26" s="390" t="str">
        <f>VLOOKUP(C26,'MASTER Name List'!$B$3:$M$186,2,FALSE)</f>
        <v>李薇薇</v>
      </c>
      <c r="E26" s="420">
        <v>45992</v>
      </c>
      <c r="F26" s="420">
        <v>45992</v>
      </c>
      <c r="G26" s="391">
        <v>45992</v>
      </c>
      <c r="H26" s="422">
        <f t="shared" ref="H26:H43" si="2">DATEDIF(E26,F26,"M")+1</f>
        <v>1</v>
      </c>
      <c r="I26" s="392">
        <v>50</v>
      </c>
      <c r="J26" s="184"/>
      <c r="K26" s="184"/>
      <c r="L26" s="107">
        <f>IF($C26="","-",$H26*$I26)</f>
        <v>50</v>
      </c>
      <c r="M26" s="108"/>
      <c r="N26" s="819"/>
      <c r="O26" s="852" t="s">
        <v>688</v>
      </c>
      <c r="P26" s="394"/>
      <c r="Q26" s="399" t="s">
        <v>133</v>
      </c>
      <c r="S26" s="396"/>
      <c r="T26" s="396"/>
      <c r="W26" s="400">
        <v>46023</v>
      </c>
    </row>
    <row r="27" spans="1:23" ht="15">
      <c r="A27" s="379">
        <v>45993</v>
      </c>
      <c r="B27" s="407" t="s">
        <v>1747</v>
      </c>
      <c r="C27" s="389">
        <v>117</v>
      </c>
      <c r="D27" s="390" t="str">
        <f>VLOOKUP(C27,'MASTER Name List'!$B$3:$M$186,2,FALSE)</f>
        <v>张志文</v>
      </c>
      <c r="E27" s="420">
        <v>45992</v>
      </c>
      <c r="F27" s="420">
        <v>45992</v>
      </c>
      <c r="G27" s="391">
        <v>45992</v>
      </c>
      <c r="H27" s="422">
        <f t="shared" si="2"/>
        <v>1</v>
      </c>
      <c r="I27" s="392">
        <v>50</v>
      </c>
      <c r="J27" s="184"/>
      <c r="K27" s="184"/>
      <c r="L27" s="107">
        <f t="shared" ref="L27:L44" si="3">IF($C27="","-",$H27*$I27)</f>
        <v>50</v>
      </c>
      <c r="M27" s="108"/>
      <c r="N27" s="819"/>
      <c r="O27" s="397"/>
      <c r="P27" s="394"/>
      <c r="Q27" s="399" t="s">
        <v>685</v>
      </c>
      <c r="S27" s="396"/>
      <c r="T27" s="396"/>
      <c r="W27" s="400">
        <v>46054</v>
      </c>
    </row>
    <row r="28" spans="1:23" ht="15">
      <c r="A28" s="379">
        <v>45993</v>
      </c>
      <c r="B28" s="407" t="s">
        <v>1748</v>
      </c>
      <c r="C28" s="389">
        <v>123</v>
      </c>
      <c r="D28" s="390" t="str">
        <f>VLOOKUP(C28,'MASTER Name List'!$B$3:$M$186,2,FALSE)</f>
        <v>黄丽娟</v>
      </c>
      <c r="E28" s="420">
        <v>45962</v>
      </c>
      <c r="F28" s="420">
        <v>45992</v>
      </c>
      <c r="G28" s="726" t="s">
        <v>774</v>
      </c>
      <c r="H28" s="422">
        <f t="shared" si="2"/>
        <v>2</v>
      </c>
      <c r="I28" s="392">
        <v>50</v>
      </c>
      <c r="J28" s="184"/>
      <c r="K28" s="184"/>
      <c r="L28" s="107">
        <f t="shared" si="3"/>
        <v>100</v>
      </c>
      <c r="M28" s="108"/>
      <c r="N28" s="819"/>
      <c r="O28" s="397"/>
      <c r="P28" s="363" t="s">
        <v>125</v>
      </c>
      <c r="Q28" s="399" t="s">
        <v>803</v>
      </c>
      <c r="S28" s="396"/>
      <c r="T28" s="396"/>
      <c r="W28" s="400">
        <v>46082</v>
      </c>
    </row>
    <row r="29" spans="1:23" ht="15">
      <c r="A29" s="379">
        <v>45995</v>
      </c>
      <c r="B29" s="407" t="s">
        <v>1749</v>
      </c>
      <c r="C29" s="389">
        <v>80</v>
      </c>
      <c r="D29" s="390" t="str">
        <f>VLOOKUP(C29,'MASTER Name List'!$B$3:$M$186,2,FALSE)</f>
        <v>黄淑芬</v>
      </c>
      <c r="E29" s="420">
        <v>45992</v>
      </c>
      <c r="F29" s="420">
        <v>46054</v>
      </c>
      <c r="G29" s="726" t="s">
        <v>804</v>
      </c>
      <c r="H29" s="422">
        <f t="shared" si="2"/>
        <v>3</v>
      </c>
      <c r="I29" s="392">
        <v>50</v>
      </c>
      <c r="J29" s="184"/>
      <c r="K29" s="184"/>
      <c r="L29" s="107">
        <f t="shared" si="3"/>
        <v>150</v>
      </c>
      <c r="M29" s="108"/>
      <c r="N29" s="819"/>
      <c r="O29" s="408"/>
      <c r="P29" s="394" t="s">
        <v>125</v>
      </c>
      <c r="Q29" s="399" t="s">
        <v>179</v>
      </c>
      <c r="S29" s="396"/>
      <c r="T29" s="396"/>
      <c r="W29" s="400">
        <v>46113</v>
      </c>
    </row>
    <row r="30" spans="1:23" ht="15">
      <c r="A30" s="379">
        <v>45995</v>
      </c>
      <c r="B30" s="407" t="s">
        <v>1750</v>
      </c>
      <c r="C30" s="389">
        <v>224</v>
      </c>
      <c r="D30" s="390" t="str">
        <f>VLOOKUP(C30,'MASTER Name List'!$B$3:$M$186,2,FALSE)</f>
        <v xml:space="preserve">黄文勝 </v>
      </c>
      <c r="E30" s="420">
        <v>45992</v>
      </c>
      <c r="F30" s="420">
        <v>46054</v>
      </c>
      <c r="G30" s="726" t="s">
        <v>804</v>
      </c>
      <c r="H30" s="422">
        <f t="shared" si="2"/>
        <v>3</v>
      </c>
      <c r="I30" s="392">
        <v>50</v>
      </c>
      <c r="J30" s="184"/>
      <c r="K30" s="184"/>
      <c r="L30" s="107">
        <f t="shared" si="3"/>
        <v>150</v>
      </c>
      <c r="M30" s="108"/>
      <c r="N30" s="819"/>
      <c r="O30" s="397"/>
      <c r="P30" s="394" t="s">
        <v>125</v>
      </c>
      <c r="Q30" s="399" t="s">
        <v>179</v>
      </c>
      <c r="S30" s="396"/>
      <c r="T30" s="396"/>
      <c r="W30" s="400">
        <v>46143</v>
      </c>
    </row>
    <row r="31" spans="1:23" ht="15">
      <c r="A31" s="379">
        <v>46002</v>
      </c>
      <c r="B31" s="407" t="s">
        <v>1751</v>
      </c>
      <c r="C31" s="389">
        <v>137</v>
      </c>
      <c r="D31" s="390" t="str">
        <f>VLOOKUP(C31,'MASTER Name List'!$B$3:$M$186,2,FALSE)</f>
        <v>赖美珍</v>
      </c>
      <c r="E31" s="420">
        <v>45992</v>
      </c>
      <c r="F31" s="420">
        <v>45992</v>
      </c>
      <c r="G31" s="726">
        <v>45992</v>
      </c>
      <c r="H31" s="422">
        <f t="shared" si="2"/>
        <v>1</v>
      </c>
      <c r="I31" s="392">
        <v>50</v>
      </c>
      <c r="J31" s="184"/>
      <c r="K31" s="184"/>
      <c r="L31" s="107">
        <f t="shared" si="3"/>
        <v>50</v>
      </c>
      <c r="M31" s="108"/>
      <c r="N31" s="819"/>
      <c r="O31" s="397"/>
      <c r="P31" s="394" t="s">
        <v>605</v>
      </c>
      <c r="Q31" s="409" t="s">
        <v>606</v>
      </c>
      <c r="S31" s="396"/>
      <c r="T31" s="396"/>
      <c r="W31" s="400">
        <v>46174</v>
      </c>
    </row>
    <row r="32" spans="1:23" ht="15">
      <c r="A32" s="379">
        <v>46007</v>
      </c>
      <c r="B32" s="851" t="s">
        <v>1753</v>
      </c>
      <c r="C32" s="389">
        <v>68</v>
      </c>
      <c r="D32" s="390" t="str">
        <f>VLOOKUP(C32,'MASTER Name List'!$B$3:$M$186,2,FALSE)</f>
        <v>沈观胜</v>
      </c>
      <c r="E32" s="420">
        <v>45931</v>
      </c>
      <c r="F32" s="420">
        <v>45992</v>
      </c>
      <c r="G32" s="726" t="s">
        <v>723</v>
      </c>
      <c r="H32" s="422">
        <f t="shared" si="2"/>
        <v>3</v>
      </c>
      <c r="I32" s="392">
        <v>50</v>
      </c>
      <c r="J32" s="184"/>
      <c r="K32" s="184"/>
      <c r="L32" s="107">
        <f t="shared" si="3"/>
        <v>150</v>
      </c>
      <c r="M32" s="108"/>
      <c r="N32" s="819"/>
      <c r="O32" s="852" t="s">
        <v>1752</v>
      </c>
      <c r="P32" s="394" t="s">
        <v>125</v>
      </c>
      <c r="Q32" s="823" t="s">
        <v>211</v>
      </c>
      <c r="S32" s="396"/>
      <c r="T32" s="396"/>
      <c r="W32" s="400">
        <v>46204</v>
      </c>
    </row>
    <row r="33" spans="1:23" ht="15">
      <c r="A33" s="379">
        <v>46009</v>
      </c>
      <c r="B33" s="407" t="s">
        <v>1754</v>
      </c>
      <c r="C33" s="389">
        <v>128</v>
      </c>
      <c r="D33" s="390" t="str">
        <f>VLOOKUP(C33,'MASTER Name List'!$B$3:$M$186,2,FALSE)</f>
        <v>萧势襁</v>
      </c>
      <c r="E33" s="420">
        <v>46023</v>
      </c>
      <c r="F33" s="420">
        <v>46174</v>
      </c>
      <c r="G33" s="726" t="s">
        <v>755</v>
      </c>
      <c r="H33" s="422">
        <f t="shared" si="2"/>
        <v>6</v>
      </c>
      <c r="I33" s="392">
        <v>50</v>
      </c>
      <c r="J33" s="184"/>
      <c r="K33" s="184"/>
      <c r="L33" s="107">
        <f t="shared" si="3"/>
        <v>300</v>
      </c>
      <c r="M33" s="108"/>
      <c r="N33" s="819"/>
      <c r="O33" s="397"/>
      <c r="P33" s="363" t="s">
        <v>125</v>
      </c>
      <c r="Q33" s="823" t="s">
        <v>439</v>
      </c>
      <c r="S33" s="396"/>
      <c r="T33" s="396"/>
      <c r="W33" s="400">
        <v>46235</v>
      </c>
    </row>
    <row r="34" spans="1:23" ht="15">
      <c r="A34" s="379">
        <v>46011</v>
      </c>
      <c r="B34" s="407" t="s">
        <v>1755</v>
      </c>
      <c r="C34" s="389">
        <v>175</v>
      </c>
      <c r="D34" s="390" t="str">
        <f>VLOOKUP(C34,'MASTER Name List'!$B$3:$M$186,2,FALSE)</f>
        <v>洪鼎惟</v>
      </c>
      <c r="E34" s="420">
        <v>45992</v>
      </c>
      <c r="F34" s="420">
        <v>45992</v>
      </c>
      <c r="G34" s="726">
        <v>45992</v>
      </c>
      <c r="H34" s="422">
        <f t="shared" si="2"/>
        <v>1</v>
      </c>
      <c r="I34" s="392">
        <v>50</v>
      </c>
      <c r="J34" s="184"/>
      <c r="K34" s="184"/>
      <c r="L34" s="107">
        <f t="shared" si="3"/>
        <v>50</v>
      </c>
      <c r="M34" s="108"/>
      <c r="N34" s="819"/>
      <c r="O34" s="397"/>
      <c r="P34" s="397" t="s">
        <v>125</v>
      </c>
      <c r="Q34" s="399" t="s">
        <v>148</v>
      </c>
      <c r="S34" s="396"/>
      <c r="T34" s="396"/>
      <c r="W34" s="400">
        <v>46266</v>
      </c>
    </row>
    <row r="35" spans="1:23" ht="15">
      <c r="A35" s="379">
        <v>46016</v>
      </c>
      <c r="B35" s="407" t="s">
        <v>1756</v>
      </c>
      <c r="C35" s="389">
        <v>163</v>
      </c>
      <c r="D35" s="390" t="str">
        <f>VLOOKUP(C35,'MASTER Name List'!$B$3:$M$186,2,FALSE)</f>
        <v>周玉暹</v>
      </c>
      <c r="E35" s="420">
        <v>45778</v>
      </c>
      <c r="F35" s="420">
        <v>45931</v>
      </c>
      <c r="G35" s="726" t="s">
        <v>805</v>
      </c>
      <c r="H35" s="422">
        <f t="shared" si="2"/>
        <v>6</v>
      </c>
      <c r="I35" s="392">
        <v>50</v>
      </c>
      <c r="J35" s="184"/>
      <c r="K35" s="184"/>
      <c r="L35" s="107">
        <f t="shared" si="3"/>
        <v>300</v>
      </c>
      <c r="M35" s="108"/>
      <c r="N35" s="819"/>
      <c r="O35" s="397"/>
      <c r="P35" s="397" t="s">
        <v>125</v>
      </c>
      <c r="Q35" s="821" t="s">
        <v>806</v>
      </c>
      <c r="S35" s="396"/>
      <c r="T35" s="396"/>
      <c r="W35" s="400">
        <v>46296</v>
      </c>
    </row>
    <row r="36" spans="1:23" ht="15">
      <c r="A36" s="379">
        <v>46022</v>
      </c>
      <c r="B36" s="407" t="s">
        <v>1757</v>
      </c>
      <c r="C36" s="389">
        <v>162</v>
      </c>
      <c r="D36" s="390" t="str">
        <f>VLOOKUP(C36,'MASTER Name List'!$B$3:$M$186,2,FALSE)</f>
        <v>方惠贤</v>
      </c>
      <c r="E36" s="420">
        <v>46023</v>
      </c>
      <c r="F36" s="420">
        <v>46054</v>
      </c>
      <c r="G36" s="726" t="s">
        <v>801</v>
      </c>
      <c r="H36" s="422">
        <f t="shared" si="2"/>
        <v>2</v>
      </c>
      <c r="I36" s="392">
        <v>50</v>
      </c>
      <c r="J36" s="184"/>
      <c r="K36" s="184"/>
      <c r="L36" s="107">
        <f t="shared" si="3"/>
        <v>100</v>
      </c>
      <c r="M36" s="108"/>
      <c r="N36" s="819"/>
      <c r="O36" s="397"/>
      <c r="P36" s="394" t="s">
        <v>125</v>
      </c>
      <c r="Q36" s="823" t="s">
        <v>126</v>
      </c>
      <c r="S36" s="396"/>
      <c r="T36" s="396"/>
      <c r="W36" s="400">
        <v>46327</v>
      </c>
    </row>
    <row r="37" spans="1:23" ht="15">
      <c r="A37" s="379"/>
      <c r="B37" s="407"/>
      <c r="C37" s="389"/>
      <c r="D37" s="390" t="e">
        <f>VLOOKUP(C37,'MASTER Name List'!$B$3:$M$186,2,FALSE)</f>
        <v>#N/A</v>
      </c>
      <c r="E37" s="420"/>
      <c r="F37" s="420"/>
      <c r="G37" s="391"/>
      <c r="H37" s="422">
        <f t="shared" si="2"/>
        <v>1</v>
      </c>
      <c r="I37" s="392">
        <v>50</v>
      </c>
      <c r="J37" s="184"/>
      <c r="K37" s="184"/>
      <c r="L37" s="107" t="str">
        <f t="shared" si="3"/>
        <v>-</v>
      </c>
      <c r="M37" s="108"/>
      <c r="N37" s="819"/>
      <c r="O37" s="397"/>
      <c r="P37" s="394"/>
      <c r="Q37" s="409"/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List'!$B$3:$M$186,2,FALSE)</f>
        <v>#N/A</v>
      </c>
      <c r="E38" s="420"/>
      <c r="F38" s="420"/>
      <c r="G38" s="391"/>
      <c r="H38" s="422">
        <f t="shared" si="2"/>
        <v>1</v>
      </c>
      <c r="I38" s="392">
        <v>50</v>
      </c>
      <c r="J38" s="184"/>
      <c r="K38" s="184"/>
      <c r="L38" s="107" t="str">
        <f t="shared" si="3"/>
        <v>-</v>
      </c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List'!$B$3:$M$186,2,FALSE)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List'!$B$3:$M$186,2,FALSE)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List'!$B$3:$M$186,2,FALSE)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List'!$B$3:$M$186,2,FALSE)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List'!$B$3:$M$186,2,FALSE)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3"/>
        <v>-</v>
      </c>
      <c r="M44" s="108"/>
      <c r="N44" s="819"/>
      <c r="O44" s="397"/>
      <c r="P44" s="410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2300</v>
      </c>
      <c r="K47" s="130">
        <f>SUM(K8:K46)</f>
        <v>0</v>
      </c>
      <c r="L47" s="130">
        <f>SUM(L8:L46)</f>
        <v>1450</v>
      </c>
      <c r="M47" s="131"/>
      <c r="N47" s="132">
        <f>SUM(N8:N46)</f>
        <v>2300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365"/>
      <c r="J49" s="419"/>
      <c r="K49" s="419"/>
      <c r="L49" s="419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23 E26:F43" xr:uid="{2D2DDF9C-CA0D-49DB-934A-66166B1B4479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71B6-E1B4-404B-8F51-9F570EEAC36A}">
  <sheetPr>
    <tabColor rgb="FF00B0F0"/>
  </sheetPr>
  <dimension ref="A4:W69"/>
  <sheetViews>
    <sheetView zoomScale="110" zoomScaleNormal="110" workbookViewId="0">
      <pane ySplit="8" topLeftCell="A12" activePane="bottomLeft" state="frozen"/>
      <selection pane="bottomLeft" activeCell="F14" sqref="F14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807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46023</v>
      </c>
      <c r="B9" s="177" t="s">
        <v>808</v>
      </c>
      <c r="C9" s="389">
        <v>170</v>
      </c>
      <c r="D9" s="390" t="str">
        <f>VLOOKUP(C9,'MASTER Name List'!$B$3:$M$186,2,FALSE)</f>
        <v>陈柔霓</v>
      </c>
      <c r="E9" s="420">
        <v>46023</v>
      </c>
      <c r="F9" s="420">
        <v>46023</v>
      </c>
      <c r="G9" s="726">
        <v>46023</v>
      </c>
      <c r="H9" s="422">
        <f t="shared" ref="H9:H42" si="0">DATEDIF(E9,F9,"M")+1</f>
        <v>1</v>
      </c>
      <c r="I9" s="392">
        <v>50</v>
      </c>
      <c r="J9" s="107">
        <f>IF($C9="","-",$H9*$I9)</f>
        <v>50</v>
      </c>
      <c r="K9" s="184"/>
      <c r="L9" s="184"/>
      <c r="M9" s="108">
        <v>1</v>
      </c>
      <c r="N9" s="819"/>
      <c r="O9" s="393"/>
      <c r="P9" s="641" t="s">
        <v>714</v>
      </c>
      <c r="Q9" s="395"/>
      <c r="S9" s="396"/>
      <c r="T9" s="396"/>
    </row>
    <row r="10" spans="1:23" ht="15">
      <c r="A10" s="379">
        <v>46025</v>
      </c>
      <c r="B10" s="177" t="s">
        <v>809</v>
      </c>
      <c r="C10" s="389">
        <v>181</v>
      </c>
      <c r="D10" s="390" t="str">
        <f>VLOOKUP(C10,'MASTER Name List'!$B$3:$M$186,2,FALSE)</f>
        <v>陈金清</v>
      </c>
      <c r="E10" s="865">
        <v>45962</v>
      </c>
      <c r="F10" s="865">
        <v>45992</v>
      </c>
      <c r="G10" s="866" t="s">
        <v>774</v>
      </c>
      <c r="H10" s="422">
        <f t="shared" si="0"/>
        <v>2</v>
      </c>
      <c r="I10" s="392">
        <v>50</v>
      </c>
      <c r="J10" s="107">
        <f t="shared" ref="J10:J42" si="1">IF($C10="","-",$H10*$I10)</f>
        <v>100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46025</v>
      </c>
      <c r="B11" s="177" t="s">
        <v>810</v>
      </c>
      <c r="C11" s="389">
        <v>189</v>
      </c>
      <c r="D11" s="390" t="str">
        <f>VLOOKUP(C11,'MASTER Name List'!$B$3:$M$186,2,FALSE)</f>
        <v>张秀杏</v>
      </c>
      <c r="E11" s="420">
        <v>46023</v>
      </c>
      <c r="F11" s="420">
        <v>46357</v>
      </c>
      <c r="G11" s="726" t="s">
        <v>786</v>
      </c>
      <c r="H11" s="422">
        <f t="shared" si="0"/>
        <v>12</v>
      </c>
      <c r="I11" s="392">
        <v>50</v>
      </c>
      <c r="J11" s="107">
        <f t="shared" si="1"/>
        <v>600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46025</v>
      </c>
      <c r="B12" s="177" t="s">
        <v>811</v>
      </c>
      <c r="C12" s="389">
        <v>202</v>
      </c>
      <c r="D12" s="390" t="str">
        <f>VLOOKUP(C12,'MASTER Name List'!$B$3:$M$186,2,FALSE)</f>
        <v>叶宝钻</v>
      </c>
      <c r="E12" s="420">
        <v>46023</v>
      </c>
      <c r="F12" s="420">
        <v>46357</v>
      </c>
      <c r="G12" s="726" t="s">
        <v>786</v>
      </c>
      <c r="H12" s="422">
        <f t="shared" si="0"/>
        <v>12</v>
      </c>
      <c r="I12" s="392">
        <v>50</v>
      </c>
      <c r="J12" s="107">
        <f t="shared" si="1"/>
        <v>600</v>
      </c>
      <c r="K12" s="184"/>
      <c r="L12" s="184"/>
      <c r="M12" s="108">
        <v>1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46025</v>
      </c>
      <c r="B13" s="177" t="s">
        <v>812</v>
      </c>
      <c r="C13" s="389">
        <v>62</v>
      </c>
      <c r="D13" s="390" t="str">
        <f>VLOOKUP(C13,'MASTER Name List'!$B$3:$M$186,2,FALSE)</f>
        <v>叶淑芳</v>
      </c>
      <c r="E13" s="420">
        <v>46023</v>
      </c>
      <c r="F13" s="420">
        <v>46174</v>
      </c>
      <c r="G13" s="726" t="s">
        <v>755</v>
      </c>
      <c r="H13" s="422">
        <f t="shared" si="0"/>
        <v>6</v>
      </c>
      <c r="I13" s="392">
        <v>50</v>
      </c>
      <c r="J13" s="107">
        <f t="shared" si="1"/>
        <v>300</v>
      </c>
      <c r="K13" s="184"/>
      <c r="L13" s="184"/>
      <c r="M13" s="108">
        <v>1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46027</v>
      </c>
      <c r="B14" s="177" t="s">
        <v>813</v>
      </c>
      <c r="C14" s="389">
        <v>208</v>
      </c>
      <c r="D14" s="390" t="str">
        <f>VLOOKUP(C14,'MASTER Name List'!$B$3:$M$186,2,FALSE)</f>
        <v>萧志倫</v>
      </c>
      <c r="E14" s="420">
        <v>45992</v>
      </c>
      <c r="F14" s="420">
        <v>46023</v>
      </c>
      <c r="G14" s="894" t="s">
        <v>1823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642">
        <v>3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46025</v>
      </c>
      <c r="B15" s="177" t="s">
        <v>814</v>
      </c>
      <c r="C15" s="389">
        <v>106</v>
      </c>
      <c r="D15" s="390" t="str">
        <f>VLOOKUP(C15,'MASTER Name List'!$B$3:$M$186,2,FALSE)</f>
        <v>文渼媄</v>
      </c>
      <c r="E15" s="420">
        <v>46023</v>
      </c>
      <c r="F15" s="420">
        <v>46023</v>
      </c>
      <c r="G15" s="726">
        <v>46023</v>
      </c>
      <c r="H15" s="422">
        <f t="shared" si="0"/>
        <v>1</v>
      </c>
      <c r="I15" s="392">
        <v>50</v>
      </c>
      <c r="J15" s="107">
        <f t="shared" si="1"/>
        <v>50</v>
      </c>
      <c r="K15" s="184"/>
      <c r="L15" s="184"/>
      <c r="M15" s="108">
        <v>1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46025</v>
      </c>
      <c r="B16" s="177" t="s">
        <v>815</v>
      </c>
      <c r="C16" s="389">
        <v>106</v>
      </c>
      <c r="D16" s="390" t="str">
        <f>VLOOKUP(C16,'MASTER Name List'!$B$3:$M$186,2,FALSE)</f>
        <v>文渼媄</v>
      </c>
      <c r="E16" s="420">
        <v>46054</v>
      </c>
      <c r="F16" s="420">
        <v>46054</v>
      </c>
      <c r="G16" s="726">
        <v>46054</v>
      </c>
      <c r="H16" s="422">
        <f t="shared" si="0"/>
        <v>1</v>
      </c>
      <c r="I16" s="392">
        <v>50</v>
      </c>
      <c r="J16" s="107">
        <f t="shared" si="1"/>
        <v>50</v>
      </c>
      <c r="K16" s="184"/>
      <c r="L16" s="184"/>
      <c r="M16" s="108">
        <v>1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46025</v>
      </c>
      <c r="B17" s="177" t="s">
        <v>816</v>
      </c>
      <c r="C17" s="389">
        <v>106</v>
      </c>
      <c r="D17" s="390" t="str">
        <f>VLOOKUP(C17,'MASTER Name List'!$B$3:$M$186,2,FALSE)</f>
        <v>文渼媄</v>
      </c>
      <c r="E17" s="420">
        <v>46082</v>
      </c>
      <c r="F17" s="420">
        <v>46082</v>
      </c>
      <c r="G17" s="726">
        <v>46082</v>
      </c>
      <c r="H17" s="422">
        <f t="shared" si="0"/>
        <v>1</v>
      </c>
      <c r="I17" s="392">
        <v>50</v>
      </c>
      <c r="J17" s="107">
        <f t="shared" si="1"/>
        <v>50</v>
      </c>
      <c r="K17" s="184"/>
      <c r="L17" s="184"/>
      <c r="M17" s="108">
        <v>1</v>
      </c>
      <c r="N17" s="819">
        <f>SUMIF(M:M,"1",J:J)</f>
        <v>1800</v>
      </c>
      <c r="O17" s="397" t="s">
        <v>802</v>
      </c>
      <c r="Q17" s="399"/>
      <c r="S17" s="396"/>
      <c r="T17" s="396"/>
      <c r="W17" s="400">
        <v>45748</v>
      </c>
    </row>
    <row r="18" spans="1:23" ht="15">
      <c r="A18" s="379">
        <v>46025</v>
      </c>
      <c r="B18" s="177" t="s">
        <v>817</v>
      </c>
      <c r="C18" s="389">
        <v>99</v>
      </c>
      <c r="D18" s="390" t="str">
        <f>VLOOKUP(C18,'MASTER Name List'!$B$3:$M$186,2,FALSE)</f>
        <v>吴毓遴</v>
      </c>
      <c r="E18" s="420">
        <v>46023</v>
      </c>
      <c r="F18" s="420">
        <v>46082</v>
      </c>
      <c r="G18" s="726" t="s">
        <v>795</v>
      </c>
      <c r="H18" s="422">
        <f t="shared" si="0"/>
        <v>3</v>
      </c>
      <c r="I18" s="392">
        <v>50</v>
      </c>
      <c r="J18" s="107">
        <f t="shared" si="1"/>
        <v>150</v>
      </c>
      <c r="K18" s="184"/>
      <c r="L18" s="184"/>
      <c r="M18" s="108">
        <v>2</v>
      </c>
      <c r="N18" s="819"/>
      <c r="O18" s="397"/>
      <c r="P18" s="641" t="s">
        <v>818</v>
      </c>
      <c r="Q18" s="399"/>
      <c r="S18" s="396"/>
      <c r="T18" s="396"/>
      <c r="W18" s="400">
        <v>45778</v>
      </c>
    </row>
    <row r="19" spans="1:23" ht="15">
      <c r="A19" s="379">
        <v>46025</v>
      </c>
      <c r="B19" s="177" t="s">
        <v>819</v>
      </c>
      <c r="C19" s="389">
        <v>120</v>
      </c>
      <c r="D19" s="390" t="str">
        <f>VLOOKUP(C19,'MASTER Name List'!$B$3:$M$186,2,FALSE)</f>
        <v>王碧琳</v>
      </c>
      <c r="E19" s="420">
        <v>46023</v>
      </c>
      <c r="F19" s="420">
        <v>46357</v>
      </c>
      <c r="G19" s="727" t="s">
        <v>786</v>
      </c>
      <c r="H19" s="422">
        <f t="shared" si="0"/>
        <v>12</v>
      </c>
      <c r="I19" s="392">
        <v>50</v>
      </c>
      <c r="J19" s="107">
        <f t="shared" si="1"/>
        <v>600</v>
      </c>
      <c r="K19" s="184"/>
      <c r="L19" s="184"/>
      <c r="M19" s="108">
        <v>2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46025</v>
      </c>
      <c r="B20" s="177" t="s">
        <v>820</v>
      </c>
      <c r="C20" s="389">
        <v>214</v>
      </c>
      <c r="D20" s="390" t="str">
        <f>VLOOKUP(C20,'MASTER Name List'!$B$3:$M$186,2,FALSE)</f>
        <v>苏淑禛</v>
      </c>
      <c r="E20" s="420">
        <v>46023</v>
      </c>
      <c r="F20" s="420">
        <v>46082</v>
      </c>
      <c r="G20" s="727" t="s">
        <v>795</v>
      </c>
      <c r="H20" s="422">
        <f t="shared" si="0"/>
        <v>3</v>
      </c>
      <c r="I20" s="392">
        <v>50</v>
      </c>
      <c r="J20" s="107">
        <f t="shared" si="1"/>
        <v>150</v>
      </c>
      <c r="K20" s="184"/>
      <c r="L20" s="184"/>
      <c r="M20" s="108">
        <v>2</v>
      </c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>
        <v>46025</v>
      </c>
      <c r="B21" s="177" t="s">
        <v>821</v>
      </c>
      <c r="C21" s="389">
        <v>11</v>
      </c>
      <c r="D21" s="390" t="str">
        <f>VLOOKUP(C21,'MASTER Name List'!$B$3:$M$186,2,FALSE)</f>
        <v>方玉芬</v>
      </c>
      <c r="E21" s="420">
        <v>46023</v>
      </c>
      <c r="F21" s="420">
        <v>46357</v>
      </c>
      <c r="G21" s="727" t="s">
        <v>786</v>
      </c>
      <c r="H21" s="422">
        <f t="shared" si="0"/>
        <v>12</v>
      </c>
      <c r="I21" s="392">
        <v>50</v>
      </c>
      <c r="J21" s="107">
        <f t="shared" si="1"/>
        <v>600</v>
      </c>
      <c r="K21" s="184"/>
      <c r="L21" s="184"/>
      <c r="M21" s="108">
        <v>2</v>
      </c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>
        <v>46025</v>
      </c>
      <c r="B22" s="177" t="s">
        <v>822</v>
      </c>
      <c r="C22" s="389">
        <v>225</v>
      </c>
      <c r="D22" s="390" t="str">
        <f>VLOOKUP(C22,'MASTER Name List'!$B$3:$M$186,2,FALSE)</f>
        <v>陈巧欢</v>
      </c>
      <c r="E22" s="420">
        <v>46023</v>
      </c>
      <c r="F22" s="420">
        <v>46357</v>
      </c>
      <c r="G22" s="727" t="s">
        <v>786</v>
      </c>
      <c r="H22" s="422">
        <f t="shared" si="0"/>
        <v>12</v>
      </c>
      <c r="I22" s="392">
        <v>50</v>
      </c>
      <c r="J22" s="107">
        <f t="shared" si="1"/>
        <v>600</v>
      </c>
      <c r="K22" s="184"/>
      <c r="L22" s="184"/>
      <c r="M22" s="108">
        <v>2</v>
      </c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>
        <v>46026</v>
      </c>
      <c r="B23" s="177" t="s">
        <v>823</v>
      </c>
      <c r="C23" s="389">
        <v>69</v>
      </c>
      <c r="D23" s="390" t="str">
        <f>VLOOKUP(C23,'MASTER Name List'!$B$3:$M$186,2,FALSE)</f>
        <v>卢锭伟</v>
      </c>
      <c r="E23" s="420">
        <v>46023</v>
      </c>
      <c r="F23" s="420">
        <v>46174</v>
      </c>
      <c r="G23" s="822" t="s">
        <v>755</v>
      </c>
      <c r="H23" s="422">
        <f t="shared" si="0"/>
        <v>6</v>
      </c>
      <c r="I23" s="392">
        <v>50</v>
      </c>
      <c r="J23" s="107">
        <f t="shared" si="1"/>
        <v>300</v>
      </c>
      <c r="K23" s="184"/>
      <c r="L23" s="184"/>
      <c r="M23" s="108">
        <v>2</v>
      </c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>
        <v>46026</v>
      </c>
      <c r="B24" s="177" t="s">
        <v>824</v>
      </c>
      <c r="C24" s="389">
        <v>42</v>
      </c>
      <c r="D24" s="390" t="str">
        <f>VLOOKUP(C24,'MASTER Name List'!$B$3:$M$186,2,FALSE)</f>
        <v>李俐赪</v>
      </c>
      <c r="E24" s="420">
        <v>46023</v>
      </c>
      <c r="F24" s="420">
        <v>46174</v>
      </c>
      <c r="G24" s="822" t="s">
        <v>755</v>
      </c>
      <c r="H24" s="422">
        <f t="shared" si="0"/>
        <v>6</v>
      </c>
      <c r="I24" s="392">
        <v>50</v>
      </c>
      <c r="J24" s="107">
        <f t="shared" si="1"/>
        <v>300</v>
      </c>
      <c r="K24" s="184"/>
      <c r="L24" s="184"/>
      <c r="M24" s="108">
        <v>2</v>
      </c>
      <c r="N24" s="819">
        <f>SUMIF(M:M,"2",J:J)</f>
        <v>2700</v>
      </c>
      <c r="O24" s="397" t="s">
        <v>802</v>
      </c>
      <c r="P24" s="394"/>
      <c r="Q24" s="399"/>
      <c r="S24" s="396"/>
      <c r="T24" s="396"/>
      <c r="W24" s="400">
        <v>45962</v>
      </c>
    </row>
    <row r="25" spans="1:23" ht="15">
      <c r="A25" s="379">
        <v>46027</v>
      </c>
      <c r="B25" s="177" t="s">
        <v>825</v>
      </c>
      <c r="C25" s="389">
        <v>194</v>
      </c>
      <c r="D25" s="390" t="str">
        <f>VLOOKUP(C25,'MASTER Name List'!$B$3:$M$186,2,FALSE)</f>
        <v>杨建成</v>
      </c>
      <c r="E25" s="420">
        <v>46023</v>
      </c>
      <c r="F25" s="420">
        <v>46113</v>
      </c>
      <c r="G25" s="822" t="s">
        <v>826</v>
      </c>
      <c r="H25" s="422">
        <f t="shared" si="0"/>
        <v>4</v>
      </c>
      <c r="I25" s="392">
        <v>50</v>
      </c>
      <c r="J25" s="107">
        <f t="shared" si="1"/>
        <v>200</v>
      </c>
      <c r="K25" s="184"/>
      <c r="L25" s="184"/>
      <c r="M25" s="108">
        <v>3</v>
      </c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46027</v>
      </c>
      <c r="B26" s="177" t="s">
        <v>827</v>
      </c>
      <c r="C26" s="389">
        <v>36</v>
      </c>
      <c r="D26" s="390" t="str">
        <f>VLOOKUP(C26,'MASTER Name List'!$B$3:$M$186,2,FALSE)</f>
        <v>钱淑娟</v>
      </c>
      <c r="E26" s="420">
        <v>46023</v>
      </c>
      <c r="F26" s="420">
        <v>46357</v>
      </c>
      <c r="G26" s="822" t="s">
        <v>786</v>
      </c>
      <c r="H26" s="422">
        <f t="shared" si="0"/>
        <v>12</v>
      </c>
      <c r="I26" s="392">
        <v>50</v>
      </c>
      <c r="J26" s="107">
        <f t="shared" si="1"/>
        <v>600</v>
      </c>
      <c r="K26" s="184"/>
      <c r="L26" s="184"/>
      <c r="M26" s="108">
        <v>3</v>
      </c>
      <c r="N26" s="819"/>
      <c r="O26" s="397"/>
      <c r="P26" s="394"/>
      <c r="Q26" s="399"/>
      <c r="S26" s="396"/>
      <c r="T26" s="396"/>
      <c r="W26" s="400">
        <v>46023</v>
      </c>
    </row>
    <row r="27" spans="1:23" ht="15">
      <c r="A27" s="379">
        <v>46030</v>
      </c>
      <c r="B27" s="177" t="s">
        <v>828</v>
      </c>
      <c r="C27" s="389">
        <v>19</v>
      </c>
      <c r="D27" s="390" t="str">
        <f>VLOOKUP(C27,'MASTER Name List'!$B$3:$M$186,2,FALSE)</f>
        <v>廖秋华</v>
      </c>
      <c r="E27" s="420">
        <v>46023</v>
      </c>
      <c r="F27" s="420">
        <v>46174</v>
      </c>
      <c r="G27" s="822" t="s">
        <v>755</v>
      </c>
      <c r="H27" s="422">
        <f t="shared" si="0"/>
        <v>6</v>
      </c>
      <c r="I27" s="392">
        <v>50</v>
      </c>
      <c r="J27" s="107">
        <f t="shared" si="1"/>
        <v>300</v>
      </c>
      <c r="K27" s="184"/>
      <c r="L27" s="184"/>
      <c r="M27" s="108">
        <v>3</v>
      </c>
      <c r="N27" s="819"/>
      <c r="O27" s="397"/>
      <c r="P27" s="394"/>
      <c r="Q27" s="399"/>
      <c r="S27" s="396"/>
      <c r="T27" s="396"/>
      <c r="W27" s="400">
        <v>46054</v>
      </c>
    </row>
    <row r="28" spans="1:23" ht="15">
      <c r="A28" s="379">
        <v>46030</v>
      </c>
      <c r="B28" s="177" t="s">
        <v>829</v>
      </c>
      <c r="C28" s="389">
        <v>97</v>
      </c>
      <c r="D28" s="390" t="str">
        <f>VLOOKUP(C28,'MASTER Name List'!$B$3:$M$186,2,FALSE)</f>
        <v>陈素秋</v>
      </c>
      <c r="E28" s="420">
        <v>46023</v>
      </c>
      <c r="F28" s="420">
        <v>46113</v>
      </c>
      <c r="G28" s="822" t="s">
        <v>826</v>
      </c>
      <c r="H28" s="422">
        <f t="shared" si="0"/>
        <v>4</v>
      </c>
      <c r="I28" s="392">
        <v>50</v>
      </c>
      <c r="J28" s="107">
        <f t="shared" si="1"/>
        <v>200</v>
      </c>
      <c r="K28" s="184"/>
      <c r="L28" s="184"/>
      <c r="M28" s="108">
        <v>3</v>
      </c>
      <c r="N28" s="819"/>
      <c r="O28" s="397"/>
      <c r="P28" s="394"/>
      <c r="Q28" s="399"/>
      <c r="S28" s="396"/>
      <c r="T28" s="396"/>
      <c r="W28" s="400">
        <v>46082</v>
      </c>
    </row>
    <row r="29" spans="1:23" ht="15">
      <c r="A29" s="379">
        <v>46033</v>
      </c>
      <c r="B29" s="177" t="s">
        <v>830</v>
      </c>
      <c r="C29" s="389">
        <v>219</v>
      </c>
      <c r="D29" s="390" t="str">
        <f>VLOOKUP(C29,'MASTER Name List'!$B$3:$M$186,2,FALSE)</f>
        <v>伍蔚枋</v>
      </c>
      <c r="E29" s="420">
        <v>46023</v>
      </c>
      <c r="F29" s="420">
        <v>46357</v>
      </c>
      <c r="G29" s="822" t="s">
        <v>786</v>
      </c>
      <c r="H29" s="422">
        <f t="shared" si="0"/>
        <v>12</v>
      </c>
      <c r="I29" s="392">
        <v>50</v>
      </c>
      <c r="J29" s="107">
        <f t="shared" si="1"/>
        <v>600</v>
      </c>
      <c r="K29" s="184"/>
      <c r="L29" s="184"/>
      <c r="M29" s="108">
        <v>3</v>
      </c>
      <c r="N29" s="819">
        <f>SUMIF(M:M,"3",J:J)</f>
        <v>2000</v>
      </c>
      <c r="O29" s="397" t="s">
        <v>831</v>
      </c>
      <c r="P29" s="394"/>
      <c r="Q29" s="399"/>
      <c r="S29" s="396"/>
      <c r="T29" s="396"/>
      <c r="W29" s="400">
        <v>46113</v>
      </c>
    </row>
    <row r="30" spans="1:23" ht="15">
      <c r="A30" s="379">
        <v>46036</v>
      </c>
      <c r="B30" s="177" t="s">
        <v>832</v>
      </c>
      <c r="C30" s="389">
        <v>73</v>
      </c>
      <c r="D30" s="390" t="str">
        <f>VLOOKUP(C30,'MASTER Name List'!$B$3:$M$186,2,FALSE)</f>
        <v>李宝明</v>
      </c>
      <c r="E30" s="420">
        <v>46023</v>
      </c>
      <c r="F30" s="420">
        <v>46113</v>
      </c>
      <c r="G30" s="822" t="s">
        <v>826</v>
      </c>
      <c r="H30" s="422">
        <f t="shared" si="0"/>
        <v>4</v>
      </c>
      <c r="I30" s="392">
        <v>50</v>
      </c>
      <c r="J30" s="107">
        <f t="shared" si="1"/>
        <v>200</v>
      </c>
      <c r="K30" s="184"/>
      <c r="L30" s="184"/>
      <c r="M30" s="108">
        <v>4</v>
      </c>
      <c r="N30" s="819"/>
      <c r="O30" s="397"/>
      <c r="P30" s="394"/>
      <c r="Q30" s="399"/>
      <c r="S30" s="396"/>
      <c r="T30" s="396"/>
      <c r="W30" s="400">
        <v>46143</v>
      </c>
    </row>
    <row r="31" spans="1:23" ht="15">
      <c r="A31" s="379">
        <v>46037</v>
      </c>
      <c r="B31" s="177" t="s">
        <v>833</v>
      </c>
      <c r="C31" s="389">
        <v>185</v>
      </c>
      <c r="D31" s="390" t="str">
        <f>VLOOKUP(C31,'MASTER Name List'!$B$3:$M$186,2,FALSE)</f>
        <v>羅梅瑂</v>
      </c>
      <c r="E31" s="420">
        <v>45992</v>
      </c>
      <c r="F31" s="420">
        <v>45992</v>
      </c>
      <c r="G31" s="824">
        <v>45992</v>
      </c>
      <c r="H31" s="422">
        <f t="shared" si="0"/>
        <v>1</v>
      </c>
      <c r="I31" s="392">
        <v>50</v>
      </c>
      <c r="J31" s="107">
        <f t="shared" si="1"/>
        <v>50</v>
      </c>
      <c r="K31" s="184"/>
      <c r="L31" s="184"/>
      <c r="M31" s="108">
        <v>4</v>
      </c>
      <c r="N31" s="819"/>
      <c r="O31" s="397"/>
      <c r="P31" s="394"/>
      <c r="Q31" s="399"/>
      <c r="S31" s="396"/>
      <c r="T31" s="396"/>
      <c r="W31" s="400">
        <v>46174</v>
      </c>
    </row>
    <row r="32" spans="1:23" ht="15">
      <c r="A32" s="379">
        <v>46037</v>
      </c>
      <c r="B32" s="177" t="s">
        <v>834</v>
      </c>
      <c r="C32" s="389">
        <v>185</v>
      </c>
      <c r="D32" s="390" t="str">
        <f>VLOOKUP(C32,'MASTER Name List'!$B$3:$M$186,2,FALSE)</f>
        <v>羅梅瑂</v>
      </c>
      <c r="E32" s="420">
        <v>46023</v>
      </c>
      <c r="F32" s="420">
        <v>46082</v>
      </c>
      <c r="G32" s="822" t="s">
        <v>795</v>
      </c>
      <c r="H32" s="657">
        <f t="shared" si="0"/>
        <v>3</v>
      </c>
      <c r="I32" s="656">
        <v>50</v>
      </c>
      <c r="J32" s="107">
        <f t="shared" si="1"/>
        <v>150</v>
      </c>
      <c r="K32" s="184"/>
      <c r="L32" s="184"/>
      <c r="M32" s="108">
        <v>4</v>
      </c>
      <c r="N32" s="819"/>
      <c r="O32" s="397"/>
      <c r="P32" s="394"/>
      <c r="Q32" s="399"/>
      <c r="S32" s="396"/>
      <c r="T32" s="396"/>
      <c r="W32" s="400">
        <v>46204</v>
      </c>
    </row>
    <row r="33" spans="1:23" ht="15">
      <c r="A33" s="379">
        <v>46038</v>
      </c>
      <c r="B33" s="177" t="s">
        <v>835</v>
      </c>
      <c r="C33" s="389">
        <v>126</v>
      </c>
      <c r="D33" s="390" t="str">
        <f>VLOOKUP(C33,'MASTER Name List'!$B$3:$M$186,2,FALSE)</f>
        <v>张凤</v>
      </c>
      <c r="E33" s="420">
        <v>46023</v>
      </c>
      <c r="F33" s="420">
        <v>46082</v>
      </c>
      <c r="G33" s="822" t="s">
        <v>795</v>
      </c>
      <c r="H33" s="657">
        <f t="shared" si="0"/>
        <v>3</v>
      </c>
      <c r="I33" s="656">
        <v>50</v>
      </c>
      <c r="J33" s="107">
        <f t="shared" si="1"/>
        <v>150</v>
      </c>
      <c r="K33" s="184"/>
      <c r="L33" s="184"/>
      <c r="M33" s="108">
        <v>4</v>
      </c>
      <c r="N33" s="819"/>
      <c r="O33" s="397"/>
      <c r="P33" s="394"/>
      <c r="Q33" s="399"/>
      <c r="S33" s="396"/>
      <c r="T33" s="396"/>
      <c r="W33" s="400">
        <v>46235</v>
      </c>
    </row>
    <row r="34" spans="1:23" ht="15">
      <c r="A34" s="379">
        <v>46039</v>
      </c>
      <c r="B34" s="177" t="s">
        <v>836</v>
      </c>
      <c r="C34" s="389">
        <v>90</v>
      </c>
      <c r="D34" s="390" t="str">
        <f>VLOOKUP(C34,'MASTER Name List'!$B$3:$M$186,2,FALSE)</f>
        <v>程秋萍</v>
      </c>
      <c r="E34" s="420">
        <v>46023</v>
      </c>
      <c r="F34" s="420">
        <v>46357</v>
      </c>
      <c r="G34" s="822" t="s">
        <v>786</v>
      </c>
      <c r="H34" s="657">
        <f t="shared" si="0"/>
        <v>12</v>
      </c>
      <c r="I34" s="656">
        <v>50</v>
      </c>
      <c r="J34" s="107">
        <f t="shared" si="1"/>
        <v>600</v>
      </c>
      <c r="K34" s="184"/>
      <c r="L34" s="184"/>
      <c r="M34" s="108">
        <v>4</v>
      </c>
      <c r="N34" s="819">
        <f>SUMIF(M:M,"4",J:J)</f>
        <v>1150</v>
      </c>
      <c r="O34" s="397" t="s">
        <v>837</v>
      </c>
      <c r="P34" s="394"/>
      <c r="Q34" s="399"/>
      <c r="S34" s="396"/>
      <c r="T34" s="396"/>
      <c r="W34" s="400">
        <v>46266</v>
      </c>
    </row>
    <row r="35" spans="1:23" ht="15">
      <c r="A35" s="379">
        <v>46041</v>
      </c>
      <c r="B35" s="177" t="s">
        <v>838</v>
      </c>
      <c r="C35" s="389">
        <v>74</v>
      </c>
      <c r="D35" s="390" t="str">
        <f>VLOOKUP(C35,'MASTER Name List'!$B$3:$M$186,2,FALSE)</f>
        <v>黄得财</v>
      </c>
      <c r="E35" s="420">
        <v>46023</v>
      </c>
      <c r="F35" s="420">
        <v>46082</v>
      </c>
      <c r="G35" s="822" t="s">
        <v>795</v>
      </c>
      <c r="H35" s="657">
        <f t="shared" si="0"/>
        <v>3</v>
      </c>
      <c r="I35" s="656">
        <v>50</v>
      </c>
      <c r="J35" s="107">
        <f t="shared" si="1"/>
        <v>150</v>
      </c>
      <c r="K35" s="184"/>
      <c r="L35" s="184"/>
      <c r="M35" s="108">
        <v>5</v>
      </c>
      <c r="N35" s="819"/>
      <c r="O35" s="397"/>
      <c r="P35" s="394"/>
      <c r="Q35" s="399"/>
      <c r="S35" s="396"/>
      <c r="T35" s="396"/>
      <c r="W35" s="400">
        <v>46296</v>
      </c>
    </row>
    <row r="36" spans="1:23" ht="15">
      <c r="A36" s="379">
        <v>46041</v>
      </c>
      <c r="B36" s="177" t="s">
        <v>839</v>
      </c>
      <c r="C36" s="389">
        <v>168</v>
      </c>
      <c r="D36" s="390" t="str">
        <f>VLOOKUP(C36,'MASTER Name List'!$B$3:$M$186,2,FALSE)</f>
        <v>王秋蓉</v>
      </c>
      <c r="E36" s="420">
        <v>46023</v>
      </c>
      <c r="F36" s="420">
        <v>46054</v>
      </c>
      <c r="G36" s="822" t="s">
        <v>801</v>
      </c>
      <c r="H36" s="657">
        <f t="shared" si="0"/>
        <v>2</v>
      </c>
      <c r="I36" s="656">
        <v>50</v>
      </c>
      <c r="J36" s="107">
        <f t="shared" si="1"/>
        <v>100</v>
      </c>
      <c r="K36" s="184"/>
      <c r="L36" s="184"/>
      <c r="M36" s="108">
        <v>5</v>
      </c>
      <c r="N36" s="819"/>
      <c r="O36" s="397"/>
      <c r="P36" s="394"/>
      <c r="Q36" s="399"/>
      <c r="S36" s="396"/>
      <c r="T36" s="396"/>
      <c r="W36" s="400">
        <v>46327</v>
      </c>
    </row>
    <row r="37" spans="1:23" ht="15">
      <c r="A37" s="379">
        <v>46041</v>
      </c>
      <c r="B37" s="177" t="s">
        <v>840</v>
      </c>
      <c r="C37" s="389">
        <v>127</v>
      </c>
      <c r="D37" s="390" t="str">
        <f>VLOOKUP(C37,'MASTER Name List'!$B$3:$M$186,2,FALSE)</f>
        <v>陈梅兰</v>
      </c>
      <c r="E37" s="420">
        <v>46023</v>
      </c>
      <c r="F37" s="420">
        <v>46357</v>
      </c>
      <c r="G37" s="822" t="s">
        <v>786</v>
      </c>
      <c r="H37" s="657">
        <f t="shared" si="0"/>
        <v>12</v>
      </c>
      <c r="I37" s="656">
        <v>50</v>
      </c>
      <c r="J37" s="107">
        <f t="shared" si="1"/>
        <v>600</v>
      </c>
      <c r="K37" s="184"/>
      <c r="L37" s="184"/>
      <c r="M37" s="108">
        <v>5</v>
      </c>
      <c r="N37" s="819"/>
      <c r="O37" s="397"/>
      <c r="P37" s="394"/>
      <c r="Q37" s="399"/>
      <c r="S37" s="396"/>
      <c r="T37" s="396"/>
      <c r="W37" s="400">
        <v>46357</v>
      </c>
    </row>
    <row r="38" spans="1:23" ht="15">
      <c r="A38" s="379">
        <v>46045</v>
      </c>
      <c r="B38" s="177" t="s">
        <v>841</v>
      </c>
      <c r="C38" s="389">
        <v>226</v>
      </c>
      <c r="D38" s="390" t="str">
        <f>VLOOKUP(C38,'MASTER Name List'!$B$3:$M$186,2,FALSE)</f>
        <v>锺镒壕</v>
      </c>
      <c r="E38" s="420">
        <v>46023</v>
      </c>
      <c r="F38" s="420">
        <v>46054</v>
      </c>
      <c r="G38" s="822" t="s">
        <v>801</v>
      </c>
      <c r="H38" s="657">
        <f t="shared" si="0"/>
        <v>2</v>
      </c>
      <c r="I38" s="656">
        <v>50</v>
      </c>
      <c r="J38" s="107">
        <f t="shared" si="1"/>
        <v>100</v>
      </c>
      <c r="K38" s="184"/>
      <c r="L38" s="184"/>
      <c r="M38" s="108">
        <v>5</v>
      </c>
      <c r="N38" s="819"/>
      <c r="O38" s="397"/>
      <c r="P38" s="394"/>
      <c r="Q38" s="399"/>
      <c r="S38" s="396"/>
      <c r="T38" s="396"/>
      <c r="W38" s="400">
        <v>46388</v>
      </c>
    </row>
    <row r="39" spans="1:23" ht="15">
      <c r="A39" s="379">
        <v>46048</v>
      </c>
      <c r="B39" s="177" t="s">
        <v>842</v>
      </c>
      <c r="C39" s="389">
        <v>178</v>
      </c>
      <c r="D39" s="390" t="str">
        <f>VLOOKUP(C39,'MASTER Name List'!$B$3:$M$186,2,FALSE)</f>
        <v>颜美葒</v>
      </c>
      <c r="E39" s="420">
        <v>46054</v>
      </c>
      <c r="F39" s="420">
        <v>46054</v>
      </c>
      <c r="G39" s="824">
        <v>46054</v>
      </c>
      <c r="H39" s="657">
        <f t="shared" si="0"/>
        <v>1</v>
      </c>
      <c r="I39" s="656">
        <v>50</v>
      </c>
      <c r="J39" s="107">
        <f t="shared" si="1"/>
        <v>50</v>
      </c>
      <c r="K39" s="184"/>
      <c r="L39" s="184"/>
      <c r="M39" s="108">
        <v>5</v>
      </c>
      <c r="N39" s="819"/>
      <c r="O39" s="397"/>
      <c r="P39" s="394"/>
      <c r="Q39" s="399"/>
      <c r="S39" s="396"/>
      <c r="T39" s="396"/>
      <c r="W39" s="400">
        <v>46419</v>
      </c>
    </row>
    <row r="40" spans="1:23" ht="15">
      <c r="A40" s="379">
        <v>46049</v>
      </c>
      <c r="B40" s="177" t="s">
        <v>843</v>
      </c>
      <c r="C40" s="644">
        <v>132</v>
      </c>
      <c r="D40" s="390" t="str">
        <f>VLOOKUP(C40,'MASTER Name List'!$B$3:$M$186,2,FALSE)</f>
        <v>陈杍䍿</v>
      </c>
      <c r="E40" s="645">
        <v>45992</v>
      </c>
      <c r="F40" s="645">
        <v>46054</v>
      </c>
      <c r="G40" s="825" t="s">
        <v>804</v>
      </c>
      <c r="H40" s="657">
        <f t="shared" si="0"/>
        <v>3</v>
      </c>
      <c r="I40" s="656">
        <v>50</v>
      </c>
      <c r="J40" s="107">
        <f t="shared" si="1"/>
        <v>150</v>
      </c>
      <c r="K40" s="184"/>
      <c r="L40" s="184"/>
      <c r="M40" s="108">
        <v>5</v>
      </c>
      <c r="N40" s="819"/>
      <c r="O40" s="397"/>
      <c r="P40" s="394"/>
      <c r="Q40" s="399"/>
      <c r="S40" s="396"/>
      <c r="T40" s="396"/>
      <c r="W40" s="400">
        <v>46447</v>
      </c>
    </row>
    <row r="41" spans="1:23" ht="15">
      <c r="A41" s="379">
        <v>46053</v>
      </c>
      <c r="B41" s="177" t="s">
        <v>844</v>
      </c>
      <c r="C41" s="646">
        <v>131</v>
      </c>
      <c r="D41" s="390" t="str">
        <f>VLOOKUP(C41,'MASTER Name List'!$B$3:$M$186,2,FALSE)</f>
        <v>王康芬</v>
      </c>
      <c r="E41" s="647">
        <v>46023</v>
      </c>
      <c r="F41" s="647">
        <v>46023</v>
      </c>
      <c r="G41" s="826">
        <v>46023</v>
      </c>
      <c r="H41" s="657">
        <f t="shared" si="0"/>
        <v>1</v>
      </c>
      <c r="I41" s="656">
        <v>50</v>
      </c>
      <c r="J41" s="107">
        <f t="shared" si="1"/>
        <v>50</v>
      </c>
      <c r="K41" s="184"/>
      <c r="L41" s="184"/>
      <c r="M41" s="108">
        <v>5</v>
      </c>
      <c r="N41" s="819"/>
      <c r="O41" s="397"/>
      <c r="P41" s="394"/>
      <c r="Q41" s="399"/>
      <c r="S41" s="396"/>
      <c r="T41" s="396"/>
      <c r="W41" s="400">
        <v>46478</v>
      </c>
    </row>
    <row r="42" spans="1:23" ht="15">
      <c r="A42" s="379"/>
      <c r="B42" s="177" t="s">
        <v>845</v>
      </c>
      <c r="C42" s="646"/>
      <c r="D42" s="390" t="e">
        <f>VLOOKUP(C42,'MASTER Name List'!$B$3:$M$186,2,FALSE)</f>
        <v>#N/A</v>
      </c>
      <c r="E42" s="647"/>
      <c r="F42" s="647"/>
      <c r="G42" s="827" t="s">
        <v>846</v>
      </c>
      <c r="H42" s="657">
        <f t="shared" si="0"/>
        <v>1</v>
      </c>
      <c r="I42" s="656">
        <v>50</v>
      </c>
      <c r="J42" s="107" t="str">
        <f t="shared" si="1"/>
        <v>-</v>
      </c>
      <c r="K42" s="184"/>
      <c r="L42" s="184"/>
      <c r="M42" s="108"/>
      <c r="N42" s="819">
        <f>SUMIF(M:M,"5",J:J)</f>
        <v>1200</v>
      </c>
      <c r="O42" s="397" t="s">
        <v>847</v>
      </c>
      <c r="P42" s="394"/>
      <c r="Q42" s="399"/>
      <c r="S42" s="396"/>
      <c r="T42" s="396"/>
      <c r="W42" s="400">
        <v>46508</v>
      </c>
    </row>
    <row r="43" spans="1:23" ht="15">
      <c r="A43" s="379"/>
      <c r="B43" s="648"/>
      <c r="C43" s="649"/>
      <c r="D43" s="650"/>
      <c r="E43" s="651"/>
      <c r="F43" s="651"/>
      <c r="G43" s="828"/>
      <c r="H43" s="652"/>
      <c r="I43" s="653"/>
      <c r="J43" s="654"/>
      <c r="K43" s="184"/>
      <c r="L43" s="184"/>
      <c r="M43" s="108"/>
      <c r="N43" s="819"/>
      <c r="O43" s="397"/>
      <c r="P43" s="394"/>
      <c r="Q43" s="399"/>
      <c r="S43" s="396"/>
      <c r="T43" s="396"/>
      <c r="W43" s="400">
        <v>46539</v>
      </c>
    </row>
    <row r="44" spans="1:23" ht="15">
      <c r="A44" s="379"/>
      <c r="B44" s="177"/>
      <c r="C44" s="389"/>
      <c r="D44" s="390"/>
      <c r="E44" s="420"/>
      <c r="F44" s="420"/>
      <c r="G44" s="402"/>
      <c r="H44" s="643"/>
      <c r="I44" s="404"/>
      <c r="J44" s="107"/>
      <c r="K44" s="107"/>
      <c r="L44" s="107"/>
      <c r="M44" s="108"/>
      <c r="N44" s="819"/>
      <c r="O44" s="397"/>
      <c r="P44" s="394"/>
      <c r="Q44" s="399"/>
      <c r="S44" s="396"/>
      <c r="T44" s="396"/>
      <c r="W44" s="400">
        <v>46569</v>
      </c>
    </row>
    <row r="45" spans="1:23" ht="15">
      <c r="A45" s="379"/>
      <c r="B45" s="405" t="s">
        <v>487</v>
      </c>
      <c r="C45" s="389"/>
      <c r="D45" s="390"/>
      <c r="E45" s="420"/>
      <c r="F45" s="420"/>
      <c r="G45" s="391"/>
      <c r="H45" s="406"/>
      <c r="I45" s="656"/>
      <c r="J45" s="107"/>
      <c r="K45" s="107"/>
      <c r="L45" s="107"/>
      <c r="M45" s="108"/>
      <c r="N45" s="819"/>
      <c r="O45" s="397"/>
      <c r="P45" s="394"/>
      <c r="Q45" s="399"/>
      <c r="S45" s="396"/>
      <c r="T45" s="396"/>
      <c r="W45" s="400">
        <v>46600</v>
      </c>
    </row>
    <row r="46" spans="1:23" ht="15">
      <c r="A46" s="379">
        <v>46023</v>
      </c>
      <c r="B46" s="407" t="s">
        <v>1758</v>
      </c>
      <c r="C46" s="389">
        <v>175</v>
      </c>
      <c r="D46" s="390" t="str">
        <f>VLOOKUP(C46,'MASTER Name List'!$B$3:$M$186,2,FALSE)</f>
        <v>洪鼎惟</v>
      </c>
      <c r="E46" s="420">
        <v>46023</v>
      </c>
      <c r="F46" s="420">
        <v>46023</v>
      </c>
      <c r="G46" s="391">
        <v>46023</v>
      </c>
      <c r="H46" s="657">
        <f t="shared" ref="H46:H63" si="2">DATEDIF(E46,F46,"M")+1</f>
        <v>1</v>
      </c>
      <c r="I46" s="656">
        <v>50</v>
      </c>
      <c r="J46" s="184"/>
      <c r="K46" s="184"/>
      <c r="L46" s="107">
        <f>IF($C46="","-",$H46*$I46)</f>
        <v>50</v>
      </c>
      <c r="M46" s="108"/>
      <c r="N46" s="819"/>
      <c r="O46" s="397"/>
      <c r="P46" s="394" t="s">
        <v>125</v>
      </c>
      <c r="Q46" s="399" t="s">
        <v>148</v>
      </c>
      <c r="S46" s="396"/>
      <c r="T46" s="396"/>
      <c r="W46" s="400">
        <v>46631</v>
      </c>
    </row>
    <row r="47" spans="1:23" ht="15">
      <c r="A47" s="379">
        <v>46024</v>
      </c>
      <c r="B47" s="407" t="s">
        <v>1759</v>
      </c>
      <c r="C47" s="389">
        <v>139</v>
      </c>
      <c r="D47" s="390" t="str">
        <f>VLOOKUP(C47,'MASTER Name List'!$B$3:$M$186,2,FALSE)</f>
        <v>黄宝芝</v>
      </c>
      <c r="E47" s="420">
        <v>46023</v>
      </c>
      <c r="F47" s="420">
        <v>46054</v>
      </c>
      <c r="G47" s="726" t="s">
        <v>801</v>
      </c>
      <c r="H47" s="657">
        <f t="shared" si="2"/>
        <v>2</v>
      </c>
      <c r="I47" s="656">
        <v>50</v>
      </c>
      <c r="J47" s="184"/>
      <c r="K47" s="184"/>
      <c r="L47" s="107">
        <f t="shared" ref="L47:L64" si="3">IF($C47="","-",$H47*$I47)</f>
        <v>100</v>
      </c>
      <c r="M47" s="108"/>
      <c r="N47" s="819"/>
      <c r="O47" s="397"/>
      <c r="P47" s="394" t="s">
        <v>125</v>
      </c>
      <c r="Q47" s="823" t="s">
        <v>420</v>
      </c>
      <c r="S47" s="396"/>
      <c r="T47" s="396"/>
      <c r="W47" s="400">
        <v>46661</v>
      </c>
    </row>
    <row r="48" spans="1:23" ht="15">
      <c r="A48" s="379">
        <v>46024</v>
      </c>
      <c r="B48" s="407" t="s">
        <v>1760</v>
      </c>
      <c r="C48" s="389">
        <v>61</v>
      </c>
      <c r="D48" s="390" t="str">
        <f>VLOOKUP(C48,'MASTER Name List'!$B$3:$M$186,2,FALSE)</f>
        <v>黄素彬</v>
      </c>
      <c r="E48" s="420">
        <v>46204</v>
      </c>
      <c r="F48" s="420">
        <v>46235</v>
      </c>
      <c r="G48" s="726" t="s">
        <v>848</v>
      </c>
      <c r="H48" s="657">
        <f t="shared" si="2"/>
        <v>2</v>
      </c>
      <c r="I48" s="656">
        <v>50</v>
      </c>
      <c r="J48" s="184"/>
      <c r="K48" s="184"/>
      <c r="L48" s="107">
        <f t="shared" si="3"/>
        <v>100</v>
      </c>
      <c r="M48" s="108"/>
      <c r="N48" s="819"/>
      <c r="O48" s="397"/>
      <c r="P48" s="394" t="s">
        <v>125</v>
      </c>
      <c r="Q48" s="823" t="s">
        <v>849</v>
      </c>
      <c r="S48" s="396"/>
      <c r="T48" s="396"/>
      <c r="W48" s="400">
        <v>46692</v>
      </c>
    </row>
    <row r="49" spans="1:23" ht="15">
      <c r="A49" s="379">
        <v>46027</v>
      </c>
      <c r="B49" s="407" t="s">
        <v>1761</v>
      </c>
      <c r="C49" s="389">
        <v>116</v>
      </c>
      <c r="D49" s="390" t="str">
        <f>VLOOKUP(C49,'MASTER Name List'!$B$3:$M$186,2,FALSE)</f>
        <v>李薇薇</v>
      </c>
      <c r="E49" s="420">
        <v>46023</v>
      </c>
      <c r="F49" s="420">
        <v>46023</v>
      </c>
      <c r="G49" s="726">
        <v>46023</v>
      </c>
      <c r="H49" s="657">
        <f t="shared" si="2"/>
        <v>1</v>
      </c>
      <c r="I49" s="656">
        <v>50</v>
      </c>
      <c r="J49" s="184"/>
      <c r="K49" s="184"/>
      <c r="L49" s="107">
        <f t="shared" si="3"/>
        <v>50</v>
      </c>
      <c r="M49" s="108"/>
      <c r="N49" s="819"/>
      <c r="O49" s="408"/>
      <c r="P49" s="394" t="s">
        <v>125</v>
      </c>
      <c r="Q49" s="399" t="s">
        <v>133</v>
      </c>
      <c r="S49" s="396"/>
      <c r="T49" s="396"/>
      <c r="W49" s="400">
        <v>46722</v>
      </c>
    </row>
    <row r="50" spans="1:23" ht="15">
      <c r="A50" s="379">
        <v>46027</v>
      </c>
      <c r="B50" s="407" t="s">
        <v>1762</v>
      </c>
      <c r="C50" s="389">
        <v>117</v>
      </c>
      <c r="D50" s="390" t="str">
        <f>VLOOKUP(C50,'MASTER Name List'!$B$3:$M$186,2,FALSE)</f>
        <v>张志文</v>
      </c>
      <c r="E50" s="420">
        <v>46023</v>
      </c>
      <c r="F50" s="420">
        <v>46023</v>
      </c>
      <c r="G50" s="726">
        <v>46023</v>
      </c>
      <c r="H50" s="657">
        <f t="shared" si="2"/>
        <v>1</v>
      </c>
      <c r="I50" s="656">
        <v>50</v>
      </c>
      <c r="J50" s="184"/>
      <c r="K50" s="184"/>
      <c r="L50" s="107">
        <f t="shared" si="3"/>
        <v>50</v>
      </c>
      <c r="M50" s="108"/>
      <c r="N50" s="819"/>
      <c r="O50" s="397"/>
      <c r="P50" s="394" t="s">
        <v>125</v>
      </c>
      <c r="Q50" s="399" t="s">
        <v>685</v>
      </c>
      <c r="S50" s="396"/>
      <c r="T50" s="396"/>
      <c r="W50" s="400">
        <v>46753</v>
      </c>
    </row>
    <row r="51" spans="1:23" ht="15">
      <c r="A51" s="379">
        <v>46027</v>
      </c>
      <c r="B51" s="407" t="s">
        <v>1763</v>
      </c>
      <c r="C51" s="389">
        <v>174</v>
      </c>
      <c r="D51" s="390" t="str">
        <f>VLOOKUP(C51,'MASTER Name List'!$B$3:$M$186,2,FALSE)</f>
        <v>许茹慧</v>
      </c>
      <c r="E51" s="420">
        <v>45658</v>
      </c>
      <c r="F51" s="420">
        <v>45992</v>
      </c>
      <c r="G51" s="726" t="s">
        <v>610</v>
      </c>
      <c r="H51" s="422">
        <f t="shared" si="2"/>
        <v>12</v>
      </c>
      <c r="I51" s="392">
        <v>50</v>
      </c>
      <c r="J51" s="184"/>
      <c r="K51" s="184"/>
      <c r="L51" s="107">
        <f t="shared" si="3"/>
        <v>600</v>
      </c>
      <c r="M51" s="108"/>
      <c r="N51" s="819"/>
      <c r="O51" s="397"/>
      <c r="P51" s="394" t="s">
        <v>125</v>
      </c>
      <c r="Q51" s="821" t="s">
        <v>850</v>
      </c>
      <c r="S51" s="396"/>
      <c r="T51" s="396"/>
      <c r="W51" s="400">
        <v>46784</v>
      </c>
    </row>
    <row r="52" spans="1:23" ht="15">
      <c r="A52" s="379">
        <v>46027</v>
      </c>
      <c r="B52" s="407" t="s">
        <v>1764</v>
      </c>
      <c r="C52" s="389">
        <v>174</v>
      </c>
      <c r="D52" s="390" t="str">
        <f>VLOOKUP(C52,'MASTER Name List'!$B$3:$M$186,2,FALSE)</f>
        <v>许茹慧</v>
      </c>
      <c r="E52" s="420">
        <v>46023</v>
      </c>
      <c r="F52" s="420">
        <v>46357</v>
      </c>
      <c r="G52" s="726" t="s">
        <v>786</v>
      </c>
      <c r="H52" s="422">
        <f t="shared" si="2"/>
        <v>12</v>
      </c>
      <c r="I52" s="392">
        <v>50</v>
      </c>
      <c r="J52" s="184"/>
      <c r="K52" s="184"/>
      <c r="L52" s="107">
        <f t="shared" si="3"/>
        <v>600</v>
      </c>
      <c r="M52" s="108"/>
      <c r="N52" s="819"/>
      <c r="O52" s="397"/>
      <c r="P52" s="394" t="s">
        <v>125</v>
      </c>
      <c r="Q52" s="821" t="s">
        <v>850</v>
      </c>
      <c r="S52" s="396"/>
      <c r="T52" s="396"/>
      <c r="W52" s="400">
        <v>46813</v>
      </c>
    </row>
    <row r="53" spans="1:23" ht="15">
      <c r="A53" s="379">
        <v>46036</v>
      </c>
      <c r="B53" s="407" t="s">
        <v>1765</v>
      </c>
      <c r="C53" s="389">
        <v>134</v>
      </c>
      <c r="D53" s="390" t="str">
        <f>VLOOKUP(C53,'MASTER Name List'!$B$3:$M$186,2,FALSE)</f>
        <v>黄丽萍</v>
      </c>
      <c r="E53" s="420">
        <v>45962</v>
      </c>
      <c r="F53" s="420">
        <v>46357</v>
      </c>
      <c r="G53" s="726" t="s">
        <v>851</v>
      </c>
      <c r="H53" s="422">
        <f t="shared" si="2"/>
        <v>14</v>
      </c>
      <c r="I53" s="392">
        <v>50</v>
      </c>
      <c r="J53" s="184"/>
      <c r="K53" s="184"/>
      <c r="L53" s="107">
        <f t="shared" si="3"/>
        <v>700</v>
      </c>
      <c r="M53" s="108"/>
      <c r="N53" s="819"/>
      <c r="O53" s="397"/>
      <c r="P53" s="363" t="s">
        <v>125</v>
      </c>
      <c r="Q53" s="823" t="s">
        <v>852</v>
      </c>
      <c r="S53" s="396"/>
      <c r="T53" s="396"/>
      <c r="W53" s="400">
        <v>46844</v>
      </c>
    </row>
    <row r="54" spans="1:23" ht="15">
      <c r="A54" s="379">
        <v>46036</v>
      </c>
      <c r="B54" s="407" t="s">
        <v>1766</v>
      </c>
      <c r="C54" s="389">
        <v>135</v>
      </c>
      <c r="D54" s="390" t="str">
        <f>VLOOKUP(C54,'MASTER Name List'!$B$3:$M$186,2,FALSE)</f>
        <v>刘永耀</v>
      </c>
      <c r="E54" s="420">
        <v>45962</v>
      </c>
      <c r="F54" s="420">
        <v>46357</v>
      </c>
      <c r="G54" s="726" t="s">
        <v>851</v>
      </c>
      <c r="H54" s="422">
        <f t="shared" si="2"/>
        <v>14</v>
      </c>
      <c r="I54" s="392">
        <v>50</v>
      </c>
      <c r="J54" s="184"/>
      <c r="K54" s="184"/>
      <c r="L54" s="107">
        <f t="shared" si="3"/>
        <v>700</v>
      </c>
      <c r="M54" s="108"/>
      <c r="N54" s="819"/>
      <c r="O54" s="397"/>
      <c r="P54" s="397" t="s">
        <v>125</v>
      </c>
      <c r="Q54" s="821" t="s">
        <v>853</v>
      </c>
      <c r="S54" s="396"/>
      <c r="T54" s="396"/>
      <c r="W54" s="400">
        <v>46874</v>
      </c>
    </row>
    <row r="55" spans="1:23" ht="15">
      <c r="A55" s="379">
        <v>46036</v>
      </c>
      <c r="B55" s="407" t="s">
        <v>1767</v>
      </c>
      <c r="C55" s="389">
        <v>172</v>
      </c>
      <c r="D55" s="390" t="str">
        <f>VLOOKUP(C55,'MASTER Name List'!$B$3:$M$186,2,FALSE)</f>
        <v>蔡均镅</v>
      </c>
      <c r="E55" s="420">
        <v>46023</v>
      </c>
      <c r="F55" s="420">
        <v>46054</v>
      </c>
      <c r="G55" s="726" t="s">
        <v>801</v>
      </c>
      <c r="H55" s="422">
        <f t="shared" si="2"/>
        <v>2</v>
      </c>
      <c r="I55" s="392">
        <v>50</v>
      </c>
      <c r="J55" s="184"/>
      <c r="K55" s="184"/>
      <c r="L55" s="107">
        <f t="shared" si="3"/>
        <v>100</v>
      </c>
      <c r="M55" s="108"/>
      <c r="N55" s="819"/>
      <c r="O55" s="397"/>
      <c r="P55" s="394" t="s">
        <v>125</v>
      </c>
      <c r="Q55" s="821" t="s">
        <v>194</v>
      </c>
      <c r="S55" s="396"/>
      <c r="T55" s="396"/>
      <c r="W55" s="400">
        <v>46905</v>
      </c>
    </row>
    <row r="56" spans="1:23" ht="15">
      <c r="A56" s="379">
        <v>46038</v>
      </c>
      <c r="B56" s="407" t="s">
        <v>1768</v>
      </c>
      <c r="C56" s="389">
        <v>68</v>
      </c>
      <c r="D56" s="390" t="str">
        <f>VLOOKUP(C56,'MASTER Name List'!$B$3:$M$186,2,FALSE)</f>
        <v>沈观胜</v>
      </c>
      <c r="E56" s="420">
        <v>46023</v>
      </c>
      <c r="F56" s="420">
        <v>46082</v>
      </c>
      <c r="G56" s="726" t="s">
        <v>795</v>
      </c>
      <c r="H56" s="422">
        <f t="shared" si="2"/>
        <v>3</v>
      </c>
      <c r="I56" s="392">
        <v>50</v>
      </c>
      <c r="J56" s="184"/>
      <c r="K56" s="184"/>
      <c r="L56" s="107">
        <f t="shared" si="3"/>
        <v>150</v>
      </c>
      <c r="M56" s="108"/>
      <c r="N56" s="819"/>
      <c r="O56" s="397"/>
      <c r="P56" s="394" t="s">
        <v>125</v>
      </c>
      <c r="Q56" s="821" t="s">
        <v>211</v>
      </c>
      <c r="S56" s="396"/>
      <c r="T56" s="396"/>
      <c r="W56" s="400">
        <v>46935</v>
      </c>
    </row>
    <row r="57" spans="1:23" ht="15">
      <c r="A57" s="379">
        <v>46045</v>
      </c>
      <c r="B57" s="407" t="s">
        <v>1769</v>
      </c>
      <c r="C57" s="389">
        <v>94</v>
      </c>
      <c r="D57" s="390" t="str">
        <f>VLOOKUP(C57,'MASTER Name List'!$B$3:$M$186,2,FALSE)</f>
        <v>余合福</v>
      </c>
      <c r="E57" s="709">
        <v>46204</v>
      </c>
      <c r="F57" s="709">
        <v>46539</v>
      </c>
      <c r="G57" s="726" t="s">
        <v>854</v>
      </c>
      <c r="H57" s="422">
        <f t="shared" si="2"/>
        <v>12</v>
      </c>
      <c r="I57" s="392">
        <v>50</v>
      </c>
      <c r="J57" s="184"/>
      <c r="K57" s="184"/>
      <c r="L57" s="107">
        <f t="shared" si="3"/>
        <v>600</v>
      </c>
      <c r="M57" s="108"/>
      <c r="N57" s="819"/>
      <c r="O57" s="397"/>
      <c r="P57" s="394" t="s">
        <v>125</v>
      </c>
      <c r="Q57" s="821" t="s">
        <v>855</v>
      </c>
      <c r="S57" s="396"/>
      <c r="T57" s="396"/>
      <c r="W57" s="400">
        <v>46966</v>
      </c>
    </row>
    <row r="58" spans="1:23" ht="15">
      <c r="A58" s="379">
        <v>46047</v>
      </c>
      <c r="B58" s="407" t="s">
        <v>1770</v>
      </c>
      <c r="C58" s="389">
        <v>50</v>
      </c>
      <c r="D58" s="390" t="str">
        <f>VLOOKUP(C58,'MASTER Name List'!$B$3:$M$186,2,FALSE)</f>
        <v>陈俊达</v>
      </c>
      <c r="E58" s="420">
        <v>46023</v>
      </c>
      <c r="F58" s="420">
        <v>46357</v>
      </c>
      <c r="G58" s="726" t="s">
        <v>786</v>
      </c>
      <c r="H58" s="422">
        <f t="shared" si="2"/>
        <v>12</v>
      </c>
      <c r="I58" s="392">
        <v>50</v>
      </c>
      <c r="J58" s="184"/>
      <c r="K58" s="184"/>
      <c r="L58" s="107">
        <f t="shared" si="3"/>
        <v>600</v>
      </c>
      <c r="M58" s="108"/>
      <c r="N58" s="819"/>
      <c r="O58" s="397"/>
      <c r="P58" s="394" t="s">
        <v>125</v>
      </c>
      <c r="Q58" s="821" t="s">
        <v>611</v>
      </c>
      <c r="S58" s="396"/>
      <c r="T58" s="396"/>
      <c r="W58" s="400">
        <v>46997</v>
      </c>
    </row>
    <row r="59" spans="1:23" ht="15">
      <c r="A59" s="379">
        <v>46047</v>
      </c>
      <c r="B59" s="407" t="s">
        <v>1771</v>
      </c>
      <c r="C59" s="389">
        <v>137</v>
      </c>
      <c r="D59" s="390" t="str">
        <f>VLOOKUP(C59,'MASTER Name List'!$B$3:$M$186,2,FALSE)</f>
        <v>赖美珍</v>
      </c>
      <c r="E59" s="420">
        <v>46023</v>
      </c>
      <c r="F59" s="420">
        <v>46023</v>
      </c>
      <c r="G59" s="391">
        <v>46023</v>
      </c>
      <c r="H59" s="422">
        <f t="shared" si="2"/>
        <v>1</v>
      </c>
      <c r="I59" s="392">
        <v>50</v>
      </c>
      <c r="J59" s="184"/>
      <c r="K59" s="184"/>
      <c r="L59" s="107">
        <f t="shared" si="3"/>
        <v>50</v>
      </c>
      <c r="M59" s="108"/>
      <c r="N59" s="819"/>
      <c r="O59" s="397"/>
      <c r="P59" s="394" t="s">
        <v>325</v>
      </c>
      <c r="Q59" s="409" t="s">
        <v>606</v>
      </c>
      <c r="S59" s="396"/>
      <c r="T59" s="396"/>
      <c r="W59" s="400">
        <v>47027</v>
      </c>
    </row>
    <row r="60" spans="1:23" ht="15">
      <c r="A60" s="379">
        <v>46048</v>
      </c>
      <c r="B60" s="407" t="s">
        <v>1772</v>
      </c>
      <c r="C60" s="389">
        <v>64</v>
      </c>
      <c r="D60" s="390" t="str">
        <f>VLOOKUP(C60,'MASTER Name List'!$B$3:$M$186,2,FALSE)</f>
        <v>韦素枝</v>
      </c>
      <c r="E60" s="420">
        <v>46023</v>
      </c>
      <c r="F60" s="420">
        <v>46113</v>
      </c>
      <c r="G60" s="726" t="s">
        <v>826</v>
      </c>
      <c r="H60" s="422">
        <f t="shared" si="2"/>
        <v>4</v>
      </c>
      <c r="I60" s="392">
        <v>50</v>
      </c>
      <c r="J60" s="184"/>
      <c r="K60" s="184"/>
      <c r="L60" s="107">
        <f t="shared" si="3"/>
        <v>200</v>
      </c>
      <c r="M60" s="108"/>
      <c r="N60" s="819"/>
      <c r="O60" s="397"/>
      <c r="P60" s="394" t="s">
        <v>125</v>
      </c>
      <c r="Q60" s="409" t="s">
        <v>672</v>
      </c>
      <c r="S60" s="396"/>
      <c r="T60" s="396"/>
      <c r="W60" s="400">
        <v>47058</v>
      </c>
    </row>
    <row r="61" spans="1:23" ht="15">
      <c r="A61" s="379">
        <v>46052</v>
      </c>
      <c r="B61" s="407" t="s">
        <v>1773</v>
      </c>
      <c r="C61" s="389">
        <v>155</v>
      </c>
      <c r="D61" s="390" t="str">
        <f>VLOOKUP(C61,'MASTER Name List'!$B$3:$M$186,2,FALSE)</f>
        <v>李宝珠</v>
      </c>
      <c r="E61" s="420">
        <v>46023</v>
      </c>
      <c r="F61" s="420">
        <v>46082</v>
      </c>
      <c r="G61" s="726" t="s">
        <v>795</v>
      </c>
      <c r="H61" s="422">
        <f t="shared" si="2"/>
        <v>3</v>
      </c>
      <c r="I61" s="392">
        <v>50</v>
      </c>
      <c r="J61" s="184"/>
      <c r="K61" s="184"/>
      <c r="L61" s="107">
        <f t="shared" si="3"/>
        <v>150</v>
      </c>
      <c r="M61" s="108"/>
      <c r="N61" s="819"/>
      <c r="O61" s="397"/>
      <c r="P61" s="394" t="s">
        <v>125</v>
      </c>
      <c r="Q61" s="821" t="s">
        <v>856</v>
      </c>
      <c r="S61" s="396"/>
      <c r="T61" s="396"/>
      <c r="W61" s="400">
        <v>47088</v>
      </c>
    </row>
    <row r="62" spans="1:23" ht="15">
      <c r="A62" s="379"/>
      <c r="B62" s="407"/>
      <c r="C62" s="389"/>
      <c r="D62" s="390" t="e">
        <f>VLOOKUP(C62,'MASTER Name List'!$B$3:$M$186,2,FALSE)</f>
        <v>#N/A</v>
      </c>
      <c r="E62" s="420"/>
      <c r="F62" s="420"/>
      <c r="G62" s="391"/>
      <c r="H62" s="422">
        <f t="shared" si="2"/>
        <v>1</v>
      </c>
      <c r="I62" s="392">
        <v>50</v>
      </c>
      <c r="J62" s="184"/>
      <c r="K62" s="184"/>
      <c r="L62" s="107" t="str">
        <f t="shared" si="3"/>
        <v>-</v>
      </c>
      <c r="M62" s="108"/>
      <c r="N62" s="819"/>
      <c r="O62" s="397"/>
      <c r="P62" s="394"/>
      <c r="Q62" s="409"/>
      <c r="S62" s="396"/>
      <c r="T62" s="396"/>
    </row>
    <row r="63" spans="1:23" ht="15">
      <c r="A63" s="379"/>
      <c r="B63" s="407"/>
      <c r="C63" s="389"/>
      <c r="D63" s="390" t="e">
        <f>VLOOKUP(C63,'MASTER Name List'!$B$3:$M$186,2,FALSE)</f>
        <v>#N/A</v>
      </c>
      <c r="E63" s="420"/>
      <c r="F63" s="420"/>
      <c r="G63" s="391"/>
      <c r="H63" s="422">
        <f t="shared" si="2"/>
        <v>1</v>
      </c>
      <c r="I63" s="392">
        <v>50</v>
      </c>
      <c r="J63" s="184"/>
      <c r="K63" s="184"/>
      <c r="L63" s="107" t="str">
        <f t="shared" si="3"/>
        <v>-</v>
      </c>
      <c r="M63" s="108"/>
      <c r="N63" s="819"/>
      <c r="O63" s="397"/>
      <c r="P63" s="394"/>
      <c r="Q63" s="409"/>
      <c r="S63" s="396"/>
      <c r="T63" s="396"/>
    </row>
    <row r="64" spans="1:23" ht="15">
      <c r="A64" s="379"/>
      <c r="B64" s="389"/>
      <c r="C64" s="389"/>
      <c r="D64" s="390"/>
      <c r="E64" s="420"/>
      <c r="F64" s="420"/>
      <c r="G64" s="402"/>
      <c r="H64" s="403"/>
      <c r="I64" s="404"/>
      <c r="J64" s="184"/>
      <c r="K64" s="184"/>
      <c r="L64" s="107" t="str">
        <f t="shared" si="3"/>
        <v>-</v>
      </c>
      <c r="M64" s="108"/>
      <c r="N64" s="819"/>
      <c r="O64" s="397"/>
      <c r="P64" s="410"/>
      <c r="Q64" s="409"/>
      <c r="S64" s="396"/>
      <c r="T64" s="396"/>
    </row>
    <row r="65" spans="1:17" ht="15">
      <c r="A65" s="379"/>
      <c r="B65" s="411"/>
      <c r="C65" s="412"/>
      <c r="D65" s="413"/>
      <c r="E65" s="421"/>
      <c r="F65" s="421"/>
      <c r="G65" s="414"/>
      <c r="H65" s="415"/>
      <c r="I65" s="416"/>
      <c r="J65" s="124"/>
      <c r="K65" s="124"/>
      <c r="L65" s="124"/>
      <c r="M65" s="125"/>
      <c r="N65" s="417"/>
      <c r="O65" s="417"/>
      <c r="P65" s="417"/>
    </row>
    <row r="66" spans="1:17" ht="15">
      <c r="B66" s="418"/>
      <c r="C66" s="418"/>
      <c r="J66" s="128"/>
      <c r="K66" s="128"/>
      <c r="L66" s="128"/>
      <c r="M66" s="129"/>
    </row>
    <row r="67" spans="1:17" ht="15.6" thickBot="1">
      <c r="B67" s="418"/>
      <c r="C67" s="418"/>
      <c r="J67" s="130">
        <f>SUM(J8:J66)</f>
        <v>8850</v>
      </c>
      <c r="K67" s="130">
        <f>SUM(K8:K66)</f>
        <v>0</v>
      </c>
      <c r="L67" s="130">
        <f>SUM(L8:L66)</f>
        <v>4800</v>
      </c>
      <c r="M67" s="131"/>
      <c r="N67" s="132">
        <f>SUM(N8:N66)</f>
        <v>8850</v>
      </c>
    </row>
    <row r="68" spans="1:17" ht="15" thickTop="1">
      <c r="J68" s="133"/>
      <c r="K68" s="133"/>
      <c r="L68" s="133"/>
      <c r="M68" s="129"/>
    </row>
    <row r="69" spans="1:17" s="363" customFormat="1">
      <c r="G69" s="364"/>
      <c r="I69" s="365"/>
      <c r="J69" s="419"/>
      <c r="K69" s="419"/>
      <c r="L69" s="419"/>
      <c r="Q69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46:F63 E9:F43" xr:uid="{BA87C44D-61A2-4640-A11C-63916BD8E062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F83E-FB3E-45D4-BD58-C8040046DC7E}">
  <sheetPr>
    <tabColor rgb="FF00B0F0"/>
  </sheetPr>
  <dimension ref="A4:W69"/>
  <sheetViews>
    <sheetView zoomScale="110" zoomScaleNormal="110" workbookViewId="0">
      <pane ySplit="8" topLeftCell="A48" activePane="bottomLeft" state="frozen"/>
      <selection pane="bottomLeft" activeCell="E55" sqref="E55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857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46054</v>
      </c>
      <c r="B9" s="177" t="s">
        <v>845</v>
      </c>
      <c r="C9" s="389">
        <v>53</v>
      </c>
      <c r="D9" s="390" t="str">
        <f>VLOOKUP(C9,'MASTER Name List'!$B$3:$M$186,2,FALSE)</f>
        <v>张媄绮</v>
      </c>
      <c r="E9" s="420">
        <v>46023</v>
      </c>
      <c r="F9" s="420">
        <v>46357</v>
      </c>
      <c r="G9" s="726" t="s">
        <v>786</v>
      </c>
      <c r="H9" s="422">
        <f t="shared" ref="H9:H42" si="0">DATEDIF(E9,F9,"M")+1</f>
        <v>12</v>
      </c>
      <c r="I9" s="392">
        <v>50</v>
      </c>
      <c r="J9" s="107">
        <f>IF($C9="","-",$H9*$I9)</f>
        <v>600</v>
      </c>
      <c r="K9" s="184"/>
      <c r="L9" s="184"/>
      <c r="M9" s="108">
        <v>1</v>
      </c>
      <c r="N9" s="819"/>
      <c r="O9" s="393"/>
      <c r="P9" s="641" t="s">
        <v>818</v>
      </c>
      <c r="Q9" s="395"/>
      <c r="S9" s="396"/>
      <c r="T9" s="396"/>
    </row>
    <row r="10" spans="1:23" ht="15">
      <c r="A10" s="379">
        <v>46055</v>
      </c>
      <c r="B10" s="177" t="s">
        <v>858</v>
      </c>
      <c r="C10" s="389">
        <v>195</v>
      </c>
      <c r="D10" s="390" t="str">
        <f>VLOOKUP(C10,'MASTER Name List'!$B$3:$M$186,2,FALSE)</f>
        <v>田玉英</v>
      </c>
      <c r="E10" s="420">
        <v>46023</v>
      </c>
      <c r="F10" s="420">
        <v>46113</v>
      </c>
      <c r="G10" s="726" t="s">
        <v>826</v>
      </c>
      <c r="H10" s="422">
        <f t="shared" si="0"/>
        <v>4</v>
      </c>
      <c r="I10" s="392">
        <v>50</v>
      </c>
      <c r="J10" s="107">
        <f t="shared" ref="J10:J42" si="1">IF($C10="","-",$H10*$I10)</f>
        <v>200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46055</v>
      </c>
      <c r="B11" s="177" t="s">
        <v>859</v>
      </c>
      <c r="C11" s="389">
        <v>10</v>
      </c>
      <c r="D11" s="390" t="str">
        <f>VLOOKUP(C11,'MASTER Name List'!$B$3:$M$186,2,FALSE)</f>
        <v>吴添玉</v>
      </c>
      <c r="E11" s="420">
        <v>46023</v>
      </c>
      <c r="F11" s="420">
        <v>46357</v>
      </c>
      <c r="G11" s="726" t="s">
        <v>786</v>
      </c>
      <c r="H11" s="422">
        <f t="shared" si="0"/>
        <v>12</v>
      </c>
      <c r="I11" s="392">
        <v>50</v>
      </c>
      <c r="J11" s="107">
        <f t="shared" si="1"/>
        <v>600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46057</v>
      </c>
      <c r="B12" s="177" t="s">
        <v>860</v>
      </c>
      <c r="C12" s="389">
        <v>43</v>
      </c>
      <c r="D12" s="390" t="str">
        <f>VLOOKUP(C12,'MASTER Name List'!$B$3:$M$186,2,FALSE)</f>
        <v>林德成</v>
      </c>
      <c r="E12" s="420">
        <v>46023</v>
      </c>
      <c r="F12" s="420">
        <v>46054</v>
      </c>
      <c r="G12" s="726" t="s">
        <v>801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1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46060</v>
      </c>
      <c r="B13" s="177" t="s">
        <v>861</v>
      </c>
      <c r="C13" s="389">
        <v>23</v>
      </c>
      <c r="D13" s="390" t="str">
        <f>VLOOKUP(C13,'MASTER Name List'!$B$3:$M$186,2,FALSE)</f>
        <v>罗彩瑛</v>
      </c>
      <c r="E13" s="420">
        <v>46082</v>
      </c>
      <c r="F13" s="420">
        <v>46113</v>
      </c>
      <c r="G13" s="726" t="s">
        <v>862</v>
      </c>
      <c r="H13" s="422">
        <f t="shared" si="0"/>
        <v>2</v>
      </c>
      <c r="I13" s="392">
        <v>50</v>
      </c>
      <c r="J13" s="107">
        <f t="shared" si="1"/>
        <v>100</v>
      </c>
      <c r="K13" s="184"/>
      <c r="L13" s="184"/>
      <c r="M13" s="108">
        <v>1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46060</v>
      </c>
      <c r="B14" s="177" t="s">
        <v>863</v>
      </c>
      <c r="C14" s="389">
        <v>184</v>
      </c>
      <c r="D14" s="390" t="str">
        <f>VLOOKUP(C14,'MASTER Name List'!$B$3:$M$186,2,FALSE)</f>
        <v>赖奕坊</v>
      </c>
      <c r="E14" s="420">
        <v>46023</v>
      </c>
      <c r="F14" s="420">
        <v>46054</v>
      </c>
      <c r="G14" s="726" t="s">
        <v>801</v>
      </c>
      <c r="H14" s="422">
        <f t="shared" si="0"/>
        <v>2</v>
      </c>
      <c r="I14" s="392">
        <v>50</v>
      </c>
      <c r="J14" s="107">
        <f t="shared" si="1"/>
        <v>100</v>
      </c>
      <c r="K14" s="184"/>
      <c r="L14" s="184"/>
      <c r="M14" s="673">
        <v>1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46060</v>
      </c>
      <c r="B15" s="177" t="s">
        <v>864</v>
      </c>
      <c r="C15" s="389">
        <v>186</v>
      </c>
      <c r="D15" s="390" t="str">
        <f>VLOOKUP(C15,'MASTER Name List'!$B$3:$M$186,2,FALSE)</f>
        <v>刘玉云</v>
      </c>
      <c r="E15" s="420">
        <v>46023</v>
      </c>
      <c r="F15" s="420">
        <v>46113</v>
      </c>
      <c r="G15" s="726" t="s">
        <v>826</v>
      </c>
      <c r="H15" s="422">
        <f t="shared" si="0"/>
        <v>4</v>
      </c>
      <c r="I15" s="392">
        <v>50</v>
      </c>
      <c r="J15" s="107">
        <f t="shared" si="1"/>
        <v>200</v>
      </c>
      <c r="K15" s="184"/>
      <c r="L15" s="184"/>
      <c r="M15" s="108">
        <v>1</v>
      </c>
      <c r="N15" s="819">
        <f>SUMIF(M:M,"1",J:J)</f>
        <v>1900</v>
      </c>
      <c r="O15" s="397" t="s">
        <v>847</v>
      </c>
      <c r="Q15" s="399"/>
      <c r="S15" s="396"/>
      <c r="T15" s="396"/>
      <c r="W15" s="400">
        <v>45689</v>
      </c>
    </row>
    <row r="16" spans="1:23" ht="15">
      <c r="A16" s="379">
        <v>46062</v>
      </c>
      <c r="B16" s="177" t="s">
        <v>865</v>
      </c>
      <c r="C16" s="389">
        <v>208</v>
      </c>
      <c r="D16" s="390" t="str">
        <f>VLOOKUP(C16,'MASTER Name List'!$B$3:$M$186,2,FALSE)</f>
        <v>萧志倫</v>
      </c>
      <c r="E16" s="420">
        <v>46054</v>
      </c>
      <c r="F16" s="420">
        <v>46054</v>
      </c>
      <c r="G16" s="726">
        <v>46054</v>
      </c>
      <c r="H16" s="422">
        <f t="shared" si="0"/>
        <v>1</v>
      </c>
      <c r="I16" s="392">
        <v>50</v>
      </c>
      <c r="J16" s="107">
        <f t="shared" si="1"/>
        <v>50</v>
      </c>
      <c r="K16" s="184"/>
      <c r="L16" s="184"/>
      <c r="M16" s="675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46066</v>
      </c>
      <c r="B17" s="177" t="s">
        <v>866</v>
      </c>
      <c r="C17" s="389">
        <v>183</v>
      </c>
      <c r="D17" s="390" t="str">
        <f>VLOOKUP(C17,'MASTER Name List'!$B$3:$M$186,2,FALSE)</f>
        <v>郭丽诗</v>
      </c>
      <c r="E17" s="420">
        <v>46023</v>
      </c>
      <c r="F17" s="420">
        <v>46174</v>
      </c>
      <c r="G17" s="726" t="s">
        <v>755</v>
      </c>
      <c r="H17" s="422">
        <f t="shared" si="0"/>
        <v>6</v>
      </c>
      <c r="I17" s="392">
        <v>50</v>
      </c>
      <c r="J17" s="107">
        <f t="shared" si="1"/>
        <v>300</v>
      </c>
      <c r="K17" s="184"/>
      <c r="L17" s="184"/>
      <c r="M17" s="108">
        <v>2</v>
      </c>
      <c r="N17" s="819"/>
      <c r="O17" s="397"/>
      <c r="Q17" s="399"/>
      <c r="S17" s="396"/>
      <c r="T17" s="396"/>
      <c r="W17" s="400">
        <v>45748</v>
      </c>
    </row>
    <row r="18" spans="1:23" ht="15">
      <c r="A18" s="379">
        <v>46066</v>
      </c>
      <c r="B18" s="177" t="s">
        <v>867</v>
      </c>
      <c r="C18" s="389">
        <v>170</v>
      </c>
      <c r="D18" s="390" t="str">
        <f>VLOOKUP(C18,'MASTER Name List'!$B$3:$M$186,2,FALSE)</f>
        <v>陈柔霓</v>
      </c>
      <c r="E18" s="420">
        <v>46054</v>
      </c>
      <c r="F18" s="420">
        <v>46054</v>
      </c>
      <c r="G18" s="726">
        <v>46054</v>
      </c>
      <c r="H18" s="422">
        <f t="shared" si="0"/>
        <v>1</v>
      </c>
      <c r="I18" s="392">
        <v>50</v>
      </c>
      <c r="J18" s="107">
        <f t="shared" si="1"/>
        <v>50</v>
      </c>
      <c r="K18" s="184"/>
      <c r="L18" s="184"/>
      <c r="M18" s="108">
        <v>2</v>
      </c>
      <c r="N18" s="819"/>
      <c r="O18" s="397"/>
      <c r="P18" s="674"/>
      <c r="Q18" s="399"/>
      <c r="S18" s="396"/>
      <c r="T18" s="396"/>
      <c r="W18" s="400">
        <v>45778</v>
      </c>
    </row>
    <row r="19" spans="1:23" ht="15">
      <c r="A19" s="379">
        <v>46070</v>
      </c>
      <c r="B19" s="177" t="s">
        <v>868</v>
      </c>
      <c r="C19" s="389">
        <v>164</v>
      </c>
      <c r="D19" s="390" t="str">
        <f>VLOOKUP(C19,'MASTER Name List'!$B$3:$M$186,2,FALSE)</f>
        <v>梁佩仪</v>
      </c>
      <c r="E19" s="420">
        <v>46023</v>
      </c>
      <c r="F19" s="420">
        <v>46143</v>
      </c>
      <c r="G19" s="727" t="s">
        <v>869</v>
      </c>
      <c r="H19" s="422">
        <f t="shared" si="0"/>
        <v>5</v>
      </c>
      <c r="I19" s="392">
        <v>50</v>
      </c>
      <c r="J19" s="107">
        <f t="shared" si="1"/>
        <v>250</v>
      </c>
      <c r="K19" s="184"/>
      <c r="L19" s="184"/>
      <c r="M19" s="108">
        <v>2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46070</v>
      </c>
      <c r="B20" s="177" t="s">
        <v>870</v>
      </c>
      <c r="C20" s="389">
        <v>131</v>
      </c>
      <c r="D20" s="390" t="str">
        <f>VLOOKUP(C20,'MASTER Name List'!$B$3:$M$186,2,FALSE)</f>
        <v>王康芬</v>
      </c>
      <c r="E20" s="420">
        <v>46054</v>
      </c>
      <c r="F20" s="420">
        <v>46082</v>
      </c>
      <c r="G20" s="727" t="s">
        <v>613</v>
      </c>
      <c r="H20" s="422">
        <f t="shared" si="0"/>
        <v>2</v>
      </c>
      <c r="I20" s="392">
        <v>50</v>
      </c>
      <c r="J20" s="107">
        <f t="shared" si="1"/>
        <v>100</v>
      </c>
      <c r="K20" s="184"/>
      <c r="L20" s="184"/>
      <c r="M20" s="108">
        <v>2</v>
      </c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>
        <v>46070</v>
      </c>
      <c r="B21" s="177" t="s">
        <v>871</v>
      </c>
      <c r="C21" s="389">
        <v>148</v>
      </c>
      <c r="D21" s="390" t="str">
        <f>VLOOKUP(C21,'MASTER Name List'!$B$3:$M$186,2,FALSE)</f>
        <v>黄玉莲</v>
      </c>
      <c r="E21" s="420">
        <v>46023</v>
      </c>
      <c r="F21" s="420">
        <v>46357</v>
      </c>
      <c r="G21" s="727" t="s">
        <v>786</v>
      </c>
      <c r="H21" s="422">
        <f t="shared" si="0"/>
        <v>12</v>
      </c>
      <c r="I21" s="392">
        <v>50</v>
      </c>
      <c r="J21" s="107">
        <f t="shared" si="1"/>
        <v>600</v>
      </c>
      <c r="K21" s="184"/>
      <c r="L21" s="184"/>
      <c r="M21" s="108">
        <v>2</v>
      </c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>
        <v>46070</v>
      </c>
      <c r="B22" s="177" t="s">
        <v>872</v>
      </c>
      <c r="C22" s="389">
        <v>181</v>
      </c>
      <c r="D22" s="390" t="str">
        <f>VLOOKUP(C22,'MASTER Name List'!$B$3:$M$186,2,FALSE)</f>
        <v>陈金清</v>
      </c>
      <c r="E22" s="865">
        <v>46023</v>
      </c>
      <c r="F22" s="865">
        <v>46054</v>
      </c>
      <c r="G22" s="867" t="s">
        <v>801</v>
      </c>
      <c r="H22" s="422">
        <f t="shared" si="0"/>
        <v>2</v>
      </c>
      <c r="I22" s="392">
        <v>50</v>
      </c>
      <c r="J22" s="107">
        <f t="shared" si="1"/>
        <v>100</v>
      </c>
      <c r="K22" s="184"/>
      <c r="L22" s="184"/>
      <c r="M22" s="108">
        <v>2</v>
      </c>
      <c r="N22" s="819">
        <f>SUMIF(M:M,"2",J:J)</f>
        <v>1450</v>
      </c>
      <c r="O22" s="397" t="s">
        <v>873</v>
      </c>
      <c r="P22" s="398"/>
      <c r="Q22" s="399"/>
      <c r="S22" s="396"/>
      <c r="T22" s="396"/>
      <c r="W22" s="400">
        <v>45901</v>
      </c>
    </row>
    <row r="23" spans="1:23" ht="15">
      <c r="A23" s="379">
        <v>46074</v>
      </c>
      <c r="B23" s="177" t="s">
        <v>874</v>
      </c>
      <c r="C23" s="389">
        <v>43</v>
      </c>
      <c r="D23" s="390" t="str">
        <f>VLOOKUP(C23,'MASTER Name List'!$B$3:$M$186,2,FALSE)</f>
        <v>林德成</v>
      </c>
      <c r="E23" s="420">
        <v>46082</v>
      </c>
      <c r="F23" s="420">
        <v>46113</v>
      </c>
      <c r="G23" s="727" t="s">
        <v>862</v>
      </c>
      <c r="H23" s="422">
        <f t="shared" si="0"/>
        <v>2</v>
      </c>
      <c r="I23" s="392">
        <v>50</v>
      </c>
      <c r="J23" s="107">
        <f t="shared" si="1"/>
        <v>100</v>
      </c>
      <c r="K23" s="184"/>
      <c r="L23" s="184"/>
      <c r="M23" s="675">
        <v>3</v>
      </c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>
        <v>46074</v>
      </c>
      <c r="B24" s="177" t="s">
        <v>875</v>
      </c>
      <c r="C24" s="389">
        <v>178</v>
      </c>
      <c r="D24" s="390" t="str">
        <f>VLOOKUP(C24,'MASTER Name List'!$B$3:$M$186,2,FALSE)</f>
        <v>颜美葒</v>
      </c>
      <c r="E24" s="420">
        <v>46082</v>
      </c>
      <c r="F24" s="420">
        <v>46113</v>
      </c>
      <c r="G24" s="727" t="s">
        <v>862</v>
      </c>
      <c r="H24" s="422">
        <f t="shared" si="0"/>
        <v>2</v>
      </c>
      <c r="I24" s="392">
        <v>50</v>
      </c>
      <c r="J24" s="107">
        <f t="shared" si="1"/>
        <v>100</v>
      </c>
      <c r="K24" s="184"/>
      <c r="L24" s="184"/>
      <c r="M24" s="108">
        <v>3</v>
      </c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>
        <v>46076</v>
      </c>
      <c r="B25" s="177" t="s">
        <v>876</v>
      </c>
      <c r="C25" s="389">
        <v>48</v>
      </c>
      <c r="D25" s="390" t="str">
        <f>VLOOKUP(C25,'MASTER Name List'!$B$3:$M$186,2,FALSE)</f>
        <v>叶鏸郧</v>
      </c>
      <c r="E25" s="420">
        <v>45962</v>
      </c>
      <c r="F25" s="420">
        <v>46023</v>
      </c>
      <c r="G25" s="822" t="s">
        <v>877</v>
      </c>
      <c r="H25" s="422">
        <f t="shared" si="0"/>
        <v>3</v>
      </c>
      <c r="I25" s="392">
        <v>50</v>
      </c>
      <c r="J25" s="107">
        <f t="shared" si="1"/>
        <v>150</v>
      </c>
      <c r="K25" s="184"/>
      <c r="L25" s="184"/>
      <c r="M25" s="108">
        <v>3</v>
      </c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46081</v>
      </c>
      <c r="B26" s="177" t="s">
        <v>878</v>
      </c>
      <c r="C26" s="389">
        <v>192</v>
      </c>
      <c r="D26" s="390" t="str">
        <f>VLOOKUP(C26,'MASTER Name List'!$B$3:$M$186,2,FALSE)</f>
        <v>锺堉煒</v>
      </c>
      <c r="E26" s="420">
        <v>46023</v>
      </c>
      <c r="F26" s="420">
        <v>46174</v>
      </c>
      <c r="G26" s="822" t="s">
        <v>755</v>
      </c>
      <c r="H26" s="422">
        <f t="shared" si="0"/>
        <v>6</v>
      </c>
      <c r="I26" s="392">
        <v>50</v>
      </c>
      <c r="J26" s="107">
        <f t="shared" si="1"/>
        <v>300</v>
      </c>
      <c r="K26" s="184"/>
      <c r="L26" s="184"/>
      <c r="M26" s="108">
        <v>3</v>
      </c>
      <c r="N26" s="819">
        <f>SUMIF(M:M,"3",J:J)</f>
        <v>650</v>
      </c>
      <c r="O26" s="397" t="s">
        <v>879</v>
      </c>
      <c r="P26" s="394"/>
      <c r="Q26" s="399"/>
      <c r="S26" s="396"/>
      <c r="T26" s="396"/>
      <c r="W26" s="400">
        <v>46023</v>
      </c>
    </row>
    <row r="27" spans="1:23" ht="15">
      <c r="A27" s="379"/>
      <c r="B27" s="177"/>
      <c r="C27" s="389"/>
      <c r="D27" s="390" t="e">
        <f>VLOOKUP(C27,'MASTER Name List'!$B$3:$M$186,2,FALSE)</f>
        <v>#N/A</v>
      </c>
      <c r="E27" s="420"/>
      <c r="F27" s="420"/>
      <c r="G27" s="822"/>
      <c r="H27" s="422">
        <f t="shared" si="0"/>
        <v>1</v>
      </c>
      <c r="I27" s="392">
        <v>50</v>
      </c>
      <c r="J27" s="107" t="str">
        <f t="shared" si="1"/>
        <v>-</v>
      </c>
      <c r="K27" s="184"/>
      <c r="L27" s="184"/>
      <c r="M27" s="108"/>
      <c r="N27" s="819"/>
      <c r="O27" s="397"/>
      <c r="P27" s="394"/>
      <c r="Q27" s="399"/>
      <c r="S27" s="396"/>
      <c r="T27" s="396"/>
      <c r="W27" s="400">
        <v>46054</v>
      </c>
    </row>
    <row r="28" spans="1:23" ht="15">
      <c r="A28" s="379"/>
      <c r="B28" s="177"/>
      <c r="C28" s="389"/>
      <c r="D28" s="390" t="e">
        <f>VLOOKUP(C28,'MASTER Name List'!$B$3:$M$186,2,FALSE)</f>
        <v>#N/A</v>
      </c>
      <c r="E28" s="420"/>
      <c r="F28" s="420"/>
      <c r="G28" s="822"/>
      <c r="H28" s="422">
        <f t="shared" si="0"/>
        <v>1</v>
      </c>
      <c r="I28" s="392">
        <v>50</v>
      </c>
      <c r="J28" s="107" t="str">
        <f t="shared" si="1"/>
        <v>-</v>
      </c>
      <c r="K28" s="184"/>
      <c r="L28" s="184"/>
      <c r="M28" s="108"/>
      <c r="N28" s="819"/>
      <c r="O28" s="397"/>
      <c r="P28" s="394"/>
      <c r="Q28" s="399"/>
      <c r="S28" s="396"/>
      <c r="T28" s="396"/>
      <c r="W28" s="400">
        <v>46082</v>
      </c>
    </row>
    <row r="29" spans="1:23" ht="15">
      <c r="A29" s="379"/>
      <c r="B29" s="177"/>
      <c r="C29" s="389"/>
      <c r="D29" s="390" t="e">
        <f>VLOOKUP(C29,'MASTER Name List'!$B$3:$M$186,2,FALSE)</f>
        <v>#N/A</v>
      </c>
      <c r="E29" s="420"/>
      <c r="F29" s="420"/>
      <c r="G29" s="822"/>
      <c r="H29" s="422">
        <f t="shared" si="0"/>
        <v>1</v>
      </c>
      <c r="I29" s="392">
        <v>50</v>
      </c>
      <c r="J29" s="107" t="str">
        <f t="shared" si="1"/>
        <v>-</v>
      </c>
      <c r="K29" s="184"/>
      <c r="L29" s="184"/>
      <c r="M29" s="108"/>
      <c r="N29" s="819">
        <f>SUMIF(M:M,"4",J:J)</f>
        <v>0</v>
      </c>
      <c r="O29" s="397"/>
      <c r="P29" s="394"/>
      <c r="Q29" s="399"/>
      <c r="S29" s="396"/>
      <c r="T29" s="396"/>
      <c r="W29" s="400">
        <v>46113</v>
      </c>
    </row>
    <row r="30" spans="1:23" ht="15">
      <c r="A30" s="379"/>
      <c r="B30" s="177"/>
      <c r="C30" s="389"/>
      <c r="D30" s="390" t="e">
        <f>VLOOKUP(C30,'MASTER Name List'!$B$3:$M$186,2,FALSE)</f>
        <v>#N/A</v>
      </c>
      <c r="E30" s="420"/>
      <c r="F30" s="420"/>
      <c r="G30" s="822"/>
      <c r="H30" s="422">
        <f t="shared" si="0"/>
        <v>1</v>
      </c>
      <c r="I30" s="392">
        <v>50</v>
      </c>
      <c r="J30" s="107" t="str">
        <f t="shared" si="1"/>
        <v>-</v>
      </c>
      <c r="K30" s="184"/>
      <c r="L30" s="184"/>
      <c r="M30" s="108"/>
      <c r="N30" s="819"/>
      <c r="O30" s="397"/>
      <c r="P30" s="394"/>
      <c r="Q30" s="399"/>
      <c r="S30" s="396"/>
      <c r="T30" s="396"/>
      <c r="W30" s="400">
        <v>46143</v>
      </c>
    </row>
    <row r="31" spans="1:23" ht="15">
      <c r="A31" s="379"/>
      <c r="B31" s="177"/>
      <c r="C31" s="389"/>
      <c r="D31" s="390" t="e">
        <f>VLOOKUP(C31,'MASTER Name List'!$B$3:$M$186,2,FALSE)</f>
        <v>#N/A</v>
      </c>
      <c r="E31" s="420"/>
      <c r="F31" s="420"/>
      <c r="G31" s="824"/>
      <c r="H31" s="422">
        <f t="shared" si="0"/>
        <v>1</v>
      </c>
      <c r="I31" s="392">
        <v>50</v>
      </c>
      <c r="J31" s="107" t="str">
        <f t="shared" si="1"/>
        <v>-</v>
      </c>
      <c r="K31" s="184"/>
      <c r="L31" s="184"/>
      <c r="M31" s="108"/>
      <c r="N31" s="819"/>
      <c r="O31" s="397"/>
      <c r="P31" s="394"/>
      <c r="Q31" s="399"/>
      <c r="S31" s="396"/>
      <c r="T31" s="396"/>
      <c r="W31" s="400">
        <v>46174</v>
      </c>
    </row>
    <row r="32" spans="1:23" ht="15">
      <c r="A32" s="379"/>
      <c r="B32" s="177"/>
      <c r="C32" s="389"/>
      <c r="D32" s="390" t="e">
        <f>VLOOKUP(C32,'MASTER Name List'!$B$3:$M$186,2,FALSE)</f>
        <v>#N/A</v>
      </c>
      <c r="E32" s="420"/>
      <c r="F32" s="420"/>
      <c r="G32" s="822"/>
      <c r="H32" s="657">
        <f t="shared" si="0"/>
        <v>1</v>
      </c>
      <c r="I32" s="656">
        <v>50</v>
      </c>
      <c r="J32" s="107" t="str">
        <f t="shared" si="1"/>
        <v>-</v>
      </c>
      <c r="K32" s="184"/>
      <c r="L32" s="184"/>
      <c r="M32" s="108"/>
      <c r="N32" s="819"/>
      <c r="O32" s="397"/>
      <c r="P32" s="394"/>
      <c r="Q32" s="399"/>
      <c r="S32" s="396"/>
      <c r="T32" s="396"/>
      <c r="W32" s="400">
        <v>46204</v>
      </c>
    </row>
    <row r="33" spans="1:23" ht="15">
      <c r="A33" s="379"/>
      <c r="B33" s="177"/>
      <c r="C33" s="389"/>
      <c r="D33" s="390" t="e">
        <f>VLOOKUP(C33,'MASTER Name List'!$B$3:$M$186,2,FALSE)</f>
        <v>#N/A</v>
      </c>
      <c r="E33" s="420"/>
      <c r="F33" s="420"/>
      <c r="G33" s="822"/>
      <c r="H33" s="657">
        <f t="shared" si="0"/>
        <v>1</v>
      </c>
      <c r="I33" s="656">
        <v>50</v>
      </c>
      <c r="J33" s="107" t="str">
        <f t="shared" si="1"/>
        <v>-</v>
      </c>
      <c r="K33" s="184"/>
      <c r="L33" s="184"/>
      <c r="M33" s="108"/>
      <c r="N33" s="819"/>
      <c r="O33" s="397"/>
      <c r="P33" s="394"/>
      <c r="Q33" s="399"/>
      <c r="S33" s="396"/>
      <c r="T33" s="396"/>
      <c r="W33" s="400">
        <v>46235</v>
      </c>
    </row>
    <row r="34" spans="1:23" ht="15">
      <c r="A34" s="379"/>
      <c r="B34" s="177"/>
      <c r="C34" s="389"/>
      <c r="D34" s="390" t="e">
        <f>VLOOKUP(C34,'MASTER Name List'!$B$3:$M$186,2,FALSE)</f>
        <v>#N/A</v>
      </c>
      <c r="E34" s="420"/>
      <c r="F34" s="420"/>
      <c r="G34" s="822"/>
      <c r="H34" s="657">
        <f t="shared" si="0"/>
        <v>1</v>
      </c>
      <c r="I34" s="656">
        <v>50</v>
      </c>
      <c r="J34" s="107" t="str">
        <f t="shared" si="1"/>
        <v>-</v>
      </c>
      <c r="K34" s="184"/>
      <c r="L34" s="184"/>
      <c r="M34" s="108"/>
      <c r="N34" s="819">
        <f>SUMIF(M:M,"4",J:J)</f>
        <v>0</v>
      </c>
      <c r="O34" s="397"/>
      <c r="P34" s="394"/>
      <c r="Q34" s="399"/>
      <c r="S34" s="396"/>
      <c r="T34" s="396"/>
      <c r="W34" s="400">
        <v>46266</v>
      </c>
    </row>
    <row r="35" spans="1:23" ht="15">
      <c r="A35" s="379"/>
      <c r="B35" s="177"/>
      <c r="C35" s="389"/>
      <c r="D35" s="390" t="e">
        <f>VLOOKUP(C35,'MASTER Name List'!$B$3:$M$186,2,FALSE)</f>
        <v>#N/A</v>
      </c>
      <c r="E35" s="420"/>
      <c r="F35" s="420"/>
      <c r="G35" s="822"/>
      <c r="H35" s="657">
        <f t="shared" si="0"/>
        <v>1</v>
      </c>
      <c r="I35" s="656">
        <v>50</v>
      </c>
      <c r="J35" s="107" t="str">
        <f t="shared" si="1"/>
        <v>-</v>
      </c>
      <c r="K35" s="184"/>
      <c r="L35" s="184"/>
      <c r="M35" s="108"/>
      <c r="N35" s="819"/>
      <c r="O35" s="397"/>
      <c r="P35" s="394"/>
      <c r="Q35" s="399"/>
      <c r="S35" s="396"/>
      <c r="T35" s="396"/>
      <c r="W35" s="400">
        <v>46296</v>
      </c>
    </row>
    <row r="36" spans="1:23" ht="15">
      <c r="A36" s="379"/>
      <c r="B36" s="177"/>
      <c r="C36" s="389"/>
      <c r="D36" s="390" t="e">
        <f>VLOOKUP(C36,'MASTER Name List'!$B$3:$M$186,2,FALSE)</f>
        <v>#N/A</v>
      </c>
      <c r="E36" s="420"/>
      <c r="F36" s="420"/>
      <c r="G36" s="822"/>
      <c r="H36" s="657">
        <f t="shared" si="0"/>
        <v>1</v>
      </c>
      <c r="I36" s="656">
        <v>50</v>
      </c>
      <c r="J36" s="107" t="str">
        <f t="shared" si="1"/>
        <v>-</v>
      </c>
      <c r="K36" s="184"/>
      <c r="L36" s="184"/>
      <c r="M36" s="108"/>
      <c r="N36" s="819"/>
      <c r="O36" s="397"/>
      <c r="P36" s="394"/>
      <c r="Q36" s="399"/>
      <c r="S36" s="396"/>
      <c r="T36" s="396"/>
      <c r="W36" s="400">
        <v>46327</v>
      </c>
    </row>
    <row r="37" spans="1:23" ht="15">
      <c r="A37" s="379"/>
      <c r="B37" s="177"/>
      <c r="C37" s="389"/>
      <c r="D37" s="390" t="e">
        <f>VLOOKUP(C37,'MASTER Name List'!$B$3:$M$186,2,FALSE)</f>
        <v>#N/A</v>
      </c>
      <c r="E37" s="420"/>
      <c r="F37" s="420"/>
      <c r="G37" s="822"/>
      <c r="H37" s="657">
        <f t="shared" si="0"/>
        <v>1</v>
      </c>
      <c r="I37" s="656">
        <v>50</v>
      </c>
      <c r="J37" s="107" t="str">
        <f t="shared" si="1"/>
        <v>-</v>
      </c>
      <c r="K37" s="184"/>
      <c r="L37" s="184"/>
      <c r="M37" s="108"/>
      <c r="N37" s="819"/>
      <c r="O37" s="397"/>
      <c r="P37" s="394"/>
      <c r="Q37" s="399"/>
      <c r="S37" s="396"/>
      <c r="T37" s="396"/>
      <c r="W37" s="400">
        <v>46357</v>
      </c>
    </row>
    <row r="38" spans="1:23" ht="15">
      <c r="A38" s="379"/>
      <c r="B38" s="177"/>
      <c r="C38" s="389"/>
      <c r="D38" s="390" t="e">
        <f>VLOOKUP(C38,'MASTER Name List'!$B$3:$M$186,2,FALSE)</f>
        <v>#N/A</v>
      </c>
      <c r="E38" s="420"/>
      <c r="F38" s="420"/>
      <c r="G38" s="822"/>
      <c r="H38" s="657">
        <f t="shared" si="0"/>
        <v>1</v>
      </c>
      <c r="I38" s="656">
        <v>50</v>
      </c>
      <c r="J38" s="107" t="str">
        <f t="shared" si="1"/>
        <v>-</v>
      </c>
      <c r="K38" s="184"/>
      <c r="L38" s="184"/>
      <c r="M38" s="108"/>
      <c r="N38" s="819"/>
      <c r="O38" s="397"/>
      <c r="P38" s="394"/>
      <c r="Q38" s="399"/>
      <c r="S38" s="396"/>
      <c r="T38" s="396"/>
      <c r="W38" s="400">
        <v>46388</v>
      </c>
    </row>
    <row r="39" spans="1:23" ht="15">
      <c r="A39" s="379"/>
      <c r="B39" s="177"/>
      <c r="C39" s="389"/>
      <c r="D39" s="390" t="e">
        <f>VLOOKUP(C39,'MASTER Name List'!$B$3:$M$186,2,FALSE)</f>
        <v>#N/A</v>
      </c>
      <c r="E39" s="420"/>
      <c r="F39" s="420"/>
      <c r="G39" s="824"/>
      <c r="H39" s="657">
        <f t="shared" si="0"/>
        <v>1</v>
      </c>
      <c r="I39" s="656">
        <v>50</v>
      </c>
      <c r="J39" s="107" t="str">
        <f t="shared" si="1"/>
        <v>-</v>
      </c>
      <c r="K39" s="184"/>
      <c r="L39" s="184"/>
      <c r="M39" s="108"/>
      <c r="N39" s="819"/>
      <c r="O39" s="397"/>
      <c r="P39" s="394"/>
      <c r="Q39" s="399"/>
      <c r="S39" s="396"/>
      <c r="T39" s="396"/>
      <c r="W39" s="400">
        <v>46419</v>
      </c>
    </row>
    <row r="40" spans="1:23" ht="15">
      <c r="A40" s="379"/>
      <c r="B40" s="177"/>
      <c r="C40" s="644"/>
      <c r="D40" s="390" t="e">
        <f>VLOOKUP(C40,'MASTER Name List'!$B$3:$M$186,2,FALSE)</f>
        <v>#N/A</v>
      </c>
      <c r="E40" s="645"/>
      <c r="F40" s="645"/>
      <c r="G40" s="825"/>
      <c r="H40" s="657">
        <f t="shared" si="0"/>
        <v>1</v>
      </c>
      <c r="I40" s="656">
        <v>50</v>
      </c>
      <c r="J40" s="107" t="str">
        <f t="shared" si="1"/>
        <v>-</v>
      </c>
      <c r="K40" s="184"/>
      <c r="L40" s="184"/>
      <c r="M40" s="108"/>
      <c r="N40" s="819"/>
      <c r="O40" s="397"/>
      <c r="P40" s="394"/>
      <c r="Q40" s="399"/>
      <c r="S40" s="396"/>
      <c r="T40" s="396"/>
      <c r="W40" s="400">
        <v>46447</v>
      </c>
    </row>
    <row r="41" spans="1:23" ht="15">
      <c r="A41" s="379"/>
      <c r="B41" s="177"/>
      <c r="C41" s="646"/>
      <c r="D41" s="390" t="e">
        <f>VLOOKUP(C41,'MASTER Name List'!$B$3:$M$186,2,FALSE)</f>
        <v>#N/A</v>
      </c>
      <c r="E41" s="647"/>
      <c r="F41" s="647"/>
      <c r="G41" s="826"/>
      <c r="H41" s="657">
        <f t="shared" si="0"/>
        <v>1</v>
      </c>
      <c r="I41" s="656">
        <v>50</v>
      </c>
      <c r="J41" s="107" t="str">
        <f t="shared" si="1"/>
        <v>-</v>
      </c>
      <c r="K41" s="184"/>
      <c r="L41" s="184"/>
      <c r="M41" s="108"/>
      <c r="N41" s="819"/>
      <c r="O41" s="397"/>
      <c r="P41" s="394"/>
      <c r="Q41" s="399"/>
      <c r="S41" s="396"/>
      <c r="T41" s="396"/>
      <c r="W41" s="400">
        <v>46478</v>
      </c>
    </row>
    <row r="42" spans="1:23" ht="15">
      <c r="A42" s="379"/>
      <c r="B42" s="177"/>
      <c r="C42" s="646"/>
      <c r="D42" s="390" t="e">
        <f>VLOOKUP(C42,'MASTER Name List'!$B$3:$M$186,2,FALSE)</f>
        <v>#N/A</v>
      </c>
      <c r="E42" s="647"/>
      <c r="F42" s="647"/>
      <c r="G42" s="827" t="s">
        <v>846</v>
      </c>
      <c r="H42" s="657">
        <f t="shared" si="0"/>
        <v>1</v>
      </c>
      <c r="I42" s="656">
        <v>50</v>
      </c>
      <c r="J42" s="107" t="str">
        <f t="shared" si="1"/>
        <v>-</v>
      </c>
      <c r="K42" s="184"/>
      <c r="L42" s="184"/>
      <c r="M42" s="108"/>
      <c r="N42" s="819">
        <f>SUMIF(M:M,"5",J:J)</f>
        <v>0</v>
      </c>
      <c r="O42" s="397"/>
      <c r="P42" s="394"/>
      <c r="Q42" s="399"/>
      <c r="S42" s="396"/>
      <c r="T42" s="396"/>
      <c r="W42" s="400">
        <v>46508</v>
      </c>
    </row>
    <row r="43" spans="1:23" ht="15">
      <c r="A43" s="379"/>
      <c r="B43" s="648"/>
      <c r="C43" s="649"/>
      <c r="D43" s="650"/>
      <c r="E43" s="651"/>
      <c r="F43" s="651"/>
      <c r="G43" s="828"/>
      <c r="H43" s="652"/>
      <c r="I43" s="653"/>
      <c r="J43" s="654"/>
      <c r="K43" s="184"/>
      <c r="L43" s="184"/>
      <c r="M43" s="108"/>
      <c r="N43" s="819"/>
      <c r="O43" s="397"/>
      <c r="P43" s="394"/>
      <c r="Q43" s="399"/>
      <c r="S43" s="396"/>
      <c r="T43" s="396"/>
      <c r="W43" s="400">
        <v>46539</v>
      </c>
    </row>
    <row r="44" spans="1:23" ht="15">
      <c r="A44" s="379"/>
      <c r="B44" s="177"/>
      <c r="C44" s="389"/>
      <c r="D44" s="390"/>
      <c r="E44" s="420"/>
      <c r="F44" s="420"/>
      <c r="G44" s="402"/>
      <c r="H44" s="643"/>
      <c r="I44" s="404"/>
      <c r="J44" s="107"/>
      <c r="K44" s="107"/>
      <c r="L44" s="107"/>
      <c r="M44" s="108"/>
      <c r="N44" s="819"/>
      <c r="O44" s="397"/>
      <c r="P44" s="394"/>
      <c r="Q44" s="399"/>
      <c r="S44" s="396"/>
      <c r="T44" s="396"/>
      <c r="W44" s="400">
        <v>46569</v>
      </c>
    </row>
    <row r="45" spans="1:23" ht="15">
      <c r="A45" s="379"/>
      <c r="B45" s="405" t="s">
        <v>487</v>
      </c>
      <c r="C45" s="389"/>
      <c r="D45" s="390"/>
      <c r="E45" s="420"/>
      <c r="F45" s="420"/>
      <c r="G45" s="391"/>
      <c r="H45" s="406"/>
      <c r="I45" s="656"/>
      <c r="J45" s="107"/>
      <c r="K45" s="107"/>
      <c r="L45" s="107"/>
      <c r="M45" s="108"/>
      <c r="N45" s="819"/>
      <c r="O45" s="397"/>
      <c r="P45" s="394"/>
      <c r="Q45" s="399"/>
      <c r="S45" s="396"/>
      <c r="T45" s="396"/>
      <c r="W45" s="400">
        <v>46600</v>
      </c>
    </row>
    <row r="46" spans="1:23" ht="15">
      <c r="A46" s="379">
        <v>46055</v>
      </c>
      <c r="B46" s="655"/>
      <c r="C46" s="389">
        <v>87</v>
      </c>
      <c r="D46" s="390" t="str">
        <f>VLOOKUP(C46,'MASTER Name List'!$B$3:$M$186,2,FALSE)</f>
        <v>叶碧燕</v>
      </c>
      <c r="E46" s="420">
        <v>46023</v>
      </c>
      <c r="F46" s="420">
        <v>46357</v>
      </c>
      <c r="G46" s="726" t="s">
        <v>786</v>
      </c>
      <c r="H46" s="657">
        <f t="shared" ref="H46:H63" si="2">DATEDIF(E46,F46,"M")+1</f>
        <v>12</v>
      </c>
      <c r="I46" s="656">
        <v>50</v>
      </c>
      <c r="J46" s="184"/>
      <c r="K46" s="184"/>
      <c r="L46" s="107">
        <f>IF($C46="","-",$H46*$I46)</f>
        <v>600</v>
      </c>
      <c r="M46" s="108"/>
      <c r="N46" s="819"/>
      <c r="O46" s="397"/>
      <c r="P46" s="394" t="s">
        <v>125</v>
      </c>
      <c r="Q46" s="399" t="s">
        <v>416</v>
      </c>
      <c r="S46" s="396"/>
      <c r="T46" s="396"/>
      <c r="W46" s="400">
        <v>46631</v>
      </c>
    </row>
    <row r="47" spans="1:23" ht="15">
      <c r="A47" s="379">
        <v>46055</v>
      </c>
      <c r="B47" s="407"/>
      <c r="C47" s="389">
        <v>175</v>
      </c>
      <c r="D47" s="390" t="str">
        <f>VLOOKUP(C47,'MASTER Name List'!$B$3:$M$186,2,FALSE)</f>
        <v>洪鼎惟</v>
      </c>
      <c r="E47" s="420">
        <v>46054</v>
      </c>
      <c r="F47" s="420">
        <v>46054</v>
      </c>
      <c r="G47" s="391">
        <v>46054</v>
      </c>
      <c r="H47" s="657">
        <f t="shared" si="2"/>
        <v>1</v>
      </c>
      <c r="I47" s="656">
        <v>50</v>
      </c>
      <c r="J47" s="184"/>
      <c r="K47" s="184"/>
      <c r="L47" s="107">
        <f t="shared" ref="L47:L64" si="3">IF($C47="","-",$H47*$I47)</f>
        <v>50</v>
      </c>
      <c r="M47" s="108"/>
      <c r="N47" s="819"/>
      <c r="O47" s="397"/>
      <c r="P47" s="394" t="s">
        <v>125</v>
      </c>
      <c r="Q47" s="399" t="s">
        <v>148</v>
      </c>
      <c r="S47" s="396"/>
      <c r="T47" s="396"/>
      <c r="W47" s="400">
        <v>46661</v>
      </c>
    </row>
    <row r="48" spans="1:23" ht="15">
      <c r="A48" s="379">
        <v>46056</v>
      </c>
      <c r="B48" s="407"/>
      <c r="C48" s="389">
        <v>123</v>
      </c>
      <c r="D48" s="390" t="str">
        <f>VLOOKUP(C48,'MASTER Name List'!$B$3:$M$186,2,FALSE)</f>
        <v>黄丽娟</v>
      </c>
      <c r="E48" s="420">
        <v>46023</v>
      </c>
      <c r="F48" s="420">
        <v>46054</v>
      </c>
      <c r="G48" s="726" t="s">
        <v>801</v>
      </c>
      <c r="H48" s="657">
        <f t="shared" si="2"/>
        <v>2</v>
      </c>
      <c r="I48" s="656">
        <v>50</v>
      </c>
      <c r="J48" s="184"/>
      <c r="K48" s="184"/>
      <c r="L48" s="107">
        <f t="shared" si="3"/>
        <v>100</v>
      </c>
      <c r="M48" s="108"/>
      <c r="N48" s="819"/>
      <c r="O48" s="397"/>
      <c r="P48" s="394" t="s">
        <v>125</v>
      </c>
      <c r="Q48" s="399" t="s">
        <v>803</v>
      </c>
      <c r="S48" s="396"/>
      <c r="T48" s="396"/>
      <c r="W48" s="400">
        <v>46692</v>
      </c>
    </row>
    <row r="49" spans="1:23" ht="15">
      <c r="A49" s="379">
        <v>46058</v>
      </c>
      <c r="B49" s="407"/>
      <c r="C49" s="389">
        <v>116</v>
      </c>
      <c r="D49" s="390" t="str">
        <f>VLOOKUP(C49,'MASTER Name List'!$B$3:$M$186,2,FALSE)</f>
        <v>李薇薇</v>
      </c>
      <c r="E49" s="420">
        <v>46054</v>
      </c>
      <c r="F49" s="420">
        <v>46054</v>
      </c>
      <c r="G49" s="726">
        <v>46054</v>
      </c>
      <c r="H49" s="657">
        <f t="shared" si="2"/>
        <v>1</v>
      </c>
      <c r="I49" s="656">
        <v>50</v>
      </c>
      <c r="J49" s="184"/>
      <c r="K49" s="184"/>
      <c r="L49" s="107">
        <f t="shared" si="3"/>
        <v>50</v>
      </c>
      <c r="M49" s="108"/>
      <c r="N49" s="819"/>
      <c r="O49" s="408"/>
      <c r="P49" s="394" t="s">
        <v>125</v>
      </c>
      <c r="Q49" s="399" t="s">
        <v>133</v>
      </c>
      <c r="S49" s="396"/>
      <c r="T49" s="396"/>
      <c r="W49" s="400">
        <v>46722</v>
      </c>
    </row>
    <row r="50" spans="1:23" ht="15">
      <c r="A50" s="379">
        <v>46058</v>
      </c>
      <c r="B50" s="407"/>
      <c r="C50" s="389">
        <v>117</v>
      </c>
      <c r="D50" s="390" t="str">
        <f>VLOOKUP(C50,'MASTER Name List'!$B$3:$M$186,2,FALSE)</f>
        <v>张志文</v>
      </c>
      <c r="E50" s="420">
        <v>46054</v>
      </c>
      <c r="F50" s="420">
        <v>46054</v>
      </c>
      <c r="G50" s="726">
        <v>46054</v>
      </c>
      <c r="H50" s="657">
        <f t="shared" si="2"/>
        <v>1</v>
      </c>
      <c r="I50" s="656">
        <v>50</v>
      </c>
      <c r="J50" s="184"/>
      <c r="K50" s="184"/>
      <c r="L50" s="107">
        <f t="shared" si="3"/>
        <v>50</v>
      </c>
      <c r="M50" s="108"/>
      <c r="N50" s="819"/>
      <c r="O50" s="397"/>
      <c r="P50" s="394" t="s">
        <v>125</v>
      </c>
      <c r="Q50" s="399" t="s">
        <v>685</v>
      </c>
      <c r="S50" s="396"/>
      <c r="T50" s="396"/>
      <c r="W50" s="400">
        <v>46753</v>
      </c>
    </row>
    <row r="51" spans="1:23" ht="15">
      <c r="A51" s="379">
        <v>46058</v>
      </c>
      <c r="B51" s="407"/>
      <c r="C51" s="389">
        <v>52</v>
      </c>
      <c r="D51" s="390" t="str">
        <f>VLOOKUP(C51,'MASTER Name List'!$B$3:$M$186,2,FALSE)</f>
        <v>陈宝蓉</v>
      </c>
      <c r="E51" s="420">
        <v>46023</v>
      </c>
      <c r="F51" s="420">
        <v>46054</v>
      </c>
      <c r="G51" s="726" t="s">
        <v>801</v>
      </c>
      <c r="H51" s="422">
        <f t="shared" si="2"/>
        <v>2</v>
      </c>
      <c r="I51" s="392">
        <v>50</v>
      </c>
      <c r="J51" s="184"/>
      <c r="K51" s="184"/>
      <c r="L51" s="107">
        <f t="shared" si="3"/>
        <v>100</v>
      </c>
      <c r="M51" s="108"/>
      <c r="N51" s="819"/>
      <c r="O51" s="397"/>
      <c r="P51" s="394" t="s">
        <v>125</v>
      </c>
      <c r="Q51" s="399" t="s">
        <v>330</v>
      </c>
      <c r="S51" s="396"/>
      <c r="T51" s="396"/>
      <c r="W51" s="400">
        <v>46784</v>
      </c>
    </row>
    <row r="52" spans="1:23" ht="15">
      <c r="A52" s="379">
        <v>46060</v>
      </c>
      <c r="B52" s="407"/>
      <c r="C52" s="389">
        <v>176</v>
      </c>
      <c r="D52" s="390" t="str">
        <f>VLOOKUP(C52,'MASTER Name List'!$B$3:$M$186,2,FALSE)</f>
        <v>谢蕙冰</v>
      </c>
      <c r="E52" s="420">
        <v>46023</v>
      </c>
      <c r="F52" s="420">
        <v>46357</v>
      </c>
      <c r="G52" s="726" t="s">
        <v>786</v>
      </c>
      <c r="H52" s="422">
        <f t="shared" si="2"/>
        <v>12</v>
      </c>
      <c r="I52" s="392">
        <v>50</v>
      </c>
      <c r="J52" s="184"/>
      <c r="K52" s="184"/>
      <c r="L52" s="107">
        <f t="shared" si="3"/>
        <v>600</v>
      </c>
      <c r="M52" s="108"/>
      <c r="N52" s="819"/>
      <c r="O52" s="397"/>
      <c r="P52" s="394" t="s">
        <v>125</v>
      </c>
      <c r="Q52" s="823" t="s">
        <v>880</v>
      </c>
      <c r="S52" s="396"/>
      <c r="T52" s="396"/>
      <c r="W52" s="400">
        <v>46813</v>
      </c>
    </row>
    <row r="53" spans="1:23" ht="15">
      <c r="A53" s="379">
        <v>46061</v>
      </c>
      <c r="B53" s="407"/>
      <c r="C53" s="389">
        <v>102</v>
      </c>
      <c r="D53" s="390" t="str">
        <f>VLOOKUP(C53,'MASTER Name List'!$B$3:$M$186,2,FALSE)</f>
        <v>戴川凤</v>
      </c>
      <c r="E53" s="420">
        <v>46023</v>
      </c>
      <c r="F53" s="420">
        <v>46054</v>
      </c>
      <c r="G53" s="726" t="s">
        <v>801</v>
      </c>
      <c r="H53" s="422">
        <f t="shared" si="2"/>
        <v>2</v>
      </c>
      <c r="I53" s="392">
        <v>50</v>
      </c>
      <c r="J53" s="184"/>
      <c r="K53" s="184"/>
      <c r="L53" s="107">
        <f t="shared" si="3"/>
        <v>100</v>
      </c>
      <c r="M53" s="108"/>
      <c r="N53" s="819"/>
      <c r="O53" s="397"/>
      <c r="P53" s="394" t="s">
        <v>325</v>
      </c>
      <c r="Q53" s="399" t="s">
        <v>760</v>
      </c>
      <c r="S53" s="396"/>
      <c r="T53" s="396"/>
      <c r="W53" s="400">
        <v>46844</v>
      </c>
    </row>
    <row r="54" spans="1:23" ht="15">
      <c r="A54" s="379">
        <v>46065</v>
      </c>
      <c r="B54" s="407"/>
      <c r="C54" s="389">
        <v>104</v>
      </c>
      <c r="D54" s="390" t="str">
        <f>VLOOKUP(C54,'MASTER Name List'!$B$3:$M$186,2,FALSE)</f>
        <v>连美丽</v>
      </c>
      <c r="E54" s="420">
        <v>46023</v>
      </c>
      <c r="F54" s="420">
        <v>46054</v>
      </c>
      <c r="G54" s="726" t="s">
        <v>801</v>
      </c>
      <c r="H54" s="422">
        <f t="shared" si="2"/>
        <v>2</v>
      </c>
      <c r="I54" s="392">
        <v>50</v>
      </c>
      <c r="J54" s="184"/>
      <c r="K54" s="184"/>
      <c r="L54" s="107">
        <f t="shared" si="3"/>
        <v>100</v>
      </c>
      <c r="M54" s="108"/>
      <c r="N54" s="819"/>
      <c r="O54" s="397"/>
      <c r="P54" s="394" t="s">
        <v>125</v>
      </c>
      <c r="Q54" s="821" t="s">
        <v>142</v>
      </c>
      <c r="S54" s="396"/>
      <c r="T54" s="396"/>
      <c r="W54" s="400">
        <v>46874</v>
      </c>
    </row>
    <row r="55" spans="1:23" ht="15">
      <c r="A55" s="379">
        <v>46069</v>
      </c>
      <c r="B55" s="407"/>
      <c r="C55" s="389">
        <v>40</v>
      </c>
      <c r="D55" s="390" t="str">
        <f>VLOOKUP(C55,'MASTER Name List'!$B$3:$M$186,2,FALSE)</f>
        <v>何梅歆</v>
      </c>
      <c r="E55" s="420">
        <v>46113</v>
      </c>
      <c r="F55" s="420">
        <v>46174</v>
      </c>
      <c r="G55" s="726" t="s">
        <v>881</v>
      </c>
      <c r="H55" s="422">
        <f t="shared" si="2"/>
        <v>3</v>
      </c>
      <c r="I55" s="392">
        <v>50</v>
      </c>
      <c r="J55" s="184"/>
      <c r="K55" s="184"/>
      <c r="L55" s="107">
        <f t="shared" si="3"/>
        <v>150</v>
      </c>
      <c r="M55" s="108"/>
      <c r="N55" s="819"/>
      <c r="O55" s="397"/>
      <c r="P55" s="394" t="s">
        <v>125</v>
      </c>
      <c r="Q55" s="399" t="s">
        <v>614</v>
      </c>
      <c r="S55" s="396"/>
      <c r="T55" s="396"/>
      <c r="W55" s="400">
        <v>46905</v>
      </c>
    </row>
    <row r="56" spans="1:23" ht="15">
      <c r="A56" s="379">
        <v>46070</v>
      </c>
      <c r="B56" s="407"/>
      <c r="C56" s="389">
        <v>103</v>
      </c>
      <c r="D56" s="390" t="str">
        <f>VLOOKUP(C56,'MASTER Name List'!$B$3:$M$186,2,FALSE)</f>
        <v>林采諺</v>
      </c>
      <c r="E56" s="420">
        <v>46023</v>
      </c>
      <c r="F56" s="420">
        <v>46054</v>
      </c>
      <c r="G56" s="726" t="s">
        <v>801</v>
      </c>
      <c r="H56" s="422">
        <f t="shared" si="2"/>
        <v>2</v>
      </c>
      <c r="I56" s="392">
        <v>50</v>
      </c>
      <c r="J56" s="184"/>
      <c r="K56" s="184"/>
      <c r="L56" s="107">
        <f t="shared" si="3"/>
        <v>100</v>
      </c>
      <c r="M56" s="108"/>
      <c r="N56" s="819"/>
      <c r="O56" s="397"/>
      <c r="P56" s="363" t="s">
        <v>125</v>
      </c>
      <c r="Q56" s="823" t="s">
        <v>882</v>
      </c>
      <c r="S56" s="396"/>
      <c r="T56" s="396"/>
      <c r="W56" s="400">
        <v>46935</v>
      </c>
    </row>
    <row r="57" spans="1:23" ht="15">
      <c r="A57" s="379">
        <v>46074</v>
      </c>
      <c r="B57" s="407"/>
      <c r="C57" s="389">
        <v>160</v>
      </c>
      <c r="D57" s="390" t="str">
        <f>VLOOKUP(C57,'MASTER Name List'!$B$3:$M$186,2,FALSE)</f>
        <v>郑筱頵</v>
      </c>
      <c r="E57" s="420">
        <v>46023</v>
      </c>
      <c r="F57" s="420">
        <v>46357</v>
      </c>
      <c r="G57" s="726" t="s">
        <v>786</v>
      </c>
      <c r="H57" s="422">
        <f t="shared" si="2"/>
        <v>12</v>
      </c>
      <c r="I57" s="392">
        <v>50</v>
      </c>
      <c r="J57" s="184"/>
      <c r="K57" s="184"/>
      <c r="L57" s="107">
        <f t="shared" si="3"/>
        <v>600</v>
      </c>
      <c r="M57" s="108"/>
      <c r="N57" s="819"/>
      <c r="O57" s="397"/>
      <c r="P57" s="394" t="s">
        <v>125</v>
      </c>
      <c r="Q57" s="821" t="s">
        <v>883</v>
      </c>
      <c r="S57" s="396"/>
      <c r="T57" s="396"/>
      <c r="W57" s="400">
        <v>46966</v>
      </c>
    </row>
    <row r="58" spans="1:23" ht="15">
      <c r="A58" s="379">
        <v>46074</v>
      </c>
      <c r="B58" s="407"/>
      <c r="C58" s="389">
        <v>13</v>
      </c>
      <c r="D58" s="390" t="str">
        <f>VLOOKUP(C58,'MASTER Name List'!$B$3:$M$186,2,FALSE)</f>
        <v>黄慧霞</v>
      </c>
      <c r="E58" s="420">
        <v>46023</v>
      </c>
      <c r="F58" s="420">
        <v>46054</v>
      </c>
      <c r="G58" s="726" t="s">
        <v>801</v>
      </c>
      <c r="H58" s="422">
        <f t="shared" si="2"/>
        <v>2</v>
      </c>
      <c r="I58" s="392">
        <v>50</v>
      </c>
      <c r="J58" s="184"/>
      <c r="K58" s="184"/>
      <c r="L58" s="107">
        <f t="shared" si="3"/>
        <v>100</v>
      </c>
      <c r="M58" s="108"/>
      <c r="N58" s="819"/>
      <c r="O58" s="397"/>
      <c r="P58" s="394" t="s">
        <v>125</v>
      </c>
      <c r="Q58" s="409" t="s">
        <v>200</v>
      </c>
      <c r="S58" s="396"/>
      <c r="T58" s="396"/>
      <c r="W58" s="400">
        <v>46997</v>
      </c>
    </row>
    <row r="59" spans="1:23" ht="15">
      <c r="A59" s="379">
        <v>46076</v>
      </c>
      <c r="B59" s="407"/>
      <c r="C59" s="389">
        <v>137</v>
      </c>
      <c r="D59" s="390" t="str">
        <f>VLOOKUP(C59,'MASTER Name List'!$B$3:$M$186,2,FALSE)</f>
        <v>赖美珍</v>
      </c>
      <c r="E59" s="420">
        <v>46054</v>
      </c>
      <c r="F59" s="420">
        <v>46054</v>
      </c>
      <c r="G59" s="726">
        <v>46054</v>
      </c>
      <c r="H59" s="422">
        <f t="shared" si="2"/>
        <v>1</v>
      </c>
      <c r="I59" s="392">
        <v>50</v>
      </c>
      <c r="J59" s="184"/>
      <c r="K59" s="184"/>
      <c r="L59" s="107">
        <f t="shared" si="3"/>
        <v>50</v>
      </c>
      <c r="M59" s="108"/>
      <c r="N59" s="819"/>
      <c r="O59" s="397"/>
      <c r="P59" s="394" t="s">
        <v>605</v>
      </c>
      <c r="Q59" s="821" t="s">
        <v>606</v>
      </c>
      <c r="S59" s="396"/>
      <c r="T59" s="396"/>
      <c r="W59" s="400">
        <v>47027</v>
      </c>
    </row>
    <row r="60" spans="1:23" ht="15">
      <c r="A60" s="379">
        <v>46078</v>
      </c>
      <c r="B60" s="407"/>
      <c r="C60" s="389">
        <v>80</v>
      </c>
      <c r="D60" s="390" t="str">
        <f>VLOOKUP(C60,'MASTER Name List'!$B$3:$M$186,2,FALSE)</f>
        <v>黄淑芬</v>
      </c>
      <c r="E60" s="420">
        <v>46082</v>
      </c>
      <c r="F60" s="420">
        <v>46082</v>
      </c>
      <c r="G60" s="726">
        <v>46082</v>
      </c>
      <c r="H60" s="422">
        <f t="shared" si="2"/>
        <v>1</v>
      </c>
      <c r="I60" s="392">
        <v>50</v>
      </c>
      <c r="J60" s="184"/>
      <c r="K60" s="184"/>
      <c r="L60" s="107">
        <f t="shared" si="3"/>
        <v>50</v>
      </c>
      <c r="M60" s="108"/>
      <c r="N60" s="819"/>
      <c r="O60" s="397"/>
      <c r="P60" s="394" t="s">
        <v>125</v>
      </c>
      <c r="Q60" s="823" t="s">
        <v>179</v>
      </c>
      <c r="S60" s="396"/>
      <c r="T60" s="396"/>
      <c r="W60" s="400">
        <v>47058</v>
      </c>
    </row>
    <row r="61" spans="1:23" ht="15">
      <c r="A61" s="379">
        <v>46078</v>
      </c>
      <c r="B61" s="407"/>
      <c r="C61" s="389">
        <v>224</v>
      </c>
      <c r="D61" s="390" t="str">
        <f>VLOOKUP(C61,'MASTER Name List'!$B$3:$M$186,2,FALSE)</f>
        <v xml:space="preserve">黄文勝 </v>
      </c>
      <c r="E61" s="420">
        <v>46082</v>
      </c>
      <c r="F61" s="420">
        <v>46082</v>
      </c>
      <c r="G61" s="726">
        <v>46082</v>
      </c>
      <c r="H61" s="422">
        <f t="shared" si="2"/>
        <v>1</v>
      </c>
      <c r="I61" s="392">
        <v>50</v>
      </c>
      <c r="J61" s="184"/>
      <c r="K61" s="184"/>
      <c r="L61" s="107">
        <f t="shared" si="3"/>
        <v>50</v>
      </c>
      <c r="M61" s="108"/>
      <c r="N61" s="819"/>
      <c r="O61" s="397"/>
      <c r="P61" s="394" t="s">
        <v>125</v>
      </c>
      <c r="Q61" s="399" t="s">
        <v>179</v>
      </c>
      <c r="S61" s="396"/>
      <c r="T61" s="396"/>
      <c r="W61" s="400">
        <v>47088</v>
      </c>
    </row>
    <row r="62" spans="1:23" ht="15">
      <c r="A62" s="856">
        <v>46079</v>
      </c>
      <c r="B62" s="407"/>
      <c r="C62" s="389">
        <v>193</v>
      </c>
      <c r="D62" s="390" t="str">
        <f>VLOOKUP(C62,'MASTER Name List'!$B$3:$M$186,2,FALSE)</f>
        <v>许艾婷</v>
      </c>
      <c r="E62" s="420">
        <v>45839</v>
      </c>
      <c r="F62" s="420">
        <v>45992</v>
      </c>
      <c r="G62" s="726" t="s">
        <v>660</v>
      </c>
      <c r="H62" s="422">
        <f t="shared" si="2"/>
        <v>6</v>
      </c>
      <c r="I62" s="392">
        <v>50</v>
      </c>
      <c r="J62" s="184"/>
      <c r="K62" s="184"/>
      <c r="L62" s="107">
        <f t="shared" si="3"/>
        <v>300</v>
      </c>
      <c r="M62" s="108"/>
      <c r="N62" s="819"/>
      <c r="O62" s="397"/>
      <c r="P62" s="394" t="s">
        <v>125</v>
      </c>
      <c r="Q62" s="821" t="s">
        <v>884</v>
      </c>
      <c r="S62" s="396"/>
      <c r="T62" s="396"/>
    </row>
    <row r="63" spans="1:23" ht="15">
      <c r="A63" s="855"/>
      <c r="B63" s="407"/>
      <c r="C63" s="389"/>
      <c r="D63" s="390" t="e">
        <f>VLOOKUP(C63,'MASTER Name List'!$B$3:$M$186,2,FALSE)</f>
        <v>#N/A</v>
      </c>
      <c r="E63" s="420"/>
      <c r="F63" s="420"/>
      <c r="G63" s="391"/>
      <c r="H63" s="422">
        <f t="shared" si="2"/>
        <v>1</v>
      </c>
      <c r="I63" s="392">
        <v>50</v>
      </c>
      <c r="J63" s="184"/>
      <c r="K63" s="184"/>
      <c r="L63" s="107" t="str">
        <f t="shared" si="3"/>
        <v>-</v>
      </c>
      <c r="M63" s="108"/>
      <c r="N63" s="819"/>
      <c r="O63" s="397"/>
      <c r="P63" s="394"/>
      <c r="Q63" s="409"/>
      <c r="S63" s="396"/>
      <c r="T63" s="396"/>
    </row>
    <row r="64" spans="1:23" ht="15">
      <c r="A64" s="379"/>
      <c r="B64" s="389"/>
      <c r="C64" s="389"/>
      <c r="D64" s="390"/>
      <c r="E64" s="420"/>
      <c r="F64" s="420"/>
      <c r="G64" s="402"/>
      <c r="H64" s="403"/>
      <c r="I64" s="404"/>
      <c r="J64" s="184"/>
      <c r="K64" s="184"/>
      <c r="L64" s="107" t="str">
        <f t="shared" si="3"/>
        <v>-</v>
      </c>
      <c r="M64" s="108"/>
      <c r="N64" s="819"/>
      <c r="O64" s="397"/>
      <c r="P64" s="410"/>
      <c r="Q64" s="409"/>
      <c r="S64" s="396"/>
      <c r="T64" s="396"/>
    </row>
    <row r="65" spans="1:17" ht="15">
      <c r="A65" s="854"/>
      <c r="B65" s="411"/>
      <c r="C65" s="412"/>
      <c r="D65" s="413"/>
      <c r="E65" s="421"/>
      <c r="F65" s="421"/>
      <c r="G65" s="414"/>
      <c r="H65" s="415"/>
      <c r="I65" s="416"/>
      <c r="J65" s="124"/>
      <c r="K65" s="124"/>
      <c r="L65" s="124"/>
      <c r="M65" s="125"/>
      <c r="N65" s="417"/>
      <c r="O65" s="417"/>
      <c r="P65" s="417"/>
    </row>
    <row r="66" spans="1:17" ht="15">
      <c r="B66" s="418"/>
      <c r="C66" s="418"/>
      <c r="J66" s="128"/>
      <c r="K66" s="128"/>
      <c r="L66" s="128"/>
      <c r="M66" s="129"/>
    </row>
    <row r="67" spans="1:17" ht="15.6" thickBot="1">
      <c r="B67" s="418"/>
      <c r="C67" s="418"/>
      <c r="J67" s="130">
        <f>SUM(J8:J66)</f>
        <v>4000</v>
      </c>
      <c r="K67" s="130">
        <f>SUM(K8:K66)</f>
        <v>0</v>
      </c>
      <c r="L67" s="130">
        <f>SUM(L8:L66)</f>
        <v>3150</v>
      </c>
      <c r="M67" s="131"/>
      <c r="N67" s="132">
        <f>SUM(N8:N66)</f>
        <v>4000</v>
      </c>
    </row>
    <row r="68" spans="1:17" ht="15" thickTop="1">
      <c r="J68" s="133"/>
      <c r="K68" s="133"/>
      <c r="L68" s="133"/>
      <c r="M68" s="129"/>
    </row>
    <row r="69" spans="1:17" s="363" customFormat="1">
      <c r="G69" s="364"/>
      <c r="I69" s="365"/>
      <c r="J69" s="419"/>
      <c r="K69" s="419"/>
      <c r="L69" s="419"/>
      <c r="Q69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46:F63 E9:F43" xr:uid="{0A1253D6-F936-4032-AA74-A2206A8ACB3D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06644-8BC0-4A2E-92B2-6B4974AD2A3D}">
  <sheetPr>
    <tabColor rgb="FF00B0F0"/>
  </sheetPr>
  <dimension ref="A4:W69"/>
  <sheetViews>
    <sheetView zoomScale="80" zoomScaleNormal="80" workbookViewId="0">
      <pane ySplit="8" topLeftCell="A33" activePane="bottomLeft" state="frozen"/>
      <selection pane="bottomLeft" activeCell="D51" sqref="D51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7.3320312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885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6"/>
    </row>
    <row r="9" spans="1:23" ht="15">
      <c r="A9" s="379">
        <v>46084</v>
      </c>
      <c r="B9" s="177" t="s">
        <v>886</v>
      </c>
      <c r="C9" s="389">
        <v>132</v>
      </c>
      <c r="D9" s="390" t="str">
        <f>VLOOKUP(C9,'MASTER Name List'!$B$3:$M$300,2,FALSE)</f>
        <v>陈杍䍿</v>
      </c>
      <c r="E9" s="420">
        <v>46082</v>
      </c>
      <c r="F9" s="420">
        <v>46174</v>
      </c>
      <c r="G9" s="726" t="s">
        <v>887</v>
      </c>
      <c r="H9" s="422">
        <f t="shared" ref="H9:H42" si="0">DATEDIF(E9,F9,"M")+1</f>
        <v>4</v>
      </c>
      <c r="I9" s="392">
        <v>50</v>
      </c>
      <c r="J9" s="107">
        <f>IF($C9="","-",$H9*$I9)</f>
        <v>200</v>
      </c>
      <c r="K9" s="184"/>
      <c r="L9" s="184"/>
      <c r="M9" s="108">
        <v>1</v>
      </c>
      <c r="N9" s="819"/>
      <c r="O9" s="393"/>
      <c r="P9" s="641" t="s">
        <v>818</v>
      </c>
      <c r="Q9" s="711"/>
      <c r="S9" s="396"/>
      <c r="T9" s="396"/>
    </row>
    <row r="10" spans="1:23" ht="15">
      <c r="A10" s="379">
        <v>46084</v>
      </c>
      <c r="B10" s="177" t="s">
        <v>888</v>
      </c>
      <c r="C10" s="389">
        <v>126</v>
      </c>
      <c r="D10" s="390" t="str">
        <f>VLOOKUP(C10,'MASTER Name List'!$B$3:$M$300,2,FALSE)</f>
        <v>张凤</v>
      </c>
      <c r="E10" s="420">
        <v>46113</v>
      </c>
      <c r="F10" s="420">
        <v>46174</v>
      </c>
      <c r="G10" s="726" t="s">
        <v>881</v>
      </c>
      <c r="H10" s="422">
        <f t="shared" si="0"/>
        <v>3</v>
      </c>
      <c r="I10" s="392">
        <v>50</v>
      </c>
      <c r="J10" s="107">
        <f t="shared" ref="J10:J42" si="1">IF($C10="","-",$H10*$I10)</f>
        <v>150</v>
      </c>
      <c r="K10" s="184"/>
      <c r="L10" s="184"/>
      <c r="M10" s="108">
        <v>1</v>
      </c>
      <c r="N10" s="819"/>
      <c r="O10" s="397"/>
      <c r="P10" s="394"/>
      <c r="Q10" s="409"/>
      <c r="S10" s="396"/>
      <c r="T10" s="396"/>
      <c r="W10" s="240">
        <v>45536</v>
      </c>
    </row>
    <row r="11" spans="1:23" ht="15">
      <c r="A11" s="379">
        <v>46084</v>
      </c>
      <c r="B11" s="177" t="s">
        <v>889</v>
      </c>
      <c r="C11" s="389">
        <v>3</v>
      </c>
      <c r="D11" s="390" t="str">
        <f>VLOOKUP(C11,'MASTER Name List'!$B$3:$M$300,2,FALSE)</f>
        <v>Anna Justina</v>
      </c>
      <c r="E11" s="420">
        <v>45962</v>
      </c>
      <c r="F11" s="420">
        <v>45992</v>
      </c>
      <c r="G11" s="726" t="s">
        <v>774</v>
      </c>
      <c r="H11" s="422">
        <f t="shared" si="0"/>
        <v>2</v>
      </c>
      <c r="I11" s="392">
        <v>50</v>
      </c>
      <c r="J11" s="107">
        <f t="shared" si="1"/>
        <v>100</v>
      </c>
      <c r="K11" s="184"/>
      <c r="L11" s="184"/>
      <c r="M11" s="108">
        <v>1</v>
      </c>
      <c r="O11" s="397"/>
      <c r="P11" s="710"/>
      <c r="Q11" s="409"/>
      <c r="S11" s="396"/>
      <c r="T11" s="396"/>
      <c r="W11" s="240">
        <v>45566</v>
      </c>
    </row>
    <row r="12" spans="1:23" ht="15">
      <c r="A12" s="379">
        <v>46085</v>
      </c>
      <c r="B12" s="177" t="s">
        <v>890</v>
      </c>
      <c r="C12" s="389">
        <v>74</v>
      </c>
      <c r="D12" s="390" t="str">
        <f>VLOOKUP(C12,'MASTER Name List'!$B$3:$M$300,2,FALSE)</f>
        <v>黄得财</v>
      </c>
      <c r="E12" s="420">
        <v>46113</v>
      </c>
      <c r="F12" s="420">
        <v>46143</v>
      </c>
      <c r="G12" s="726" t="s">
        <v>891</v>
      </c>
      <c r="H12" s="422">
        <f t="shared" si="0"/>
        <v>2</v>
      </c>
      <c r="I12" s="392">
        <v>50</v>
      </c>
      <c r="J12" s="107">
        <f t="shared" si="1"/>
        <v>100</v>
      </c>
      <c r="K12" s="184"/>
      <c r="L12" s="184"/>
      <c r="M12" s="108">
        <v>1</v>
      </c>
      <c r="N12" s="819"/>
      <c r="O12" s="397"/>
      <c r="P12" s="710"/>
      <c r="Q12" s="409"/>
      <c r="S12" s="396"/>
      <c r="T12" s="396"/>
      <c r="W12" s="240">
        <v>45597</v>
      </c>
    </row>
    <row r="13" spans="1:23" ht="15">
      <c r="A13" s="379">
        <v>46085</v>
      </c>
      <c r="B13" s="177" t="s">
        <v>892</v>
      </c>
      <c r="C13" s="389">
        <v>191</v>
      </c>
      <c r="D13" s="390" t="str">
        <f>VLOOKUP(C13,'MASTER Name List'!$B$3:$M$300,2,FALSE)</f>
        <v>锺鏸堬</v>
      </c>
      <c r="E13" s="420">
        <v>46023</v>
      </c>
      <c r="F13" s="420">
        <v>46174</v>
      </c>
      <c r="G13" s="726" t="s">
        <v>755</v>
      </c>
      <c r="H13" s="422">
        <f t="shared" si="0"/>
        <v>6</v>
      </c>
      <c r="I13" s="392">
        <v>50</v>
      </c>
      <c r="J13" s="107">
        <f t="shared" si="1"/>
        <v>300</v>
      </c>
      <c r="K13" s="184"/>
      <c r="L13" s="184"/>
      <c r="M13" s="108">
        <v>1</v>
      </c>
      <c r="N13" s="819"/>
      <c r="O13" s="397"/>
      <c r="P13" s="710"/>
      <c r="Q13" s="409"/>
      <c r="S13" s="396"/>
      <c r="T13" s="396"/>
      <c r="W13" s="240">
        <v>45627</v>
      </c>
    </row>
    <row r="14" spans="1:23" ht="15">
      <c r="A14" s="379">
        <v>46086</v>
      </c>
      <c r="B14" s="177" t="s">
        <v>893</v>
      </c>
      <c r="C14" s="389">
        <v>192</v>
      </c>
      <c r="D14" s="390" t="str">
        <f>VLOOKUP(C14,'MASTER Name List'!$B$3:$M$300,2,FALSE)</f>
        <v>锺堉煒</v>
      </c>
      <c r="E14" s="420">
        <v>46204</v>
      </c>
      <c r="F14" s="420">
        <v>46357</v>
      </c>
      <c r="G14" s="726" t="s">
        <v>894</v>
      </c>
      <c r="H14" s="422">
        <f t="shared" si="0"/>
        <v>6</v>
      </c>
      <c r="I14" s="392">
        <v>50</v>
      </c>
      <c r="J14" s="107">
        <f t="shared" si="1"/>
        <v>300</v>
      </c>
      <c r="K14" s="184"/>
      <c r="L14" s="184"/>
      <c r="M14" s="673">
        <v>1</v>
      </c>
      <c r="N14" s="819"/>
      <c r="O14" s="397"/>
      <c r="P14" s="710"/>
      <c r="Q14" s="409"/>
      <c r="S14" s="396"/>
      <c r="T14" s="396"/>
      <c r="W14" s="400">
        <v>45658</v>
      </c>
    </row>
    <row r="15" spans="1:23" ht="15">
      <c r="A15" s="379">
        <v>46096</v>
      </c>
      <c r="B15" s="177" t="s">
        <v>895</v>
      </c>
      <c r="C15" s="389">
        <v>3</v>
      </c>
      <c r="D15" s="390" t="str">
        <f>VLOOKUP(C15,'MASTER Name List'!$B$3:$M$300,2,FALSE)</f>
        <v>Anna Justina</v>
      </c>
      <c r="E15" s="420">
        <v>46023</v>
      </c>
      <c r="F15" s="420">
        <v>46054</v>
      </c>
      <c r="G15" s="726" t="s">
        <v>801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108">
        <v>1</v>
      </c>
      <c r="N15" s="819"/>
      <c r="O15" s="397"/>
      <c r="P15" s="710"/>
      <c r="Q15" s="409"/>
      <c r="S15" s="396"/>
      <c r="T15" s="396"/>
      <c r="W15" s="400">
        <v>45689</v>
      </c>
    </row>
    <row r="16" spans="1:23" ht="15">
      <c r="A16" s="379">
        <v>46096</v>
      </c>
      <c r="B16" s="177" t="s">
        <v>896</v>
      </c>
      <c r="C16" s="389">
        <v>3</v>
      </c>
      <c r="D16" s="390" t="str">
        <f>VLOOKUP(C16,'MASTER Name List'!$B$3:$M$300,2,FALSE)</f>
        <v>Anna Justina</v>
      </c>
      <c r="E16" s="420">
        <v>46082</v>
      </c>
      <c r="F16" s="420">
        <v>46082</v>
      </c>
      <c r="G16" s="726">
        <v>46082</v>
      </c>
      <c r="H16" s="422">
        <f t="shared" si="0"/>
        <v>1</v>
      </c>
      <c r="I16" s="392">
        <v>50</v>
      </c>
      <c r="J16" s="107">
        <f t="shared" si="1"/>
        <v>50</v>
      </c>
      <c r="K16" s="184"/>
      <c r="L16" s="184"/>
      <c r="M16" s="108">
        <v>1</v>
      </c>
      <c r="N16" s="819">
        <f>SUMIF(M:M,"1",J:J)</f>
        <v>1300</v>
      </c>
      <c r="O16" s="397" t="s">
        <v>897</v>
      </c>
      <c r="P16" s="710"/>
      <c r="Q16" s="409"/>
      <c r="S16" s="396"/>
      <c r="T16" s="396"/>
      <c r="W16" s="400">
        <v>45717</v>
      </c>
    </row>
    <row r="17" spans="1:23" ht="15">
      <c r="A17" s="379">
        <v>46096</v>
      </c>
      <c r="B17" s="177" t="s">
        <v>898</v>
      </c>
      <c r="C17" s="389">
        <v>188</v>
      </c>
      <c r="D17" s="390" t="str">
        <f>VLOOKUP(C17,'MASTER Name List'!$B$3:$M$300,2,FALSE)</f>
        <v>许银玲</v>
      </c>
      <c r="E17" s="420">
        <v>46023</v>
      </c>
      <c r="F17" s="420">
        <v>46174</v>
      </c>
      <c r="G17" s="726" t="s">
        <v>755</v>
      </c>
      <c r="H17" s="422">
        <f t="shared" si="0"/>
        <v>6</v>
      </c>
      <c r="I17" s="392">
        <v>50</v>
      </c>
      <c r="J17" s="107">
        <f t="shared" si="1"/>
        <v>300</v>
      </c>
      <c r="K17" s="184"/>
      <c r="L17" s="184"/>
      <c r="M17" s="679">
        <v>2</v>
      </c>
      <c r="N17" s="819"/>
      <c r="O17" s="397"/>
      <c r="P17" s="641" t="s">
        <v>899</v>
      </c>
      <c r="Q17" s="409"/>
      <c r="S17" s="396"/>
      <c r="T17" s="396"/>
      <c r="W17" s="400">
        <v>45748</v>
      </c>
    </row>
    <row r="18" spans="1:23" ht="15">
      <c r="A18" s="379">
        <v>46096</v>
      </c>
      <c r="B18" s="177" t="s">
        <v>900</v>
      </c>
      <c r="C18" s="389">
        <v>223</v>
      </c>
      <c r="D18" s="390" t="str">
        <f>VLOOKUP(C18,'MASTER Name List'!$B$3:$M$300,2,FALSE)</f>
        <v>黄莉珍</v>
      </c>
      <c r="E18" s="420">
        <v>46023</v>
      </c>
      <c r="F18" s="420">
        <v>46113</v>
      </c>
      <c r="G18" s="726" t="s">
        <v>826</v>
      </c>
      <c r="H18" s="422">
        <f t="shared" si="0"/>
        <v>4</v>
      </c>
      <c r="I18" s="392">
        <v>50</v>
      </c>
      <c r="J18" s="107">
        <f t="shared" si="1"/>
        <v>200</v>
      </c>
      <c r="K18" s="184"/>
      <c r="L18" s="184"/>
      <c r="M18" s="108">
        <v>2</v>
      </c>
      <c r="N18" s="819">
        <f>SUMIF(M:M,"2",J:J)</f>
        <v>500</v>
      </c>
      <c r="O18" s="397" t="s">
        <v>897</v>
      </c>
      <c r="P18" s="674"/>
      <c r="Q18" s="409"/>
      <c r="S18" s="396"/>
      <c r="T18" s="396"/>
      <c r="W18" s="400">
        <v>45778</v>
      </c>
    </row>
    <row r="19" spans="1:23" ht="15">
      <c r="A19" s="379">
        <v>46102</v>
      </c>
      <c r="B19" s="177" t="s">
        <v>901</v>
      </c>
      <c r="C19" s="389">
        <v>103</v>
      </c>
      <c r="D19" s="390" t="str">
        <f>VLOOKUP(C19,'MASTER Name List'!$B$3:$M$300,2,FALSE)</f>
        <v>林采諺</v>
      </c>
      <c r="E19" s="420">
        <v>46082</v>
      </c>
      <c r="F19" s="420">
        <v>46174</v>
      </c>
      <c r="G19" s="727" t="s">
        <v>887</v>
      </c>
      <c r="H19" s="422">
        <f t="shared" si="0"/>
        <v>4</v>
      </c>
      <c r="I19" s="392">
        <v>50</v>
      </c>
      <c r="J19" s="107">
        <f t="shared" si="1"/>
        <v>200</v>
      </c>
      <c r="K19" s="184"/>
      <c r="L19" s="184"/>
      <c r="M19" s="679">
        <v>3</v>
      </c>
      <c r="N19" s="819">
        <f>SUMIF(M:M,"3",J:J)</f>
        <v>200</v>
      </c>
      <c r="O19" s="397" t="s">
        <v>902</v>
      </c>
      <c r="P19" s="394"/>
      <c r="Q19" s="409"/>
      <c r="S19" s="396"/>
      <c r="T19" s="396"/>
      <c r="W19" s="400">
        <v>45809</v>
      </c>
    </row>
    <row r="20" spans="1:23" ht="15">
      <c r="A20" s="379">
        <v>46107</v>
      </c>
      <c r="B20" s="177" t="s">
        <v>903</v>
      </c>
      <c r="C20" s="389">
        <v>194</v>
      </c>
      <c r="D20" s="390" t="str">
        <f>VLOOKUP(C20,'MASTER Name List'!$B$3:$M$300,2,FALSE)</f>
        <v>杨建成</v>
      </c>
      <c r="E20" s="420">
        <v>46143</v>
      </c>
      <c r="F20" s="420">
        <v>46235</v>
      </c>
      <c r="G20" s="727" t="s">
        <v>904</v>
      </c>
      <c r="H20" s="422">
        <f t="shared" si="0"/>
        <v>4</v>
      </c>
      <c r="I20" s="392">
        <v>50</v>
      </c>
      <c r="J20" s="107">
        <f t="shared" si="1"/>
        <v>200</v>
      </c>
      <c r="K20" s="184"/>
      <c r="L20" s="184"/>
      <c r="M20" s="680">
        <v>4</v>
      </c>
      <c r="N20" s="819"/>
      <c r="O20" s="397"/>
      <c r="P20" s="394"/>
      <c r="Q20" s="409"/>
      <c r="S20" s="396"/>
      <c r="T20" s="396"/>
      <c r="W20" s="400">
        <v>45839</v>
      </c>
    </row>
    <row r="21" spans="1:23" ht="15">
      <c r="A21" s="379">
        <v>46107</v>
      </c>
      <c r="B21" s="177" t="s">
        <v>905</v>
      </c>
      <c r="C21" s="389">
        <v>195</v>
      </c>
      <c r="D21" s="390" t="str">
        <f>VLOOKUP(C21,'MASTER Name List'!$B$3:$M$300,2,FALSE)</f>
        <v>田玉英</v>
      </c>
      <c r="E21" s="420">
        <v>46143</v>
      </c>
      <c r="F21" s="420">
        <v>46235</v>
      </c>
      <c r="G21" s="727" t="s">
        <v>904</v>
      </c>
      <c r="H21" s="422">
        <f t="shared" si="0"/>
        <v>4</v>
      </c>
      <c r="I21" s="392">
        <v>50</v>
      </c>
      <c r="J21" s="107">
        <f t="shared" si="1"/>
        <v>200</v>
      </c>
      <c r="K21" s="184"/>
      <c r="L21" s="184"/>
      <c r="M21" s="108">
        <v>4</v>
      </c>
      <c r="N21" s="819"/>
      <c r="O21" s="397"/>
      <c r="P21" s="394"/>
      <c r="Q21" s="409"/>
      <c r="S21" s="396"/>
      <c r="T21" s="396"/>
      <c r="W21" s="400">
        <v>45870</v>
      </c>
    </row>
    <row r="22" spans="1:23" ht="15">
      <c r="A22" s="379">
        <v>46107</v>
      </c>
      <c r="B22" s="177" t="s">
        <v>906</v>
      </c>
      <c r="C22" s="389">
        <v>54</v>
      </c>
      <c r="D22" s="390" t="str">
        <f>VLOOKUP(C22,'MASTER Name List'!$B$3:$M$300,2,FALSE)</f>
        <v>黄丽玲</v>
      </c>
      <c r="E22" s="420">
        <v>46054</v>
      </c>
      <c r="F22" s="420">
        <v>46113</v>
      </c>
      <c r="G22" s="727" t="s">
        <v>907</v>
      </c>
      <c r="H22" s="422">
        <f t="shared" si="0"/>
        <v>3</v>
      </c>
      <c r="I22" s="392">
        <v>50</v>
      </c>
      <c r="J22" s="107">
        <f t="shared" si="1"/>
        <v>150</v>
      </c>
      <c r="K22" s="184"/>
      <c r="L22" s="184"/>
      <c r="M22" s="108">
        <v>4</v>
      </c>
      <c r="N22" s="819"/>
      <c r="O22" s="397"/>
      <c r="P22" s="394"/>
      <c r="Q22" s="409"/>
      <c r="S22" s="396"/>
      <c r="T22" s="396"/>
      <c r="W22" s="400">
        <v>45901</v>
      </c>
    </row>
    <row r="23" spans="1:23" ht="15">
      <c r="A23" s="379">
        <v>46108</v>
      </c>
      <c r="B23" s="177" t="s">
        <v>908</v>
      </c>
      <c r="C23" s="389">
        <v>170</v>
      </c>
      <c r="D23" s="390" t="str">
        <f>VLOOKUP(C23,'MASTER Name List'!$B$3:$M$300,2,FALSE)</f>
        <v>陈柔霓</v>
      </c>
      <c r="E23" s="420">
        <v>46082</v>
      </c>
      <c r="F23" s="420">
        <v>46113</v>
      </c>
      <c r="G23" s="822" t="s">
        <v>862</v>
      </c>
      <c r="H23" s="422">
        <f t="shared" si="0"/>
        <v>2</v>
      </c>
      <c r="I23" s="392">
        <v>50</v>
      </c>
      <c r="J23" s="107">
        <f t="shared" si="1"/>
        <v>100</v>
      </c>
      <c r="K23" s="184"/>
      <c r="L23" s="184"/>
      <c r="M23" s="108">
        <v>4</v>
      </c>
      <c r="N23" s="819">
        <f>SUMIF(M:M,"4",J:J)</f>
        <v>650</v>
      </c>
      <c r="O23" s="397" t="s">
        <v>909</v>
      </c>
      <c r="P23" s="394"/>
      <c r="Q23" s="409"/>
      <c r="S23" s="396"/>
      <c r="T23" s="396"/>
      <c r="W23" s="400">
        <v>45931</v>
      </c>
    </row>
    <row r="24" spans="1:23" ht="15">
      <c r="A24" s="379">
        <v>46111</v>
      </c>
      <c r="B24" s="177" t="s">
        <v>910</v>
      </c>
      <c r="C24" s="389">
        <v>208</v>
      </c>
      <c r="D24" s="390" t="str">
        <f>VLOOKUP(C24,'MASTER Name List'!$B$3:$M$300,2,FALSE)</f>
        <v>萧志倫</v>
      </c>
      <c r="E24" s="420">
        <v>46082</v>
      </c>
      <c r="F24" s="420">
        <v>46113</v>
      </c>
      <c r="G24" s="822" t="s">
        <v>862</v>
      </c>
      <c r="H24" s="422">
        <f t="shared" si="0"/>
        <v>2</v>
      </c>
      <c r="I24" s="392">
        <v>50</v>
      </c>
      <c r="J24" s="107">
        <f t="shared" si="1"/>
        <v>100</v>
      </c>
      <c r="K24" s="184"/>
      <c r="L24" s="184"/>
      <c r="M24" s="681">
        <v>5</v>
      </c>
      <c r="N24" s="819">
        <f>SUMIF(M:M,"5",J:J)</f>
        <v>100</v>
      </c>
      <c r="O24" s="397" t="s">
        <v>911</v>
      </c>
      <c r="P24" s="394"/>
      <c r="Q24" s="409"/>
      <c r="S24" s="396"/>
      <c r="T24" s="396"/>
      <c r="W24" s="400">
        <v>45962</v>
      </c>
    </row>
    <row r="25" spans="1:23" ht="15">
      <c r="A25" s="379"/>
      <c r="B25" s="177" t="s">
        <v>912</v>
      </c>
      <c r="C25" s="389"/>
      <c r="D25" s="390" t="e">
        <f>VLOOKUP(C25,'MASTER Name List'!$B$3:$M$300,2,FALSE)</f>
        <v>#N/A</v>
      </c>
      <c r="E25" s="420"/>
      <c r="F25" s="420"/>
      <c r="G25" s="822"/>
      <c r="H25" s="422">
        <f t="shared" si="0"/>
        <v>1</v>
      </c>
      <c r="I25" s="392">
        <v>50</v>
      </c>
      <c r="J25" s="107" t="str">
        <f t="shared" si="1"/>
        <v>-</v>
      </c>
      <c r="K25" s="184"/>
      <c r="L25" s="184"/>
      <c r="M25" s="108"/>
      <c r="N25" s="819"/>
      <c r="O25" s="397"/>
      <c r="P25" s="394"/>
      <c r="Q25" s="409"/>
      <c r="S25" s="396"/>
      <c r="T25" s="396"/>
      <c r="W25" s="400">
        <v>45992</v>
      </c>
    </row>
    <row r="26" spans="1:23" ht="15">
      <c r="A26" s="379"/>
      <c r="B26" s="177" t="s">
        <v>913</v>
      </c>
      <c r="C26" s="389"/>
      <c r="D26" s="390" t="e">
        <f>VLOOKUP(C26,'MASTER Name List'!$B$3:$M$300,2,FALSE)</f>
        <v>#N/A</v>
      </c>
      <c r="E26" s="420"/>
      <c r="F26" s="420"/>
      <c r="G26" s="822"/>
      <c r="H26" s="422">
        <f t="shared" si="0"/>
        <v>1</v>
      </c>
      <c r="I26" s="392">
        <v>50</v>
      </c>
      <c r="J26" s="107" t="str">
        <f t="shared" si="1"/>
        <v>-</v>
      </c>
      <c r="K26" s="184"/>
      <c r="L26" s="184"/>
      <c r="M26" s="108"/>
      <c r="N26" s="819"/>
      <c r="O26" s="397"/>
      <c r="P26" s="394"/>
      <c r="Q26" s="409"/>
      <c r="S26" s="396"/>
      <c r="T26" s="396"/>
      <c r="W26" s="400">
        <v>46023</v>
      </c>
    </row>
    <row r="27" spans="1:23" ht="15">
      <c r="A27" s="379"/>
      <c r="B27" s="177"/>
      <c r="C27" s="389"/>
      <c r="D27" s="390" t="e">
        <f>VLOOKUP(C27,'MASTER Name List'!$B$3:$M$300,2,FALSE)</f>
        <v>#N/A</v>
      </c>
      <c r="E27" s="420"/>
      <c r="F27" s="420"/>
      <c r="G27" s="822"/>
      <c r="H27" s="422">
        <f t="shared" si="0"/>
        <v>1</v>
      </c>
      <c r="I27" s="392">
        <v>50</v>
      </c>
      <c r="J27" s="107" t="str">
        <f t="shared" si="1"/>
        <v>-</v>
      </c>
      <c r="K27" s="184"/>
      <c r="L27" s="184"/>
      <c r="M27" s="108"/>
      <c r="N27" s="819"/>
      <c r="O27" s="397"/>
      <c r="P27" s="394"/>
      <c r="Q27" s="409"/>
      <c r="S27" s="396"/>
      <c r="T27" s="396"/>
      <c r="W27" s="400">
        <v>46054</v>
      </c>
    </row>
    <row r="28" spans="1:23" ht="15">
      <c r="A28" s="379"/>
      <c r="B28" s="177"/>
      <c r="C28" s="389"/>
      <c r="D28" s="390" t="e">
        <f>VLOOKUP(C28,'MASTER Name List'!$B$3:$M$300,2,FALSE)</f>
        <v>#N/A</v>
      </c>
      <c r="E28" s="420"/>
      <c r="F28" s="420"/>
      <c r="G28" s="822"/>
      <c r="H28" s="422">
        <f t="shared" si="0"/>
        <v>1</v>
      </c>
      <c r="I28" s="392">
        <v>50</v>
      </c>
      <c r="J28" s="107" t="str">
        <f t="shared" si="1"/>
        <v>-</v>
      </c>
      <c r="K28" s="184"/>
      <c r="L28" s="184"/>
      <c r="M28" s="108"/>
      <c r="N28" s="819"/>
      <c r="O28" s="397"/>
      <c r="P28" s="394"/>
      <c r="Q28" s="409"/>
      <c r="S28" s="396"/>
      <c r="T28" s="396"/>
      <c r="W28" s="400">
        <v>46082</v>
      </c>
    </row>
    <row r="29" spans="1:23" ht="15">
      <c r="A29" s="379"/>
      <c r="B29" s="177"/>
      <c r="C29" s="389"/>
      <c r="D29" s="390" t="e">
        <f>VLOOKUP(C29,'MASTER Name List'!$B$3:$M$300,2,FALSE)</f>
        <v>#N/A</v>
      </c>
      <c r="E29" s="420"/>
      <c r="F29" s="420"/>
      <c r="G29" s="822"/>
      <c r="H29" s="422">
        <f t="shared" si="0"/>
        <v>1</v>
      </c>
      <c r="I29" s="392">
        <v>50</v>
      </c>
      <c r="J29" s="107" t="str">
        <f t="shared" si="1"/>
        <v>-</v>
      </c>
      <c r="K29" s="184"/>
      <c r="L29" s="184"/>
      <c r="M29" s="108"/>
      <c r="N29" s="819"/>
      <c r="O29" s="397"/>
      <c r="P29" s="394"/>
      <c r="Q29" s="409"/>
      <c r="S29" s="396"/>
      <c r="T29" s="396"/>
      <c r="W29" s="400">
        <v>46113</v>
      </c>
    </row>
    <row r="30" spans="1:23" ht="15">
      <c r="A30" s="379"/>
      <c r="B30" s="177"/>
      <c r="C30" s="389"/>
      <c r="D30" s="390" t="e">
        <f>VLOOKUP(C30,'MASTER Name List'!$B$3:$M$300,2,FALSE)</f>
        <v>#N/A</v>
      </c>
      <c r="E30" s="420"/>
      <c r="F30" s="420"/>
      <c r="G30" s="822"/>
      <c r="H30" s="422">
        <f t="shared" si="0"/>
        <v>1</v>
      </c>
      <c r="I30" s="392">
        <v>50</v>
      </c>
      <c r="J30" s="107" t="str">
        <f t="shared" si="1"/>
        <v>-</v>
      </c>
      <c r="K30" s="184"/>
      <c r="L30" s="184"/>
      <c r="M30" s="108"/>
      <c r="N30" s="819"/>
      <c r="O30" s="397"/>
      <c r="P30" s="394"/>
      <c r="Q30" s="409"/>
      <c r="S30" s="396"/>
      <c r="T30" s="396"/>
      <c r="W30" s="400">
        <v>46143</v>
      </c>
    </row>
    <row r="31" spans="1:23" ht="15">
      <c r="A31" s="379"/>
      <c r="B31" s="177"/>
      <c r="C31" s="389"/>
      <c r="D31" s="390" t="e">
        <f>VLOOKUP(C31,'MASTER Name List'!$B$3:$M$300,2,FALSE)</f>
        <v>#N/A</v>
      </c>
      <c r="E31" s="420"/>
      <c r="F31" s="420"/>
      <c r="G31" s="824"/>
      <c r="H31" s="422">
        <f t="shared" si="0"/>
        <v>1</v>
      </c>
      <c r="I31" s="392">
        <v>50</v>
      </c>
      <c r="J31" s="107" t="str">
        <f t="shared" si="1"/>
        <v>-</v>
      </c>
      <c r="K31" s="184"/>
      <c r="L31" s="184"/>
      <c r="M31" s="108"/>
      <c r="N31" s="819"/>
      <c r="O31" s="397"/>
      <c r="P31" s="394"/>
      <c r="Q31" s="409"/>
      <c r="S31" s="396"/>
      <c r="T31" s="396"/>
      <c r="W31" s="400">
        <v>46174</v>
      </c>
    </row>
    <row r="32" spans="1:23" ht="15">
      <c r="A32" s="379"/>
      <c r="B32" s="177"/>
      <c r="C32" s="389"/>
      <c r="D32" s="390" t="e">
        <f>VLOOKUP(C32,'MASTER Name List'!$B$3:$M$300,2,FALSE)</f>
        <v>#N/A</v>
      </c>
      <c r="E32" s="420"/>
      <c r="F32" s="420"/>
      <c r="G32" s="822"/>
      <c r="H32" s="657">
        <f t="shared" si="0"/>
        <v>1</v>
      </c>
      <c r="I32" s="656">
        <v>50</v>
      </c>
      <c r="J32" s="107" t="str">
        <f t="shared" si="1"/>
        <v>-</v>
      </c>
      <c r="K32" s="184"/>
      <c r="L32" s="184"/>
      <c r="M32" s="108"/>
      <c r="N32" s="819"/>
      <c r="O32" s="397"/>
      <c r="P32" s="394"/>
      <c r="Q32" s="409"/>
      <c r="S32" s="396"/>
      <c r="T32" s="396"/>
      <c r="W32" s="400">
        <v>46204</v>
      </c>
    </row>
    <row r="33" spans="1:23" ht="15">
      <c r="A33" s="379"/>
      <c r="B33" s="177"/>
      <c r="C33" s="389"/>
      <c r="D33" s="390" t="e">
        <f>VLOOKUP(C33,'MASTER Name List'!$B$3:$M$300,2,FALSE)</f>
        <v>#N/A</v>
      </c>
      <c r="E33" s="420"/>
      <c r="F33" s="420"/>
      <c r="G33" s="822"/>
      <c r="H33" s="657">
        <f t="shared" si="0"/>
        <v>1</v>
      </c>
      <c r="I33" s="656">
        <v>50</v>
      </c>
      <c r="J33" s="107" t="str">
        <f t="shared" si="1"/>
        <v>-</v>
      </c>
      <c r="K33" s="184"/>
      <c r="L33" s="184"/>
      <c r="M33" s="108"/>
      <c r="N33" s="819"/>
      <c r="O33" s="397"/>
      <c r="P33" s="394"/>
      <c r="Q33" s="409"/>
      <c r="S33" s="396"/>
      <c r="T33" s="396"/>
      <c r="W33" s="400">
        <v>46235</v>
      </c>
    </row>
    <row r="34" spans="1:23" ht="15">
      <c r="A34" s="379"/>
      <c r="B34" s="177"/>
      <c r="C34" s="389"/>
      <c r="D34" s="390" t="e">
        <f>VLOOKUP(C34,'MASTER Name List'!$B$3:$M$300,2,FALSE)</f>
        <v>#N/A</v>
      </c>
      <c r="E34" s="420"/>
      <c r="F34" s="420"/>
      <c r="G34" s="822"/>
      <c r="H34" s="657">
        <f t="shared" si="0"/>
        <v>1</v>
      </c>
      <c r="I34" s="656">
        <v>50</v>
      </c>
      <c r="J34" s="107" t="str">
        <f t="shared" si="1"/>
        <v>-</v>
      </c>
      <c r="K34" s="184"/>
      <c r="L34" s="184"/>
      <c r="M34" s="108"/>
      <c r="N34" s="819">
        <f>SUMIF(M:M,"0",J:J)</f>
        <v>0</v>
      </c>
      <c r="O34" s="397"/>
      <c r="P34" s="394"/>
      <c r="Q34" s="409"/>
      <c r="S34" s="396"/>
      <c r="T34" s="396"/>
      <c r="W34" s="400">
        <v>46266</v>
      </c>
    </row>
    <row r="35" spans="1:23" ht="15">
      <c r="A35" s="379"/>
      <c r="B35" s="177"/>
      <c r="C35" s="389"/>
      <c r="D35" s="390" t="e">
        <f>VLOOKUP(C35,'MASTER Name List'!$B$3:$M$300,2,FALSE)</f>
        <v>#N/A</v>
      </c>
      <c r="E35" s="420"/>
      <c r="F35" s="420"/>
      <c r="G35" s="822"/>
      <c r="H35" s="657">
        <f t="shared" si="0"/>
        <v>1</v>
      </c>
      <c r="I35" s="656">
        <v>50</v>
      </c>
      <c r="J35" s="107" t="str">
        <f t="shared" si="1"/>
        <v>-</v>
      </c>
      <c r="K35" s="184"/>
      <c r="L35" s="184"/>
      <c r="M35" s="108"/>
      <c r="N35" s="819"/>
      <c r="O35" s="397"/>
      <c r="P35" s="394"/>
      <c r="Q35" s="409"/>
      <c r="S35" s="396"/>
      <c r="T35" s="396"/>
      <c r="W35" s="400">
        <v>46296</v>
      </c>
    </row>
    <row r="36" spans="1:23" ht="15">
      <c r="A36" s="379"/>
      <c r="B36" s="177"/>
      <c r="C36" s="389"/>
      <c r="D36" s="390" t="e">
        <f>VLOOKUP(C36,'MASTER Name List'!$B$3:$M$300,2,FALSE)</f>
        <v>#N/A</v>
      </c>
      <c r="E36" s="420"/>
      <c r="F36" s="420"/>
      <c r="G36" s="822"/>
      <c r="H36" s="657">
        <f t="shared" si="0"/>
        <v>1</v>
      </c>
      <c r="I36" s="656">
        <v>50</v>
      </c>
      <c r="J36" s="107" t="str">
        <f t="shared" si="1"/>
        <v>-</v>
      </c>
      <c r="K36" s="184"/>
      <c r="L36" s="184"/>
      <c r="M36" s="108"/>
      <c r="N36" s="819"/>
      <c r="O36" s="397"/>
      <c r="P36" s="394"/>
      <c r="Q36" s="409"/>
      <c r="S36" s="396"/>
      <c r="T36" s="396"/>
      <c r="W36" s="400">
        <v>46327</v>
      </c>
    </row>
    <row r="37" spans="1:23" ht="15">
      <c r="A37" s="379"/>
      <c r="B37" s="177"/>
      <c r="C37" s="389"/>
      <c r="D37" s="390" t="e">
        <f>VLOOKUP(C37,'MASTER Name List'!$B$3:$M$300,2,FALSE)</f>
        <v>#N/A</v>
      </c>
      <c r="E37" s="420"/>
      <c r="F37" s="420"/>
      <c r="G37" s="822"/>
      <c r="H37" s="657">
        <f t="shared" si="0"/>
        <v>1</v>
      </c>
      <c r="I37" s="656">
        <v>50</v>
      </c>
      <c r="J37" s="107" t="str">
        <f t="shared" si="1"/>
        <v>-</v>
      </c>
      <c r="K37" s="184"/>
      <c r="L37" s="184"/>
      <c r="M37" s="108"/>
      <c r="N37" s="819"/>
      <c r="O37" s="397"/>
      <c r="P37" s="394"/>
      <c r="Q37" s="409"/>
      <c r="S37" s="396"/>
      <c r="T37" s="396"/>
      <c r="W37" s="400">
        <v>46357</v>
      </c>
    </row>
    <row r="38" spans="1:23" ht="15">
      <c r="A38" s="379"/>
      <c r="B38" s="177"/>
      <c r="C38" s="389"/>
      <c r="D38" s="390" t="e">
        <f>VLOOKUP(C38,'MASTER Name List'!$B$3:$M$300,2,FALSE)</f>
        <v>#N/A</v>
      </c>
      <c r="E38" s="420"/>
      <c r="F38" s="420"/>
      <c r="G38" s="822"/>
      <c r="H38" s="657">
        <f t="shared" si="0"/>
        <v>1</v>
      </c>
      <c r="I38" s="656">
        <v>50</v>
      </c>
      <c r="J38" s="107" t="str">
        <f t="shared" si="1"/>
        <v>-</v>
      </c>
      <c r="K38" s="184"/>
      <c r="L38" s="184"/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177"/>
      <c r="C39" s="389"/>
      <c r="D39" s="390" t="e">
        <f>VLOOKUP(C39,'MASTER Name List'!$B$3:$M$300,2,FALSE)</f>
        <v>#N/A</v>
      </c>
      <c r="E39" s="420"/>
      <c r="F39" s="420"/>
      <c r="G39" s="824"/>
      <c r="H39" s="657">
        <f t="shared" si="0"/>
        <v>1</v>
      </c>
      <c r="I39" s="656">
        <v>50</v>
      </c>
      <c r="J39" s="107" t="str">
        <f t="shared" si="1"/>
        <v>-</v>
      </c>
      <c r="K39" s="184"/>
      <c r="L39" s="184"/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177"/>
      <c r="C40" s="644"/>
      <c r="D40" s="390" t="e">
        <f>VLOOKUP(C40,'MASTER Name List'!$B$3:$M$300,2,FALSE)</f>
        <v>#N/A</v>
      </c>
      <c r="E40" s="645"/>
      <c r="F40" s="645"/>
      <c r="G40" s="825"/>
      <c r="H40" s="657">
        <f t="shared" si="0"/>
        <v>1</v>
      </c>
      <c r="I40" s="656">
        <v>50</v>
      </c>
      <c r="J40" s="107" t="str">
        <f t="shared" si="1"/>
        <v>-</v>
      </c>
      <c r="K40" s="184"/>
      <c r="L40" s="184"/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177"/>
      <c r="C41" s="646"/>
      <c r="D41" s="390" t="e">
        <f>VLOOKUP(C41,'MASTER Name List'!$B$3:$M$300,2,FALSE)</f>
        <v>#N/A</v>
      </c>
      <c r="E41" s="647"/>
      <c r="F41" s="647"/>
      <c r="G41" s="826"/>
      <c r="H41" s="657">
        <f t="shared" si="0"/>
        <v>1</v>
      </c>
      <c r="I41" s="656">
        <v>50</v>
      </c>
      <c r="J41" s="107" t="str">
        <f t="shared" si="1"/>
        <v>-</v>
      </c>
      <c r="K41" s="184"/>
      <c r="L41" s="184"/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177"/>
      <c r="C42" s="646"/>
      <c r="D42" s="390" t="e">
        <f>VLOOKUP(C42,'MASTER Name List'!$B$3:$M$300,2,FALSE)</f>
        <v>#N/A</v>
      </c>
      <c r="E42" s="647"/>
      <c r="F42" s="647"/>
      <c r="G42" s="827" t="s">
        <v>846</v>
      </c>
      <c r="H42" s="657">
        <f t="shared" si="0"/>
        <v>1</v>
      </c>
      <c r="I42" s="656">
        <v>50</v>
      </c>
      <c r="J42" s="107" t="str">
        <f t="shared" si="1"/>
        <v>-</v>
      </c>
      <c r="K42" s="184"/>
      <c r="L42" s="184"/>
      <c r="M42" s="108"/>
      <c r="N42" s="819">
        <f>SUMIF(M:M,"5",J:J)</f>
        <v>100</v>
      </c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648"/>
      <c r="C43" s="649"/>
      <c r="D43" s="650"/>
      <c r="E43" s="651"/>
      <c r="F43" s="651"/>
      <c r="G43" s="828"/>
      <c r="H43" s="652"/>
      <c r="I43" s="653"/>
      <c r="J43" s="654"/>
      <c r="K43" s="184"/>
      <c r="L43" s="184"/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177"/>
      <c r="C44" s="389"/>
      <c r="D44" s="390"/>
      <c r="E44" s="420"/>
      <c r="F44" s="420"/>
      <c r="G44" s="402"/>
      <c r="H44" s="643"/>
      <c r="I44" s="404"/>
      <c r="J44" s="107"/>
      <c r="K44" s="107"/>
      <c r="L44" s="107"/>
      <c r="M44" s="108"/>
      <c r="N44" s="819"/>
      <c r="O44" s="397"/>
      <c r="P44" s="394"/>
      <c r="Q44" s="409"/>
      <c r="S44" s="396"/>
      <c r="T44" s="396"/>
      <c r="W44" s="400">
        <v>46569</v>
      </c>
    </row>
    <row r="45" spans="1:23" ht="15">
      <c r="A45" s="379"/>
      <c r="B45" s="405" t="s">
        <v>487</v>
      </c>
      <c r="C45" s="389"/>
      <c r="D45" s="390"/>
      <c r="E45" s="420"/>
      <c r="F45" s="420"/>
      <c r="G45" s="391"/>
      <c r="H45" s="406"/>
      <c r="I45" s="656"/>
      <c r="J45" s="107"/>
      <c r="K45" s="107"/>
      <c r="L45" s="107"/>
      <c r="M45" s="108"/>
      <c r="N45" s="819"/>
      <c r="O45" s="397"/>
      <c r="P45" s="394"/>
      <c r="Q45" s="409"/>
      <c r="S45" s="396"/>
      <c r="T45" s="396"/>
      <c r="W45" s="400">
        <v>46600</v>
      </c>
    </row>
    <row r="46" spans="1:23" ht="15">
      <c r="A46" s="379">
        <v>46084</v>
      </c>
      <c r="B46" s="655"/>
      <c r="C46" s="389">
        <v>6</v>
      </c>
      <c r="D46" s="390" t="str">
        <f>VLOOKUP(C46,'MASTER Name List'!$B$3:$M$300,2,FALSE)</f>
        <v>张婷奕</v>
      </c>
      <c r="E46" s="420">
        <v>46023</v>
      </c>
      <c r="F46" s="420">
        <v>46357</v>
      </c>
      <c r="G46" s="726" t="s">
        <v>786</v>
      </c>
      <c r="H46" s="657">
        <f t="shared" ref="H46:H63" si="2">DATEDIF(E46,F46,"M")+1</f>
        <v>12</v>
      </c>
      <c r="I46" s="656">
        <v>50</v>
      </c>
      <c r="J46" s="184"/>
      <c r="K46" s="184"/>
      <c r="L46" s="107">
        <f>IF($C46="","-",$H46*$I46)</f>
        <v>600</v>
      </c>
      <c r="M46" s="108"/>
      <c r="N46" s="819"/>
      <c r="O46" s="397"/>
      <c r="P46" s="394" t="s">
        <v>125</v>
      </c>
      <c r="Q46" s="821" t="s">
        <v>914</v>
      </c>
      <c r="S46" s="396"/>
      <c r="T46" s="396"/>
      <c r="W46" s="400">
        <v>46631</v>
      </c>
    </row>
    <row r="47" spans="1:23" ht="15">
      <c r="A47" s="379">
        <v>46085</v>
      </c>
      <c r="B47" s="655"/>
      <c r="C47" s="389">
        <v>116</v>
      </c>
      <c r="D47" s="390" t="str">
        <f>VLOOKUP(C47,'MASTER Name List'!$B$3:$M$300,2,FALSE)</f>
        <v>李薇薇</v>
      </c>
      <c r="E47" s="420">
        <v>46082</v>
      </c>
      <c r="F47" s="420">
        <v>46082</v>
      </c>
      <c r="G47" s="726">
        <v>46082</v>
      </c>
      <c r="H47" s="657">
        <f t="shared" si="2"/>
        <v>1</v>
      </c>
      <c r="I47" s="656">
        <v>50</v>
      </c>
      <c r="J47" s="184"/>
      <c r="K47" s="184"/>
      <c r="L47" s="107">
        <f t="shared" ref="L47:L64" si="3">IF($C47="","-",$H47*$I47)</f>
        <v>50</v>
      </c>
      <c r="M47" s="108"/>
      <c r="N47" s="819"/>
      <c r="O47" s="397"/>
      <c r="P47" s="394" t="s">
        <v>125</v>
      </c>
      <c r="Q47" s="821" t="s">
        <v>133</v>
      </c>
      <c r="S47" s="396"/>
      <c r="T47" s="396"/>
      <c r="W47" s="400">
        <v>46661</v>
      </c>
    </row>
    <row r="48" spans="1:23" ht="15">
      <c r="A48" s="379">
        <v>46085</v>
      </c>
      <c r="B48" s="407"/>
      <c r="C48" s="389">
        <v>117</v>
      </c>
      <c r="D48" s="390" t="str">
        <f>VLOOKUP(C48,'MASTER Name List'!$B$3:$M$300,2,FALSE)</f>
        <v>张志文</v>
      </c>
      <c r="E48" s="420">
        <v>46082</v>
      </c>
      <c r="F48" s="420">
        <v>46082</v>
      </c>
      <c r="G48" s="726">
        <v>46082</v>
      </c>
      <c r="H48" s="657">
        <f t="shared" si="2"/>
        <v>1</v>
      </c>
      <c r="I48" s="656">
        <v>50</v>
      </c>
      <c r="J48" s="184"/>
      <c r="K48" s="184"/>
      <c r="L48" s="107">
        <f t="shared" si="3"/>
        <v>50</v>
      </c>
      <c r="M48" s="108"/>
      <c r="N48" s="819"/>
      <c r="O48" s="397"/>
      <c r="P48" s="394" t="s">
        <v>125</v>
      </c>
      <c r="Q48" s="821" t="s">
        <v>915</v>
      </c>
      <c r="S48" s="396"/>
      <c r="T48" s="396"/>
      <c r="W48" s="400">
        <v>46692</v>
      </c>
    </row>
    <row r="49" spans="1:23" ht="15">
      <c r="A49" s="379">
        <v>46086</v>
      </c>
      <c r="B49" s="407"/>
      <c r="C49" s="389">
        <v>162</v>
      </c>
      <c r="D49" s="390" t="str">
        <f>VLOOKUP(C49,'MASTER Name List'!$B$3:$M$300,2,FALSE)</f>
        <v>方惠贤</v>
      </c>
      <c r="E49" s="420">
        <v>46082</v>
      </c>
      <c r="F49" s="420">
        <v>46113</v>
      </c>
      <c r="G49" s="726" t="s">
        <v>862</v>
      </c>
      <c r="H49" s="657">
        <f t="shared" si="2"/>
        <v>2</v>
      </c>
      <c r="I49" s="656">
        <v>50</v>
      </c>
      <c r="J49" s="184"/>
      <c r="K49" s="184"/>
      <c r="L49" s="107">
        <f t="shared" si="3"/>
        <v>100</v>
      </c>
      <c r="M49" s="108"/>
      <c r="N49" s="819"/>
      <c r="O49" s="408"/>
      <c r="P49" s="394" t="s">
        <v>125</v>
      </c>
      <c r="Q49" s="821" t="s">
        <v>126</v>
      </c>
      <c r="S49" s="396"/>
      <c r="T49" s="396"/>
      <c r="W49" s="400">
        <v>46722</v>
      </c>
    </row>
    <row r="50" spans="1:23" ht="15">
      <c r="A50" s="379">
        <v>46087</v>
      </c>
      <c r="B50" s="407"/>
      <c r="C50" s="389">
        <v>172</v>
      </c>
      <c r="D50" s="390" t="str">
        <f>VLOOKUP(C50,'MASTER Name List'!$B$3:$M$300,2,FALSE)</f>
        <v>蔡均镅</v>
      </c>
      <c r="E50" s="420">
        <v>46082</v>
      </c>
      <c r="F50" s="420">
        <v>46113</v>
      </c>
      <c r="G50" s="726" t="s">
        <v>862</v>
      </c>
      <c r="H50" s="657">
        <f t="shared" si="2"/>
        <v>2</v>
      </c>
      <c r="I50" s="656">
        <v>50</v>
      </c>
      <c r="J50" s="184"/>
      <c r="K50" s="184"/>
      <c r="L50" s="107">
        <f t="shared" si="3"/>
        <v>100</v>
      </c>
      <c r="M50" s="108"/>
      <c r="N50" s="819"/>
      <c r="O50" s="397"/>
      <c r="P50" s="394" t="s">
        <v>125</v>
      </c>
      <c r="Q50" s="821" t="s">
        <v>194</v>
      </c>
      <c r="S50" s="396"/>
      <c r="T50" s="396"/>
      <c r="W50" s="400">
        <v>46753</v>
      </c>
    </row>
    <row r="51" spans="1:23" ht="15">
      <c r="A51" s="379">
        <v>46091</v>
      </c>
      <c r="B51" s="407"/>
      <c r="C51" s="389">
        <v>123</v>
      </c>
      <c r="D51" s="390" t="str">
        <f>VLOOKUP(C51,'MASTER Name List'!$B$3:$M$300,2,FALSE)</f>
        <v>黄丽娟</v>
      </c>
      <c r="E51" s="420">
        <v>46082</v>
      </c>
      <c r="F51" s="420">
        <v>46113</v>
      </c>
      <c r="G51" s="726" t="s">
        <v>862</v>
      </c>
      <c r="H51" s="422">
        <f t="shared" si="2"/>
        <v>2</v>
      </c>
      <c r="I51" s="392">
        <v>50</v>
      </c>
      <c r="J51" s="184"/>
      <c r="K51" s="184"/>
      <c r="L51" s="107">
        <f t="shared" si="3"/>
        <v>100</v>
      </c>
      <c r="M51" s="108"/>
      <c r="N51" s="819"/>
      <c r="O51" s="397"/>
      <c r="P51" s="394" t="s">
        <v>125</v>
      </c>
      <c r="Q51" s="325" t="s">
        <v>803</v>
      </c>
      <c r="S51" s="396"/>
      <c r="T51" s="396"/>
      <c r="W51" s="400">
        <v>46784</v>
      </c>
    </row>
    <row r="52" spans="1:23" ht="15">
      <c r="A52" s="379">
        <v>46094</v>
      </c>
      <c r="B52" s="407"/>
      <c r="C52" s="389">
        <v>40</v>
      </c>
      <c r="D52" s="390" t="str">
        <f>VLOOKUP(C52,'MASTER Name List'!$B$3:$M$300,2,FALSE)</f>
        <v>何梅歆</v>
      </c>
      <c r="E52" s="420">
        <v>46204</v>
      </c>
      <c r="F52" s="420">
        <v>46235</v>
      </c>
      <c r="G52" s="726" t="s">
        <v>848</v>
      </c>
      <c r="H52" s="422">
        <f t="shared" si="2"/>
        <v>2</v>
      </c>
      <c r="I52" s="392">
        <v>50</v>
      </c>
      <c r="J52" s="184"/>
      <c r="K52" s="184"/>
      <c r="L52" s="107">
        <f t="shared" si="3"/>
        <v>100</v>
      </c>
      <c r="M52" s="108"/>
      <c r="N52" s="819"/>
      <c r="O52" s="397"/>
      <c r="P52" s="394" t="s">
        <v>125</v>
      </c>
      <c r="Q52" s="409" t="s">
        <v>614</v>
      </c>
      <c r="S52" s="396"/>
      <c r="T52" s="396"/>
      <c r="W52" s="400">
        <v>46813</v>
      </c>
    </row>
    <row r="53" spans="1:23" ht="15">
      <c r="A53" s="379">
        <v>46100</v>
      </c>
      <c r="B53" s="407"/>
      <c r="C53" s="389">
        <v>175</v>
      </c>
      <c r="D53" s="390" t="str">
        <f>VLOOKUP(C53,'MASTER Name List'!$B$3:$M$300,2,FALSE)</f>
        <v>洪鼎惟</v>
      </c>
      <c r="E53" s="420">
        <v>46113</v>
      </c>
      <c r="F53" s="420">
        <v>46113</v>
      </c>
      <c r="G53" s="726">
        <v>46113</v>
      </c>
      <c r="H53" s="422">
        <f t="shared" si="2"/>
        <v>1</v>
      </c>
      <c r="I53" s="392">
        <v>50</v>
      </c>
      <c r="J53" s="184"/>
      <c r="K53" s="184"/>
      <c r="L53" s="107">
        <f t="shared" si="3"/>
        <v>50</v>
      </c>
      <c r="M53" s="108"/>
      <c r="N53" s="819"/>
      <c r="O53" s="397"/>
      <c r="P53" s="710" t="s">
        <v>125</v>
      </c>
      <c r="Q53" s="821" t="s">
        <v>148</v>
      </c>
      <c r="S53" s="396"/>
      <c r="T53" s="396"/>
      <c r="W53" s="400">
        <v>46844</v>
      </c>
    </row>
    <row r="54" spans="1:23" ht="15">
      <c r="A54" s="379">
        <v>46106</v>
      </c>
      <c r="B54" s="407"/>
      <c r="C54" s="389">
        <v>80</v>
      </c>
      <c r="D54" s="390" t="str">
        <f>VLOOKUP(C54,'MASTER Name List'!$B$3:$M$300,2,FALSE)</f>
        <v>黄淑芬</v>
      </c>
      <c r="E54" s="420">
        <v>46113</v>
      </c>
      <c r="F54" s="420">
        <v>46113</v>
      </c>
      <c r="G54" s="726">
        <v>46113</v>
      </c>
      <c r="H54" s="422">
        <f t="shared" si="2"/>
        <v>1</v>
      </c>
      <c r="I54" s="392">
        <v>50</v>
      </c>
      <c r="J54" s="184"/>
      <c r="K54" s="184"/>
      <c r="L54" s="107">
        <f t="shared" si="3"/>
        <v>50</v>
      </c>
      <c r="M54" s="108"/>
      <c r="N54" s="819"/>
      <c r="O54" s="397"/>
      <c r="P54" s="397" t="s">
        <v>125</v>
      </c>
      <c r="Q54" s="821" t="s">
        <v>179</v>
      </c>
      <c r="S54" s="396"/>
      <c r="T54" s="396"/>
      <c r="W54" s="400">
        <v>46874</v>
      </c>
    </row>
    <row r="55" spans="1:23" ht="15">
      <c r="A55" s="379">
        <v>46106</v>
      </c>
      <c r="B55" s="407"/>
      <c r="C55" s="389">
        <v>224</v>
      </c>
      <c r="D55" s="390" t="str">
        <f>VLOOKUP(C55,'MASTER Name List'!$B$3:$M$300,2,FALSE)</f>
        <v xml:space="preserve">黄文勝 </v>
      </c>
      <c r="E55" s="420">
        <v>46113</v>
      </c>
      <c r="F55" s="420">
        <v>46113</v>
      </c>
      <c r="G55" s="726">
        <v>46113</v>
      </c>
      <c r="H55" s="422">
        <f t="shared" si="2"/>
        <v>1</v>
      </c>
      <c r="I55" s="392">
        <v>50</v>
      </c>
      <c r="J55" s="184"/>
      <c r="K55" s="184"/>
      <c r="L55" s="107">
        <f t="shared" si="3"/>
        <v>50</v>
      </c>
      <c r="M55" s="108"/>
      <c r="N55" s="819"/>
      <c r="O55" s="397"/>
      <c r="P55" s="394" t="s">
        <v>125</v>
      </c>
      <c r="Q55" s="821" t="s">
        <v>179</v>
      </c>
      <c r="S55" s="396"/>
      <c r="T55" s="396"/>
      <c r="W55" s="400">
        <v>46905</v>
      </c>
    </row>
    <row r="56" spans="1:23" ht="15">
      <c r="A56" s="379">
        <v>46110</v>
      </c>
      <c r="B56" s="407"/>
      <c r="C56" s="389">
        <v>162</v>
      </c>
      <c r="D56" s="390" t="str">
        <f>VLOOKUP(C56,'MASTER Name List'!$B$3:$M$300,2,FALSE)</f>
        <v>方惠贤</v>
      </c>
      <c r="E56" s="420">
        <v>46143</v>
      </c>
      <c r="F56" s="420">
        <v>46174</v>
      </c>
      <c r="G56" s="726" t="s">
        <v>916</v>
      </c>
      <c r="H56" s="422">
        <f t="shared" si="2"/>
        <v>2</v>
      </c>
      <c r="I56" s="392">
        <v>50</v>
      </c>
      <c r="J56" s="184"/>
      <c r="K56" s="184"/>
      <c r="L56" s="107">
        <f t="shared" si="3"/>
        <v>100</v>
      </c>
      <c r="M56" s="108"/>
      <c r="N56" s="819"/>
      <c r="O56" s="397"/>
      <c r="P56" s="394" t="s">
        <v>125</v>
      </c>
      <c r="Q56" s="821" t="s">
        <v>126</v>
      </c>
      <c r="S56" s="396"/>
      <c r="T56" s="396"/>
      <c r="W56" s="400">
        <v>46935</v>
      </c>
    </row>
    <row r="57" spans="1:23" ht="15">
      <c r="A57" s="379">
        <v>46112</v>
      </c>
      <c r="B57" s="407"/>
      <c r="C57" s="699">
        <v>236</v>
      </c>
      <c r="D57" s="700" t="str">
        <f>VLOOKUP(C57,'MASTER Name List'!$B$3:$M$300,2,FALSE)</f>
        <v>欧慧菁</v>
      </c>
      <c r="E57" s="420">
        <v>46113</v>
      </c>
      <c r="F57" s="420">
        <v>46174</v>
      </c>
      <c r="G57" s="726" t="s">
        <v>916</v>
      </c>
      <c r="H57" s="422">
        <f t="shared" si="2"/>
        <v>3</v>
      </c>
      <c r="I57" s="392">
        <v>50</v>
      </c>
      <c r="J57" s="184"/>
      <c r="K57" s="184"/>
      <c r="L57" s="107">
        <f t="shared" si="3"/>
        <v>150</v>
      </c>
      <c r="M57" s="108"/>
      <c r="N57" s="819"/>
      <c r="O57" s="397"/>
      <c r="P57" s="394" t="s">
        <v>125</v>
      </c>
      <c r="Q57" s="821" t="s">
        <v>917</v>
      </c>
      <c r="S57" s="396"/>
      <c r="T57" s="396"/>
      <c r="W57" s="400">
        <v>46966</v>
      </c>
    </row>
    <row r="58" spans="1:23" ht="15">
      <c r="A58" s="379">
        <v>46112</v>
      </c>
      <c r="B58" s="407"/>
      <c r="C58" s="389">
        <v>78</v>
      </c>
      <c r="D58" s="390" t="str">
        <f>VLOOKUP(C58,'MASTER Name List'!$B$3:$M$300,2,FALSE)</f>
        <v>江永成</v>
      </c>
      <c r="E58" s="420">
        <v>45748</v>
      </c>
      <c r="F58" s="420">
        <v>45992</v>
      </c>
      <c r="G58" s="726" t="s">
        <v>918</v>
      </c>
      <c r="H58" s="422">
        <f t="shared" si="2"/>
        <v>9</v>
      </c>
      <c r="I58" s="392">
        <v>50</v>
      </c>
      <c r="J58" s="184"/>
      <c r="K58" s="184"/>
      <c r="L58" s="107">
        <f t="shared" si="3"/>
        <v>450</v>
      </c>
      <c r="M58" s="108"/>
      <c r="N58" s="819"/>
      <c r="O58" s="397"/>
      <c r="P58" s="394" t="s">
        <v>125</v>
      </c>
      <c r="Q58" s="821" t="s">
        <v>919</v>
      </c>
      <c r="S58" s="396"/>
      <c r="T58" s="396"/>
      <c r="W58" s="400">
        <v>46997</v>
      </c>
    </row>
    <row r="59" spans="1:23" ht="15">
      <c r="A59" s="379">
        <v>46112</v>
      </c>
      <c r="B59" s="407"/>
      <c r="C59" s="389">
        <v>234</v>
      </c>
      <c r="D59" s="390" t="str">
        <f>VLOOKUP(C59,'MASTER Name List'!$B$3:$M$300,2,FALSE)</f>
        <v>文嘉诚</v>
      </c>
      <c r="E59" s="420">
        <v>46113</v>
      </c>
      <c r="F59" s="420">
        <v>46113</v>
      </c>
      <c r="G59" s="391">
        <v>46113</v>
      </c>
      <c r="H59" s="422">
        <f t="shared" si="2"/>
        <v>1</v>
      </c>
      <c r="I59" s="392">
        <v>50</v>
      </c>
      <c r="J59" s="184"/>
      <c r="K59" s="184"/>
      <c r="L59" s="107">
        <f t="shared" si="3"/>
        <v>50</v>
      </c>
      <c r="M59" s="108"/>
      <c r="N59" s="819"/>
      <c r="O59" s="397"/>
      <c r="P59" s="394" t="s">
        <v>125</v>
      </c>
      <c r="Q59" s="821" t="s">
        <v>920</v>
      </c>
      <c r="S59" s="396"/>
      <c r="T59" s="396"/>
      <c r="W59" s="400">
        <v>47027</v>
      </c>
    </row>
    <row r="60" spans="1:23" ht="15">
      <c r="A60" s="379"/>
      <c r="B60" s="407"/>
      <c r="C60" s="389"/>
      <c r="D60" s="390" t="e">
        <f>VLOOKUP(C60,'MASTER Name List'!$B$3:$M$300,2,FALSE)</f>
        <v>#N/A</v>
      </c>
      <c r="E60" s="420"/>
      <c r="F60" s="420"/>
      <c r="G60" s="726"/>
      <c r="H60" s="422">
        <f t="shared" si="2"/>
        <v>1</v>
      </c>
      <c r="I60" s="392">
        <v>50</v>
      </c>
      <c r="J60" s="184"/>
      <c r="K60" s="184"/>
      <c r="L60" s="107" t="str">
        <f t="shared" si="3"/>
        <v>-</v>
      </c>
      <c r="M60" s="108"/>
      <c r="N60" s="819"/>
      <c r="O60" s="397"/>
      <c r="P60" s="394"/>
      <c r="Q60" s="409"/>
      <c r="S60" s="396"/>
      <c r="T60" s="396"/>
      <c r="W60" s="400">
        <v>47058</v>
      </c>
    </row>
    <row r="61" spans="1:23" ht="15">
      <c r="A61" s="379"/>
      <c r="B61" s="407"/>
      <c r="C61" s="389"/>
      <c r="D61" s="390" t="e">
        <f>VLOOKUP(C61,'MASTER Name List'!$B$3:$M$300,2,FALSE)</f>
        <v>#N/A</v>
      </c>
      <c r="E61" s="420"/>
      <c r="F61" s="420"/>
      <c r="G61" s="391"/>
      <c r="H61" s="422">
        <f t="shared" si="2"/>
        <v>1</v>
      </c>
      <c r="I61" s="392">
        <v>50</v>
      </c>
      <c r="J61" s="184"/>
      <c r="K61" s="184"/>
      <c r="L61" s="107" t="str">
        <f t="shared" si="3"/>
        <v>-</v>
      </c>
      <c r="M61" s="108"/>
      <c r="N61" s="819"/>
      <c r="O61" s="397"/>
      <c r="P61" s="394"/>
      <c r="Q61" s="409"/>
      <c r="S61" s="396"/>
      <c r="T61" s="396"/>
      <c r="W61" s="400">
        <v>47088</v>
      </c>
    </row>
    <row r="62" spans="1:23" ht="15">
      <c r="A62" s="379"/>
      <c r="B62" s="407"/>
      <c r="C62" s="389"/>
      <c r="D62" s="390" t="e">
        <f>VLOOKUP(C62,'MASTER Name List'!$B$3:$M$300,2,FALSE)</f>
        <v>#N/A</v>
      </c>
      <c r="E62" s="420"/>
      <c r="F62" s="420"/>
      <c r="G62" s="391"/>
      <c r="H62" s="422">
        <f t="shared" si="2"/>
        <v>1</v>
      </c>
      <c r="I62" s="392">
        <v>50</v>
      </c>
      <c r="J62" s="184"/>
      <c r="K62" s="184"/>
      <c r="L62" s="107" t="str">
        <f t="shared" si="3"/>
        <v>-</v>
      </c>
      <c r="M62" s="108"/>
      <c r="N62" s="819"/>
      <c r="O62" s="397"/>
      <c r="P62" s="394"/>
      <c r="Q62" s="409"/>
      <c r="S62" s="396"/>
      <c r="T62" s="396"/>
    </row>
    <row r="63" spans="1:23" ht="15">
      <c r="A63" s="379"/>
      <c r="B63" s="407"/>
      <c r="C63" s="389"/>
      <c r="D63" s="390" t="e">
        <f>VLOOKUP(C63,'MASTER Name List'!$B$3:$M$300,2,FALSE)</f>
        <v>#N/A</v>
      </c>
      <c r="E63" s="420"/>
      <c r="F63" s="420"/>
      <c r="G63" s="391"/>
      <c r="H63" s="422">
        <f t="shared" si="2"/>
        <v>1</v>
      </c>
      <c r="I63" s="392">
        <v>50</v>
      </c>
      <c r="J63" s="184"/>
      <c r="K63" s="184"/>
      <c r="L63" s="107" t="str">
        <f t="shared" si="3"/>
        <v>-</v>
      </c>
      <c r="M63" s="108"/>
      <c r="N63" s="819"/>
      <c r="O63" s="397"/>
      <c r="P63" s="394"/>
      <c r="Q63" s="409"/>
      <c r="S63" s="396"/>
      <c r="T63" s="396"/>
    </row>
    <row r="64" spans="1:23" ht="15">
      <c r="A64" s="379"/>
      <c r="B64" s="389"/>
      <c r="C64" s="389"/>
      <c r="D64" s="390"/>
      <c r="E64" s="420"/>
      <c r="F64" s="420"/>
      <c r="G64" s="402"/>
      <c r="H64" s="403"/>
      <c r="I64" s="404"/>
      <c r="J64" s="184"/>
      <c r="K64" s="184"/>
      <c r="L64" s="107" t="str">
        <f t="shared" si="3"/>
        <v>-</v>
      </c>
      <c r="M64" s="108"/>
      <c r="N64" s="819"/>
      <c r="O64" s="397"/>
      <c r="P64" s="410"/>
      <c r="Q64" s="409"/>
      <c r="S64" s="396"/>
      <c r="T64" s="396"/>
    </row>
    <row r="65" spans="1:17" ht="15">
      <c r="A65" s="379"/>
      <c r="B65" s="411"/>
      <c r="C65" s="412"/>
      <c r="D65" s="413"/>
      <c r="E65" s="421"/>
      <c r="F65" s="421"/>
      <c r="G65" s="414"/>
      <c r="H65" s="415"/>
      <c r="I65" s="416"/>
      <c r="J65" s="124"/>
      <c r="K65" s="124"/>
      <c r="L65" s="124"/>
      <c r="M65" s="125"/>
      <c r="N65" s="417"/>
      <c r="O65" s="417"/>
      <c r="P65" s="417"/>
    </row>
    <row r="66" spans="1:17" ht="15">
      <c r="B66" s="418"/>
      <c r="C66" s="418"/>
      <c r="J66" s="128"/>
      <c r="K66" s="128"/>
      <c r="L66" s="128"/>
      <c r="M66" s="129"/>
    </row>
    <row r="67" spans="1:17" ht="15.6" thickBot="1">
      <c r="B67" s="418"/>
      <c r="C67" s="418"/>
      <c r="J67" s="130">
        <f>SUM(J8:J66)</f>
        <v>2750</v>
      </c>
      <c r="K67" s="130">
        <f>SUM(K8:K66)</f>
        <v>0</v>
      </c>
      <c r="L67" s="130">
        <f>SUM(L8:L66)</f>
        <v>2000</v>
      </c>
      <c r="M67" s="131"/>
      <c r="N67" s="132">
        <f>SUM(N8:N66)</f>
        <v>2850</v>
      </c>
    </row>
    <row r="68" spans="1:17" ht="15" thickTop="1">
      <c r="J68" s="133"/>
      <c r="K68" s="133"/>
      <c r="L68" s="133"/>
      <c r="M68" s="129"/>
    </row>
    <row r="69" spans="1:17" s="363" customFormat="1">
      <c r="G69" s="364"/>
      <c r="I69" s="365"/>
      <c r="J69" s="419"/>
      <c r="K69" s="419"/>
      <c r="L69" s="419"/>
      <c r="Q69" s="366"/>
    </row>
  </sheetData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43 E46:F63 E45" xr:uid="{6BC5ECE2-0806-407B-96DE-AEBAA33609D7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D940-DF5B-4B6E-A759-C02FA3B1776A}">
  <sheetPr>
    <tabColor rgb="FF00B0F0"/>
  </sheetPr>
  <dimension ref="A4:W69"/>
  <sheetViews>
    <sheetView zoomScale="90" zoomScaleNormal="90" workbookViewId="0">
      <pane ySplit="8" topLeftCell="A39" activePane="bottomLeft" state="frozen"/>
      <selection pane="bottomLeft" activeCell="F33" sqref="F33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921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46113</v>
      </c>
      <c r="B9" s="177" t="s">
        <v>912</v>
      </c>
      <c r="C9" s="389">
        <v>92</v>
      </c>
      <c r="D9" s="390" t="str">
        <f>VLOOKUP(C9,'MASTER Name List'!$B$3:$M$186,2,FALSE)</f>
        <v>叶碧玉</v>
      </c>
      <c r="E9" s="420">
        <v>46023</v>
      </c>
      <c r="F9" s="420">
        <v>46174</v>
      </c>
      <c r="G9" s="726" t="s">
        <v>755</v>
      </c>
      <c r="H9" s="422">
        <f t="shared" ref="H9:H42" si="0">DATEDIF(E9,F9,"M")+1</f>
        <v>6</v>
      </c>
      <c r="I9" s="392">
        <v>50</v>
      </c>
      <c r="J9" s="107">
        <f>IF($C9="","-",$H9*$I9)</f>
        <v>300</v>
      </c>
      <c r="K9" s="184"/>
      <c r="L9" s="184"/>
      <c r="M9" s="108">
        <v>1</v>
      </c>
      <c r="N9" s="819"/>
      <c r="O9" s="393"/>
      <c r="P9" s="641" t="s">
        <v>899</v>
      </c>
      <c r="Q9" s="395"/>
      <c r="S9" s="396"/>
      <c r="T9" s="396"/>
    </row>
    <row r="10" spans="1:23" ht="15">
      <c r="A10" s="379">
        <v>46113</v>
      </c>
      <c r="B10" s="177" t="s">
        <v>913</v>
      </c>
      <c r="C10" s="389">
        <v>167</v>
      </c>
      <c r="D10" s="390" t="str">
        <f>VLOOKUP(C10,'MASTER Name List'!$B$3:$M$186,2,FALSE)</f>
        <v>罗紫纶</v>
      </c>
      <c r="E10" s="420">
        <v>46023</v>
      </c>
      <c r="F10" s="420">
        <v>46174</v>
      </c>
      <c r="G10" s="726" t="s">
        <v>755</v>
      </c>
      <c r="H10" s="422">
        <f t="shared" si="0"/>
        <v>6</v>
      </c>
      <c r="I10" s="392">
        <v>50</v>
      </c>
      <c r="J10" s="107">
        <f t="shared" ref="J10:J42" si="1">IF($C10="","-",$H10*$I10)</f>
        <v>300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46114</v>
      </c>
      <c r="B11" s="177" t="s">
        <v>922</v>
      </c>
      <c r="C11" s="389">
        <v>227</v>
      </c>
      <c r="D11" s="390" t="str">
        <f>VLOOKUP(C11,'MASTER Name List'!$B$3:$M$186,2,FALSE)</f>
        <v>丘桂盈</v>
      </c>
      <c r="E11" s="420">
        <v>46023</v>
      </c>
      <c r="F11" s="420">
        <v>46357</v>
      </c>
      <c r="G11" s="726" t="s">
        <v>786</v>
      </c>
      <c r="H11" s="422">
        <f t="shared" si="0"/>
        <v>12</v>
      </c>
      <c r="I11" s="392">
        <v>50</v>
      </c>
      <c r="J11" s="107">
        <f t="shared" si="1"/>
        <v>600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46116</v>
      </c>
      <c r="B12" s="177" t="s">
        <v>923</v>
      </c>
      <c r="C12" s="389">
        <v>231</v>
      </c>
      <c r="D12" s="390" t="str">
        <f>VLOOKUP(C12,'MASTER Name List'!$B$3:$M$300,2,FALSE)</f>
        <v>张桂玲</v>
      </c>
      <c r="E12" s="420">
        <v>46113</v>
      </c>
      <c r="F12" s="420">
        <v>46357</v>
      </c>
      <c r="G12" s="726" t="s">
        <v>918</v>
      </c>
      <c r="H12" s="422">
        <f t="shared" si="0"/>
        <v>9</v>
      </c>
      <c r="I12" s="392">
        <v>50</v>
      </c>
      <c r="J12" s="107">
        <f t="shared" si="1"/>
        <v>450</v>
      </c>
      <c r="K12" s="184"/>
      <c r="L12" s="184"/>
      <c r="M12" s="108">
        <v>1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46117</v>
      </c>
      <c r="B13" s="177" t="s">
        <v>924</v>
      </c>
      <c r="C13" s="389">
        <v>232</v>
      </c>
      <c r="D13" s="390" t="str">
        <f>VLOOKUP(C13,'MASTER Name List'!$B$3:$M$300,2,FALSE)</f>
        <v>刘铧亿</v>
      </c>
      <c r="E13" s="420">
        <v>46113</v>
      </c>
      <c r="F13" s="420">
        <v>46113</v>
      </c>
      <c r="G13" s="726">
        <v>46113</v>
      </c>
      <c r="H13" s="422">
        <f t="shared" si="0"/>
        <v>1</v>
      </c>
      <c r="I13" s="392">
        <v>50</v>
      </c>
      <c r="J13" s="107">
        <f t="shared" si="1"/>
        <v>50</v>
      </c>
      <c r="K13" s="184"/>
      <c r="L13" s="184"/>
      <c r="M13" s="108">
        <v>1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46117</v>
      </c>
      <c r="B14" s="177" t="s">
        <v>925</v>
      </c>
      <c r="C14" s="389">
        <v>233</v>
      </c>
      <c r="D14" s="390" t="str">
        <f>VLOOKUP(C14,'MASTER Name List'!$B$3:$M$300,2,FALSE)</f>
        <v>钟錥汉</v>
      </c>
      <c r="E14" s="420">
        <v>46113</v>
      </c>
      <c r="F14" s="420">
        <v>46174</v>
      </c>
      <c r="G14" s="726" t="s">
        <v>881</v>
      </c>
      <c r="H14" s="422">
        <f t="shared" si="0"/>
        <v>3</v>
      </c>
      <c r="I14" s="392">
        <v>50</v>
      </c>
      <c r="J14" s="107">
        <f t="shared" si="1"/>
        <v>150</v>
      </c>
      <c r="K14" s="184"/>
      <c r="L14" s="184"/>
      <c r="M14" s="108">
        <v>1</v>
      </c>
      <c r="N14" s="819">
        <f>SUMIF(M:M,"1",J:J)</f>
        <v>1850</v>
      </c>
      <c r="O14" s="397" t="s">
        <v>911</v>
      </c>
      <c r="Q14" s="399"/>
      <c r="S14" s="396"/>
      <c r="T14" s="396"/>
      <c r="W14" s="400">
        <v>45658</v>
      </c>
    </row>
    <row r="15" spans="1:23" ht="15">
      <c r="A15" s="379">
        <v>46118</v>
      </c>
      <c r="B15" s="177" t="s">
        <v>926</v>
      </c>
      <c r="C15" s="389">
        <v>178</v>
      </c>
      <c r="D15" s="390" t="str">
        <f>VLOOKUP(C15,'MASTER Name List'!$B$3:$M$300,2,FALSE)</f>
        <v>颜美葒</v>
      </c>
      <c r="E15" s="420">
        <v>46143</v>
      </c>
      <c r="F15" s="420">
        <v>46174</v>
      </c>
      <c r="G15" s="726" t="s">
        <v>916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681">
        <v>2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46118</v>
      </c>
      <c r="B16" s="177" t="s">
        <v>927</v>
      </c>
      <c r="C16" s="389">
        <v>164</v>
      </c>
      <c r="D16" s="390" t="str">
        <f>VLOOKUP(C16,'MASTER Name List'!$B$3:$M$300,2,FALSE)</f>
        <v>梁佩仪</v>
      </c>
      <c r="E16" s="420">
        <v>46174</v>
      </c>
      <c r="F16" s="420">
        <v>46266</v>
      </c>
      <c r="G16" s="726" t="s">
        <v>928</v>
      </c>
      <c r="H16" s="422">
        <f t="shared" si="0"/>
        <v>4</v>
      </c>
      <c r="I16" s="392">
        <v>50</v>
      </c>
      <c r="J16" s="107">
        <f t="shared" si="1"/>
        <v>200</v>
      </c>
      <c r="K16" s="184"/>
      <c r="L16" s="184"/>
      <c r="M16" s="108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46118</v>
      </c>
      <c r="B17" s="177" t="s">
        <v>929</v>
      </c>
      <c r="C17" s="389">
        <v>4</v>
      </c>
      <c r="D17" s="390" t="str">
        <f>VLOOKUP(C17,'MASTER Name List'!$B$3:$M$300,2,FALSE)</f>
        <v>邹运金</v>
      </c>
      <c r="E17" s="420">
        <v>46113</v>
      </c>
      <c r="F17" s="420">
        <v>46174</v>
      </c>
      <c r="G17" s="726" t="s">
        <v>881</v>
      </c>
      <c r="H17" s="422">
        <f t="shared" si="0"/>
        <v>3</v>
      </c>
      <c r="I17" s="392">
        <v>50</v>
      </c>
      <c r="J17" s="107">
        <f t="shared" si="1"/>
        <v>150</v>
      </c>
      <c r="K17" s="184"/>
      <c r="L17" s="184"/>
      <c r="M17" s="108">
        <v>2</v>
      </c>
      <c r="N17" s="819"/>
      <c r="O17" s="397"/>
      <c r="P17" s="674"/>
      <c r="Q17" s="399"/>
      <c r="S17" s="396"/>
      <c r="T17" s="396"/>
      <c r="W17" s="400">
        <v>45748</v>
      </c>
    </row>
    <row r="18" spans="1:23" ht="15">
      <c r="A18" s="379">
        <v>46118</v>
      </c>
      <c r="B18" s="177" t="s">
        <v>930</v>
      </c>
      <c r="C18" s="389">
        <v>72</v>
      </c>
      <c r="D18" s="390" t="str">
        <f>VLOOKUP(C18,'MASTER Name List'!$B$3:$M$300,2,FALSE)</f>
        <v>何月琼</v>
      </c>
      <c r="E18" s="420">
        <v>45931</v>
      </c>
      <c r="F18" s="420">
        <v>45992</v>
      </c>
      <c r="G18" s="726" t="s">
        <v>723</v>
      </c>
      <c r="H18" s="422">
        <f t="shared" si="0"/>
        <v>3</v>
      </c>
      <c r="I18" s="392">
        <v>50</v>
      </c>
      <c r="J18" s="107">
        <f t="shared" si="1"/>
        <v>150</v>
      </c>
      <c r="K18" s="184"/>
      <c r="L18" s="184"/>
      <c r="M18" s="108">
        <v>2</v>
      </c>
      <c r="N18" s="819"/>
      <c r="O18" s="397"/>
      <c r="P18" s="674"/>
      <c r="Q18" s="399"/>
      <c r="S18" s="396"/>
      <c r="T18" s="396"/>
      <c r="W18" s="400">
        <v>45778</v>
      </c>
    </row>
    <row r="19" spans="1:23" ht="15">
      <c r="A19" s="379">
        <v>46118</v>
      </c>
      <c r="B19" s="177" t="s">
        <v>931</v>
      </c>
      <c r="C19" s="389">
        <v>86</v>
      </c>
      <c r="D19" s="390" t="str">
        <f>VLOOKUP(C19,'MASTER Name List'!$B$3:$M$300,2,FALSE)</f>
        <v>蔡祥贤</v>
      </c>
      <c r="E19" s="420">
        <v>45931</v>
      </c>
      <c r="F19" s="420">
        <v>45992</v>
      </c>
      <c r="G19" s="726" t="s">
        <v>723</v>
      </c>
      <c r="H19" s="422">
        <f t="shared" si="0"/>
        <v>3</v>
      </c>
      <c r="I19" s="392">
        <v>50</v>
      </c>
      <c r="J19" s="107">
        <f t="shared" si="1"/>
        <v>150</v>
      </c>
      <c r="K19" s="184"/>
      <c r="L19" s="184"/>
      <c r="M19" s="673">
        <v>2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46118</v>
      </c>
      <c r="B20" s="177" t="s">
        <v>932</v>
      </c>
      <c r="C20" s="389">
        <v>180</v>
      </c>
      <c r="D20" s="390" t="str">
        <f>VLOOKUP(C20,'MASTER Name List'!$B$3:$M$300,2,FALSE)</f>
        <v>蔡健铭</v>
      </c>
      <c r="E20" s="420">
        <v>45931</v>
      </c>
      <c r="F20" s="420">
        <v>45992</v>
      </c>
      <c r="G20" s="726" t="s">
        <v>723</v>
      </c>
      <c r="H20" s="422">
        <f t="shared" si="0"/>
        <v>3</v>
      </c>
      <c r="I20" s="392">
        <v>50</v>
      </c>
      <c r="J20" s="107">
        <f t="shared" si="1"/>
        <v>150</v>
      </c>
      <c r="K20" s="184"/>
      <c r="L20" s="184"/>
      <c r="M20" s="673">
        <v>2</v>
      </c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>
        <v>46121</v>
      </c>
      <c r="B21" s="177" t="s">
        <v>933</v>
      </c>
      <c r="C21" s="389">
        <v>240</v>
      </c>
      <c r="D21" s="390" t="str">
        <f>VLOOKUP(C21,'MASTER Name List'!$B$3:$M$300,2,FALSE)</f>
        <v>黎嘉祺</v>
      </c>
      <c r="E21" s="420">
        <v>46113</v>
      </c>
      <c r="F21" s="420">
        <v>46113</v>
      </c>
      <c r="G21" s="727">
        <v>46113</v>
      </c>
      <c r="H21" s="422">
        <f t="shared" si="0"/>
        <v>1</v>
      </c>
      <c r="I21" s="392">
        <v>50</v>
      </c>
      <c r="J21" s="107">
        <f t="shared" si="1"/>
        <v>50</v>
      </c>
      <c r="K21" s="184"/>
      <c r="L21" s="184"/>
      <c r="M21" s="108">
        <v>2</v>
      </c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>
        <v>46123</v>
      </c>
      <c r="B22" s="177" t="s">
        <v>934</v>
      </c>
      <c r="C22" s="389">
        <v>23</v>
      </c>
      <c r="D22" s="390" t="str">
        <f>VLOOKUP(C22,'MASTER Name List'!$B$3:$M$300,2,FALSE)</f>
        <v>罗彩瑛</v>
      </c>
      <c r="E22" s="420">
        <v>46143</v>
      </c>
      <c r="F22" s="420">
        <v>46174</v>
      </c>
      <c r="G22" s="727" t="s">
        <v>916</v>
      </c>
      <c r="H22" s="422">
        <f t="shared" si="0"/>
        <v>2</v>
      </c>
      <c r="I22" s="392">
        <v>50</v>
      </c>
      <c r="J22" s="107">
        <f t="shared" si="1"/>
        <v>100</v>
      </c>
      <c r="K22" s="184"/>
      <c r="L22" s="184"/>
      <c r="M22" s="108">
        <v>2</v>
      </c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>
        <v>46123</v>
      </c>
      <c r="B23" s="177" t="s">
        <v>935</v>
      </c>
      <c r="C23" s="389">
        <v>239</v>
      </c>
      <c r="D23" s="390" t="str">
        <f>VLOOKUP(C23,'MASTER Name List'!$B$3:$M$300,2,FALSE)</f>
        <v>何玉珍</v>
      </c>
      <c r="E23" s="420">
        <v>46113</v>
      </c>
      <c r="F23" s="420">
        <v>46357</v>
      </c>
      <c r="G23" s="822" t="s">
        <v>918</v>
      </c>
      <c r="H23" s="422">
        <f t="shared" si="0"/>
        <v>9</v>
      </c>
      <c r="I23" s="392">
        <v>50</v>
      </c>
      <c r="J23" s="107">
        <f t="shared" si="1"/>
        <v>450</v>
      </c>
      <c r="K23" s="184"/>
      <c r="L23" s="184"/>
      <c r="M23" s="108">
        <v>2</v>
      </c>
      <c r="N23" s="819">
        <f>SUMIF(M:M,"2",J:J)</f>
        <v>1500</v>
      </c>
      <c r="O23" s="397" t="s">
        <v>936</v>
      </c>
      <c r="P23" s="394"/>
      <c r="Q23" s="399"/>
      <c r="S23" s="396"/>
      <c r="T23" s="396"/>
      <c r="W23" s="400">
        <v>45931</v>
      </c>
    </row>
    <row r="24" spans="1:23" ht="15">
      <c r="A24" s="704"/>
      <c r="B24" s="703" t="s">
        <v>937</v>
      </c>
      <c r="C24" s="705"/>
      <c r="D24" s="706" t="e">
        <f>VLOOKUP(C24,'MASTER Name List'!$B$3:$M$300,2,FALSE)</f>
        <v>#N/A</v>
      </c>
      <c r="E24" s="707"/>
      <c r="F24" s="707"/>
      <c r="G24" s="829"/>
      <c r="H24" s="422">
        <f t="shared" si="0"/>
        <v>1</v>
      </c>
      <c r="I24" s="392">
        <v>50</v>
      </c>
      <c r="J24" s="107" t="str">
        <f t="shared" si="1"/>
        <v>-</v>
      </c>
      <c r="K24" s="184"/>
      <c r="L24" s="184"/>
      <c r="M24" s="681"/>
      <c r="N24" s="819"/>
      <c r="O24" s="397"/>
      <c r="P24" s="394" t="s">
        <v>938</v>
      </c>
      <c r="Q24" s="399"/>
      <c r="S24" s="396"/>
      <c r="T24" s="396"/>
      <c r="W24" s="400">
        <v>45962</v>
      </c>
    </row>
    <row r="25" spans="1:23" ht="15">
      <c r="A25" s="379">
        <v>46128</v>
      </c>
      <c r="B25" s="177" t="s">
        <v>939</v>
      </c>
      <c r="C25" s="389">
        <v>43</v>
      </c>
      <c r="D25" s="390" t="str">
        <f>VLOOKUP(C25,'MASTER Name List'!$B$3:$M$300,2,FALSE)</f>
        <v>林德成</v>
      </c>
      <c r="E25" s="420">
        <v>46143</v>
      </c>
      <c r="F25" s="420">
        <v>46235</v>
      </c>
      <c r="G25" s="822" t="s">
        <v>904</v>
      </c>
      <c r="H25" s="422">
        <f t="shared" si="0"/>
        <v>4</v>
      </c>
      <c r="I25" s="392">
        <v>50</v>
      </c>
      <c r="J25" s="107">
        <f t="shared" si="1"/>
        <v>200</v>
      </c>
      <c r="K25" s="184"/>
      <c r="L25" s="184"/>
      <c r="M25" s="681">
        <v>3</v>
      </c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>
        <v>46128</v>
      </c>
      <c r="B26" s="177" t="s">
        <v>940</v>
      </c>
      <c r="C26" s="389">
        <v>181</v>
      </c>
      <c r="D26" s="390" t="str">
        <f>VLOOKUP(C26,'MASTER Name List'!$B$3:$M$300,2,FALSE)</f>
        <v>陈金清</v>
      </c>
      <c r="E26" s="865">
        <v>46082</v>
      </c>
      <c r="F26" s="865">
        <v>46113</v>
      </c>
      <c r="G26" s="868" t="s">
        <v>862</v>
      </c>
      <c r="H26" s="422">
        <f t="shared" si="0"/>
        <v>2</v>
      </c>
      <c r="I26" s="392">
        <v>50</v>
      </c>
      <c r="J26" s="107">
        <f t="shared" si="1"/>
        <v>100</v>
      </c>
      <c r="K26" s="184"/>
      <c r="L26" s="184"/>
      <c r="M26" s="108">
        <v>3</v>
      </c>
      <c r="N26" s="819"/>
      <c r="O26" s="397"/>
      <c r="P26" s="394"/>
      <c r="Q26" s="823"/>
      <c r="S26" s="396"/>
      <c r="T26" s="396"/>
      <c r="W26" s="400">
        <v>46023</v>
      </c>
    </row>
    <row r="27" spans="1:23" ht="15">
      <c r="A27" s="379">
        <v>46129</v>
      </c>
      <c r="B27" s="177" t="s">
        <v>941</v>
      </c>
      <c r="C27" s="389">
        <v>214</v>
      </c>
      <c r="D27" s="390" t="str">
        <f>VLOOKUP(C27,'MASTER Name List'!$B$3:$M$300,2,FALSE)</f>
        <v>苏淑禛</v>
      </c>
      <c r="E27" s="420">
        <v>46113</v>
      </c>
      <c r="F27" s="420">
        <v>46174</v>
      </c>
      <c r="G27" s="822" t="s">
        <v>881</v>
      </c>
      <c r="H27" s="422">
        <f t="shared" si="0"/>
        <v>3</v>
      </c>
      <c r="I27" s="392">
        <v>50</v>
      </c>
      <c r="J27" s="107">
        <f t="shared" si="1"/>
        <v>150</v>
      </c>
      <c r="K27" s="184"/>
      <c r="L27" s="184"/>
      <c r="M27" s="108">
        <v>3</v>
      </c>
      <c r="N27" s="819"/>
      <c r="O27" s="397"/>
      <c r="P27" s="394"/>
      <c r="Q27" s="399"/>
      <c r="S27" s="396"/>
      <c r="T27" s="396"/>
      <c r="W27" s="400">
        <v>46054</v>
      </c>
    </row>
    <row r="28" spans="1:23" ht="15">
      <c r="A28" s="379">
        <v>46130</v>
      </c>
      <c r="B28" s="177" t="s">
        <v>942</v>
      </c>
      <c r="C28" s="389">
        <v>235</v>
      </c>
      <c r="D28" s="390" t="str">
        <f>VLOOKUP(C28,'MASTER Name List'!$B$3:$M$300,2,FALSE)</f>
        <v>何玉凤</v>
      </c>
      <c r="E28" s="420">
        <v>46113</v>
      </c>
      <c r="F28" s="420">
        <v>46113</v>
      </c>
      <c r="G28" s="830">
        <v>46138</v>
      </c>
      <c r="H28" s="422">
        <f t="shared" si="0"/>
        <v>1</v>
      </c>
      <c r="I28" s="392">
        <v>50</v>
      </c>
      <c r="J28" s="107">
        <f t="shared" si="1"/>
        <v>50</v>
      </c>
      <c r="K28" s="184"/>
      <c r="L28" s="184"/>
      <c r="M28" s="108">
        <v>3</v>
      </c>
      <c r="N28" s="819"/>
      <c r="O28" s="397"/>
      <c r="P28" s="394"/>
      <c r="Q28" s="399"/>
      <c r="S28" s="396"/>
      <c r="T28" s="396"/>
      <c r="W28" s="400">
        <v>46082</v>
      </c>
    </row>
    <row r="29" spans="1:23" ht="15">
      <c r="A29" s="379">
        <v>46130</v>
      </c>
      <c r="B29" s="177" t="s">
        <v>943</v>
      </c>
      <c r="C29" s="389">
        <v>128</v>
      </c>
      <c r="D29" s="390" t="str">
        <f>VLOOKUP(C29,'MASTER Name List'!$B$3:$M$300,2,FALSE)</f>
        <v>萧势襁</v>
      </c>
      <c r="E29" s="420">
        <v>46204</v>
      </c>
      <c r="F29" s="420">
        <v>46357</v>
      </c>
      <c r="G29" s="822" t="s">
        <v>894</v>
      </c>
      <c r="H29" s="422">
        <f t="shared" si="0"/>
        <v>6</v>
      </c>
      <c r="I29" s="392">
        <v>50</v>
      </c>
      <c r="J29" s="107">
        <f t="shared" si="1"/>
        <v>300</v>
      </c>
      <c r="K29" s="184"/>
      <c r="L29" s="184"/>
      <c r="M29" s="108">
        <v>3</v>
      </c>
      <c r="N29" s="819"/>
      <c r="O29" s="397"/>
      <c r="P29" s="394"/>
      <c r="Q29" s="399"/>
      <c r="S29" s="396"/>
      <c r="T29" s="396"/>
      <c r="W29" s="400">
        <v>46113</v>
      </c>
    </row>
    <row r="30" spans="1:23" ht="15">
      <c r="A30" s="379">
        <v>46131</v>
      </c>
      <c r="B30" s="177" t="s">
        <v>944</v>
      </c>
      <c r="C30" s="389">
        <v>232</v>
      </c>
      <c r="D30" s="390" t="str">
        <f>VLOOKUP(C30,'MASTER Name List'!$B$3:$M$300,2,FALSE)</f>
        <v>刘铧亿</v>
      </c>
      <c r="E30" s="420">
        <v>46143</v>
      </c>
      <c r="F30" s="420">
        <v>46143</v>
      </c>
      <c r="G30" s="830">
        <v>46168</v>
      </c>
      <c r="H30" s="422">
        <f t="shared" si="0"/>
        <v>1</v>
      </c>
      <c r="I30" s="392">
        <v>50</v>
      </c>
      <c r="J30" s="107">
        <f t="shared" si="1"/>
        <v>50</v>
      </c>
      <c r="K30" s="184"/>
      <c r="L30" s="184"/>
      <c r="M30" s="108">
        <v>3</v>
      </c>
      <c r="N30" s="819">
        <f>SUMIF(M:M,"3",J:J)</f>
        <v>850</v>
      </c>
      <c r="O30" s="397" t="s">
        <v>945</v>
      </c>
      <c r="P30" s="394"/>
      <c r="Q30" s="399"/>
      <c r="S30" s="396"/>
      <c r="T30" s="396"/>
      <c r="W30" s="400">
        <v>46143</v>
      </c>
    </row>
    <row r="31" spans="1:23" ht="15">
      <c r="A31" s="379"/>
      <c r="B31" s="177"/>
      <c r="C31" s="389"/>
      <c r="D31" s="390" t="e">
        <f>VLOOKUP(C31,'MASTER Name List'!$B$3:$M$300,2,FALSE)</f>
        <v>#N/A</v>
      </c>
      <c r="E31" s="420"/>
      <c r="F31" s="420"/>
      <c r="G31" s="824"/>
      <c r="H31" s="422">
        <f t="shared" si="0"/>
        <v>1</v>
      </c>
      <c r="I31" s="392">
        <v>50</v>
      </c>
      <c r="J31" s="107" t="str">
        <f t="shared" si="1"/>
        <v>-</v>
      </c>
      <c r="K31" s="184"/>
      <c r="L31" s="184"/>
      <c r="M31" s="719"/>
      <c r="N31" s="819"/>
      <c r="O31" s="397"/>
      <c r="P31" s="394"/>
      <c r="Q31" s="399"/>
      <c r="S31" s="396"/>
      <c r="T31" s="396"/>
      <c r="W31" s="400">
        <v>46174</v>
      </c>
    </row>
    <row r="32" spans="1:23" ht="15">
      <c r="A32" s="379"/>
      <c r="B32" s="177"/>
      <c r="C32" s="389"/>
      <c r="D32" s="390" t="e">
        <f>VLOOKUP(C32,'MASTER Name List'!$B$3:$M$300,2,FALSE)</f>
        <v>#N/A</v>
      </c>
      <c r="E32" s="420"/>
      <c r="F32" s="420"/>
      <c r="G32" s="822"/>
      <c r="H32" s="657">
        <f t="shared" si="0"/>
        <v>1</v>
      </c>
      <c r="I32" s="656">
        <v>50</v>
      </c>
      <c r="J32" s="107" t="str">
        <f t="shared" si="1"/>
        <v>-</v>
      </c>
      <c r="K32" s="184"/>
      <c r="L32" s="184"/>
      <c r="M32" s="108"/>
      <c r="N32" s="819"/>
      <c r="O32" s="397"/>
      <c r="P32" s="394"/>
      <c r="Q32" s="399"/>
      <c r="S32" s="396"/>
      <c r="T32" s="396"/>
      <c r="W32" s="400">
        <v>46204</v>
      </c>
    </row>
    <row r="33" spans="1:23" ht="15">
      <c r="A33" s="379"/>
      <c r="B33" s="177"/>
      <c r="C33" s="389"/>
      <c r="D33" s="390" t="e">
        <f>VLOOKUP(C33,'MASTER Name List'!$B$3:$M$300,2,FALSE)</f>
        <v>#N/A</v>
      </c>
      <c r="E33" s="420"/>
      <c r="F33" s="420"/>
      <c r="G33" s="822"/>
      <c r="H33" s="657">
        <f t="shared" si="0"/>
        <v>1</v>
      </c>
      <c r="I33" s="656">
        <v>50</v>
      </c>
      <c r="J33" s="107" t="str">
        <f t="shared" si="1"/>
        <v>-</v>
      </c>
      <c r="K33" s="184"/>
      <c r="L33" s="184"/>
      <c r="M33" s="108"/>
      <c r="N33" s="819"/>
      <c r="O33" s="397"/>
      <c r="P33" s="394"/>
      <c r="Q33" s="399"/>
      <c r="S33" s="396"/>
      <c r="T33" s="396"/>
      <c r="W33" s="400">
        <v>46235</v>
      </c>
    </row>
    <row r="34" spans="1:23" ht="15">
      <c r="A34" s="379"/>
      <c r="B34" s="177"/>
      <c r="C34" s="389"/>
      <c r="D34" s="390" t="e">
        <f>VLOOKUP(C34,'MASTER Name List'!$B$3:$M$300,2,FALSE)</f>
        <v>#N/A</v>
      </c>
      <c r="E34" s="420"/>
      <c r="F34" s="420"/>
      <c r="G34" s="822"/>
      <c r="H34" s="657">
        <f t="shared" si="0"/>
        <v>1</v>
      </c>
      <c r="I34" s="656">
        <v>50</v>
      </c>
      <c r="J34" s="107" t="str">
        <f t="shared" si="1"/>
        <v>-</v>
      </c>
      <c r="K34" s="184"/>
      <c r="L34" s="184"/>
      <c r="M34" s="108"/>
      <c r="N34" s="819"/>
      <c r="O34" s="397"/>
      <c r="P34" s="394"/>
      <c r="Q34" s="399"/>
      <c r="S34" s="396"/>
      <c r="T34" s="396"/>
      <c r="W34" s="400">
        <v>46266</v>
      </c>
    </row>
    <row r="35" spans="1:23" ht="15">
      <c r="A35" s="379"/>
      <c r="B35" s="177"/>
      <c r="C35" s="389"/>
      <c r="D35" s="390" t="e">
        <f>VLOOKUP(C35,'MASTER Name List'!$B$3:$M$300,2,FALSE)</f>
        <v>#N/A</v>
      </c>
      <c r="E35" s="420"/>
      <c r="F35" s="420"/>
      <c r="G35" s="822"/>
      <c r="H35" s="657">
        <f t="shared" si="0"/>
        <v>1</v>
      </c>
      <c r="I35" s="656">
        <v>50</v>
      </c>
      <c r="J35" s="107" t="str">
        <f t="shared" si="1"/>
        <v>-</v>
      </c>
      <c r="K35" s="184"/>
      <c r="L35" s="184"/>
      <c r="M35" s="108"/>
      <c r="N35" s="819"/>
      <c r="O35" s="397"/>
      <c r="P35" s="394"/>
      <c r="Q35" s="399"/>
      <c r="S35" s="396"/>
      <c r="T35" s="396"/>
      <c r="W35" s="400">
        <v>46296</v>
      </c>
    </row>
    <row r="36" spans="1:23" ht="15">
      <c r="A36" s="379"/>
      <c r="B36" s="177"/>
      <c r="C36" s="389"/>
      <c r="D36" s="390" t="e">
        <f>VLOOKUP(C36,'MASTER Name List'!$B$3:$M$300,2,FALSE)</f>
        <v>#N/A</v>
      </c>
      <c r="E36" s="420"/>
      <c r="F36" s="420"/>
      <c r="G36" s="822"/>
      <c r="H36" s="657">
        <f t="shared" si="0"/>
        <v>1</v>
      </c>
      <c r="I36" s="656">
        <v>50</v>
      </c>
      <c r="J36" s="107" t="str">
        <f t="shared" si="1"/>
        <v>-</v>
      </c>
      <c r="K36" s="184"/>
      <c r="L36" s="184"/>
      <c r="M36" s="108"/>
      <c r="N36" s="819"/>
      <c r="O36" s="397"/>
      <c r="P36" s="394"/>
      <c r="Q36" s="399"/>
      <c r="S36" s="396"/>
      <c r="T36" s="396"/>
      <c r="W36" s="400">
        <v>46327</v>
      </c>
    </row>
    <row r="37" spans="1:23" ht="15">
      <c r="A37" s="379"/>
      <c r="B37" s="177"/>
      <c r="C37" s="389"/>
      <c r="D37" s="390" t="e">
        <f>VLOOKUP(C37,'MASTER Name List'!$B$3:$M$300,2,FALSE)</f>
        <v>#N/A</v>
      </c>
      <c r="E37" s="420"/>
      <c r="F37" s="420"/>
      <c r="G37" s="822"/>
      <c r="H37" s="657">
        <f t="shared" si="0"/>
        <v>1</v>
      </c>
      <c r="I37" s="656">
        <v>50</v>
      </c>
      <c r="J37" s="107" t="str">
        <f t="shared" si="1"/>
        <v>-</v>
      </c>
      <c r="K37" s="184"/>
      <c r="L37" s="184"/>
      <c r="M37" s="108"/>
      <c r="N37" s="819"/>
      <c r="O37" s="397"/>
      <c r="P37" s="394"/>
      <c r="Q37" s="399"/>
      <c r="S37" s="396"/>
      <c r="T37" s="396"/>
      <c r="W37" s="400">
        <v>46357</v>
      </c>
    </row>
    <row r="38" spans="1:23" ht="15">
      <c r="A38" s="379"/>
      <c r="B38" s="177"/>
      <c r="C38" s="389"/>
      <c r="D38" s="390" t="e">
        <f>VLOOKUP(C38,'MASTER Name List'!$B$3:$M$300,2,FALSE)</f>
        <v>#N/A</v>
      </c>
      <c r="E38" s="420"/>
      <c r="F38" s="420"/>
      <c r="G38" s="822"/>
      <c r="H38" s="657">
        <f t="shared" si="0"/>
        <v>1</v>
      </c>
      <c r="I38" s="656">
        <v>50</v>
      </c>
      <c r="J38" s="107" t="str">
        <f t="shared" si="1"/>
        <v>-</v>
      </c>
      <c r="K38" s="184"/>
      <c r="L38" s="184"/>
      <c r="M38" s="108"/>
      <c r="N38" s="819"/>
      <c r="O38" s="397"/>
      <c r="P38" s="394"/>
      <c r="Q38" s="399"/>
      <c r="S38" s="396"/>
      <c r="T38" s="396"/>
      <c r="W38" s="400">
        <v>46388</v>
      </c>
    </row>
    <row r="39" spans="1:23" ht="15">
      <c r="A39" s="379"/>
      <c r="B39" s="177"/>
      <c r="C39" s="389"/>
      <c r="D39" s="390" t="e">
        <f>VLOOKUP(C39,'MASTER Name List'!$B$3:$M$300,2,FALSE)</f>
        <v>#N/A</v>
      </c>
      <c r="E39" s="420"/>
      <c r="F39" s="420"/>
      <c r="G39" s="824"/>
      <c r="H39" s="657">
        <f t="shared" si="0"/>
        <v>1</v>
      </c>
      <c r="I39" s="656">
        <v>50</v>
      </c>
      <c r="J39" s="107" t="str">
        <f t="shared" si="1"/>
        <v>-</v>
      </c>
      <c r="K39" s="184"/>
      <c r="L39" s="184"/>
      <c r="M39" s="108"/>
      <c r="N39" s="819"/>
      <c r="O39" s="397"/>
      <c r="P39" s="394"/>
      <c r="Q39" s="399"/>
      <c r="S39" s="396"/>
      <c r="T39" s="396"/>
      <c r="W39" s="400">
        <v>46419</v>
      </c>
    </row>
    <row r="40" spans="1:23" ht="15">
      <c r="A40" s="379"/>
      <c r="B40" s="177"/>
      <c r="C40" s="644"/>
      <c r="D40" s="390" t="e">
        <f>VLOOKUP(C40,'MASTER Name List'!$B$3:$M$300,2,FALSE)</f>
        <v>#N/A</v>
      </c>
      <c r="E40" s="645"/>
      <c r="F40" s="645"/>
      <c r="G40" s="825"/>
      <c r="H40" s="657">
        <f t="shared" si="0"/>
        <v>1</v>
      </c>
      <c r="I40" s="656">
        <v>50</v>
      </c>
      <c r="J40" s="107" t="str">
        <f t="shared" si="1"/>
        <v>-</v>
      </c>
      <c r="K40" s="184"/>
      <c r="L40" s="184"/>
      <c r="M40" s="108"/>
      <c r="N40" s="819"/>
      <c r="O40" s="397"/>
      <c r="P40" s="394"/>
      <c r="Q40" s="399"/>
      <c r="S40" s="396"/>
      <c r="T40" s="396"/>
      <c r="W40" s="400">
        <v>46447</v>
      </c>
    </row>
    <row r="41" spans="1:23" ht="15">
      <c r="A41" s="379"/>
      <c r="B41" s="177"/>
      <c r="C41" s="646"/>
      <c r="D41" s="390" t="e">
        <f>VLOOKUP(C41,'MASTER Name List'!$B$3:$M$300,2,FALSE)</f>
        <v>#N/A</v>
      </c>
      <c r="E41" s="647"/>
      <c r="F41" s="647"/>
      <c r="G41" s="826"/>
      <c r="H41" s="657">
        <f t="shared" si="0"/>
        <v>1</v>
      </c>
      <c r="I41" s="656">
        <v>50</v>
      </c>
      <c r="J41" s="107" t="str">
        <f t="shared" si="1"/>
        <v>-</v>
      </c>
      <c r="K41" s="184"/>
      <c r="L41" s="184"/>
      <c r="M41" s="108"/>
      <c r="N41" s="819"/>
      <c r="O41" s="397"/>
      <c r="P41" s="394"/>
      <c r="Q41" s="399"/>
      <c r="S41" s="396"/>
      <c r="T41" s="396"/>
      <c r="W41" s="400">
        <v>46478</v>
      </c>
    </row>
    <row r="42" spans="1:23" ht="15">
      <c r="A42" s="379"/>
      <c r="B42" s="177"/>
      <c r="C42" s="646"/>
      <c r="D42" s="390" t="e">
        <f>VLOOKUP(C42,'MASTER Name List'!$B$3:$M$300,2,FALSE)</f>
        <v>#N/A</v>
      </c>
      <c r="E42" s="647"/>
      <c r="F42" s="647"/>
      <c r="G42" s="827" t="s">
        <v>846</v>
      </c>
      <c r="H42" s="657">
        <f t="shared" si="0"/>
        <v>1</v>
      </c>
      <c r="I42" s="656">
        <v>50</v>
      </c>
      <c r="J42" s="107" t="str">
        <f t="shared" si="1"/>
        <v>-</v>
      </c>
      <c r="K42" s="184"/>
      <c r="L42" s="184"/>
      <c r="M42" s="108"/>
      <c r="N42" s="819">
        <f>SUMIF(M:M,"5",J:J)</f>
        <v>0</v>
      </c>
      <c r="O42" s="397"/>
      <c r="P42" s="394"/>
      <c r="Q42" s="399"/>
      <c r="S42" s="396"/>
      <c r="T42" s="396"/>
      <c r="W42" s="400">
        <v>46508</v>
      </c>
    </row>
    <row r="43" spans="1:23" ht="15">
      <c r="A43" s="379"/>
      <c r="B43" s="177"/>
      <c r="C43" s="649"/>
      <c r="D43" s="650"/>
      <c r="E43" s="651"/>
      <c r="F43" s="651"/>
      <c r="G43" s="828"/>
      <c r="H43" s="652"/>
      <c r="I43" s="653"/>
      <c r="J43" s="654"/>
      <c r="K43" s="184"/>
      <c r="L43" s="184"/>
      <c r="M43" s="108"/>
      <c r="N43" s="819"/>
      <c r="O43" s="397"/>
      <c r="P43" s="394"/>
      <c r="Q43" s="399"/>
      <c r="S43" s="396"/>
      <c r="T43" s="396"/>
      <c r="W43" s="400">
        <v>46539</v>
      </c>
    </row>
    <row r="44" spans="1:23" ht="15">
      <c r="A44" s="379"/>
      <c r="B44" s="177"/>
      <c r="C44" s="389"/>
      <c r="D44" s="390"/>
      <c r="E44" s="420"/>
      <c r="F44" s="420"/>
      <c r="G44" s="402"/>
      <c r="H44" s="643"/>
      <c r="I44" s="404"/>
      <c r="J44" s="107"/>
      <c r="K44" s="107"/>
      <c r="L44" s="107"/>
      <c r="M44" s="108"/>
      <c r="N44" s="819"/>
      <c r="O44" s="397"/>
      <c r="P44" s="394"/>
      <c r="Q44" s="399"/>
      <c r="S44" s="396"/>
      <c r="T44" s="396"/>
      <c r="W44" s="400">
        <v>46569</v>
      </c>
    </row>
    <row r="45" spans="1:23" ht="15">
      <c r="A45" s="379"/>
      <c r="B45" s="405" t="s">
        <v>487</v>
      </c>
      <c r="C45" s="389"/>
      <c r="D45" s="390"/>
      <c r="E45" s="420"/>
      <c r="F45" s="420"/>
      <c r="G45" s="391"/>
      <c r="H45" s="406"/>
      <c r="I45" s="656"/>
      <c r="J45" s="107"/>
      <c r="K45" s="107"/>
      <c r="L45" s="107"/>
      <c r="M45" s="108"/>
      <c r="N45" s="819"/>
      <c r="O45" s="397"/>
      <c r="P45" s="394"/>
      <c r="Q45" s="399"/>
      <c r="S45" s="396"/>
      <c r="T45" s="396"/>
      <c r="W45" s="400">
        <v>46600</v>
      </c>
    </row>
    <row r="46" spans="1:23" ht="15">
      <c r="A46" s="379">
        <v>46113</v>
      </c>
      <c r="B46" s="655"/>
      <c r="C46" s="389">
        <v>137</v>
      </c>
      <c r="D46" s="390" t="str">
        <f>VLOOKUP(C46,'MASTER Name List'!$B$3:$M$300,2,FALSE)</f>
        <v>赖美珍</v>
      </c>
      <c r="E46" s="420">
        <v>46082</v>
      </c>
      <c r="F46" s="420">
        <v>46113</v>
      </c>
      <c r="G46" s="726" t="s">
        <v>862</v>
      </c>
      <c r="H46" s="657">
        <f t="shared" ref="H46:H58" si="2">DATEDIF(E46,F46,"M")+1</f>
        <v>2</v>
      </c>
      <c r="I46" s="656">
        <v>50</v>
      </c>
      <c r="J46" s="184"/>
      <c r="K46" s="184"/>
      <c r="L46" s="107">
        <f t="shared" ref="L46:L58" si="3">IF($C46="","-",$H46*$I46)</f>
        <v>100</v>
      </c>
      <c r="M46" s="108"/>
      <c r="N46" s="819"/>
      <c r="O46" s="397"/>
      <c r="P46" s="394" t="s">
        <v>605</v>
      </c>
      <c r="Q46" s="823" t="s">
        <v>606</v>
      </c>
      <c r="S46" s="396"/>
      <c r="T46" s="396"/>
      <c r="W46" s="400">
        <v>46631</v>
      </c>
    </row>
    <row r="47" spans="1:23" ht="15">
      <c r="A47" s="379">
        <v>46113</v>
      </c>
      <c r="B47" s="655"/>
      <c r="C47" s="389">
        <v>116</v>
      </c>
      <c r="D47" s="390" t="str">
        <f>VLOOKUP(C47,'MASTER Name List'!$B$3:$M$300,2,FALSE)</f>
        <v>李薇薇</v>
      </c>
      <c r="E47" s="420">
        <v>46113</v>
      </c>
      <c r="F47" s="420">
        <v>46113</v>
      </c>
      <c r="G47" s="726">
        <v>46113</v>
      </c>
      <c r="H47" s="657">
        <f t="shared" si="2"/>
        <v>1</v>
      </c>
      <c r="I47" s="656">
        <v>50</v>
      </c>
      <c r="J47" s="184"/>
      <c r="K47" s="184"/>
      <c r="L47" s="107">
        <f t="shared" si="3"/>
        <v>50</v>
      </c>
      <c r="M47" s="108"/>
      <c r="N47" s="819"/>
      <c r="O47" s="397"/>
      <c r="P47" s="394" t="s">
        <v>125</v>
      </c>
      <c r="Q47" s="823" t="s">
        <v>133</v>
      </c>
      <c r="S47" s="396"/>
      <c r="T47" s="396"/>
      <c r="W47" s="400">
        <v>46661</v>
      </c>
    </row>
    <row r="48" spans="1:23" ht="15">
      <c r="A48" s="379">
        <v>46113</v>
      </c>
      <c r="B48" s="407"/>
      <c r="C48" s="389">
        <v>117</v>
      </c>
      <c r="D48" s="390" t="str">
        <f>VLOOKUP(C48,'MASTER Name List'!$B$3:$M$300,2,FALSE)</f>
        <v>张志文</v>
      </c>
      <c r="E48" s="420">
        <v>46113</v>
      </c>
      <c r="F48" s="420">
        <v>46113</v>
      </c>
      <c r="G48" s="726">
        <v>46113</v>
      </c>
      <c r="H48" s="657">
        <f t="shared" si="2"/>
        <v>1</v>
      </c>
      <c r="I48" s="656">
        <v>50</v>
      </c>
      <c r="J48" s="184"/>
      <c r="K48" s="184"/>
      <c r="L48" s="107">
        <f t="shared" si="3"/>
        <v>50</v>
      </c>
      <c r="M48" s="108"/>
      <c r="N48" s="819"/>
      <c r="O48" s="397"/>
      <c r="P48" s="394" t="s">
        <v>125</v>
      </c>
      <c r="Q48" s="823" t="s">
        <v>915</v>
      </c>
      <c r="S48" s="396"/>
      <c r="T48" s="396"/>
      <c r="W48" s="400">
        <v>46692</v>
      </c>
    </row>
    <row r="49" spans="1:23" ht="15">
      <c r="A49" s="379">
        <v>46114</v>
      </c>
      <c r="B49" s="407"/>
      <c r="C49" s="389">
        <v>230</v>
      </c>
      <c r="D49" s="390" t="str">
        <f>VLOOKUP(C49,'MASTER Name List'!$B$3:$M$300,2,FALSE)</f>
        <v>林建兴</v>
      </c>
      <c r="E49" s="420">
        <v>46113</v>
      </c>
      <c r="F49" s="420">
        <v>46357</v>
      </c>
      <c r="G49" s="726" t="s">
        <v>918</v>
      </c>
      <c r="H49" s="657">
        <f t="shared" si="2"/>
        <v>9</v>
      </c>
      <c r="I49" s="656">
        <v>50</v>
      </c>
      <c r="J49" s="184"/>
      <c r="K49" s="184"/>
      <c r="L49" s="107">
        <f t="shared" si="3"/>
        <v>450</v>
      </c>
      <c r="M49" s="108"/>
      <c r="N49" s="819"/>
      <c r="O49" s="408"/>
      <c r="P49" s="394" t="s">
        <v>125</v>
      </c>
      <c r="Q49" s="823" t="s">
        <v>946</v>
      </c>
      <c r="S49" s="396"/>
      <c r="T49" s="396"/>
      <c r="W49" s="400">
        <v>46722</v>
      </c>
    </row>
    <row r="50" spans="1:23" ht="15">
      <c r="A50" s="379">
        <v>46115</v>
      </c>
      <c r="B50" s="407"/>
      <c r="C50" s="389">
        <v>52</v>
      </c>
      <c r="D50" s="390" t="str">
        <f>VLOOKUP(C50,'MASTER Name List'!$B$3:$M$300,2,FALSE)</f>
        <v>陈宝蓉</v>
      </c>
      <c r="E50" s="420">
        <v>46082</v>
      </c>
      <c r="F50" s="420">
        <v>46113</v>
      </c>
      <c r="G50" s="726" t="s">
        <v>862</v>
      </c>
      <c r="H50" s="657">
        <f t="shared" si="2"/>
        <v>2</v>
      </c>
      <c r="I50" s="656">
        <v>50</v>
      </c>
      <c r="J50" s="184"/>
      <c r="K50" s="184"/>
      <c r="L50" s="107">
        <f t="shared" si="3"/>
        <v>100</v>
      </c>
      <c r="M50" s="108"/>
      <c r="N50" s="819"/>
      <c r="O50" s="397"/>
      <c r="P50" s="394" t="s">
        <v>125</v>
      </c>
      <c r="Q50" s="823" t="s">
        <v>330</v>
      </c>
      <c r="S50" s="396"/>
      <c r="T50" s="396"/>
      <c r="W50" s="400">
        <v>46753</v>
      </c>
    </row>
    <row r="51" spans="1:23" ht="15">
      <c r="A51" s="379">
        <v>46115</v>
      </c>
      <c r="B51" s="407"/>
      <c r="C51" s="389">
        <v>102</v>
      </c>
      <c r="D51" s="390" t="str">
        <f>VLOOKUP(C51,'MASTER Name List'!$B$3:$M$300,2,FALSE)</f>
        <v>戴川凤</v>
      </c>
      <c r="E51" s="420">
        <v>46082</v>
      </c>
      <c r="F51" s="420">
        <v>46113</v>
      </c>
      <c r="G51" s="726" t="s">
        <v>862</v>
      </c>
      <c r="H51" s="422">
        <f t="shared" si="2"/>
        <v>2</v>
      </c>
      <c r="I51" s="392">
        <v>50</v>
      </c>
      <c r="J51" s="184"/>
      <c r="K51" s="184"/>
      <c r="L51" s="107">
        <f t="shared" si="3"/>
        <v>100</v>
      </c>
      <c r="M51" s="108"/>
      <c r="N51" s="819"/>
      <c r="O51" s="397"/>
      <c r="P51" s="394" t="s">
        <v>325</v>
      </c>
      <c r="Q51" s="698" t="s">
        <v>760</v>
      </c>
      <c r="S51" s="396"/>
      <c r="T51" s="396"/>
      <c r="W51" s="400">
        <v>46784</v>
      </c>
    </row>
    <row r="52" spans="1:23" ht="15">
      <c r="A52" s="379">
        <v>46118</v>
      </c>
      <c r="B52" s="407"/>
      <c r="C52" s="389">
        <v>175</v>
      </c>
      <c r="D52" s="390" t="str">
        <f>VLOOKUP(C52,'MASTER Name List'!$B$3:$M$300,2,FALSE)</f>
        <v>洪鼎惟</v>
      </c>
      <c r="E52" s="420">
        <v>46113</v>
      </c>
      <c r="F52" s="420">
        <v>46113</v>
      </c>
      <c r="G52" s="726">
        <v>46113</v>
      </c>
      <c r="H52" s="422">
        <f t="shared" si="2"/>
        <v>1</v>
      </c>
      <c r="I52" s="392">
        <v>50</v>
      </c>
      <c r="J52" s="184"/>
      <c r="K52" s="184"/>
      <c r="L52" s="107">
        <f t="shared" si="3"/>
        <v>50</v>
      </c>
      <c r="M52" s="108"/>
      <c r="N52" s="819"/>
      <c r="O52" s="397"/>
      <c r="P52" s="394" t="s">
        <v>125</v>
      </c>
      <c r="Q52" s="821" t="s">
        <v>148</v>
      </c>
      <c r="S52" s="396"/>
      <c r="T52" s="396"/>
      <c r="W52" s="400">
        <v>46813</v>
      </c>
    </row>
    <row r="53" spans="1:23" ht="15">
      <c r="A53" s="379">
        <v>46120</v>
      </c>
      <c r="B53" s="407"/>
      <c r="C53" s="389">
        <v>40</v>
      </c>
      <c r="D53" s="390" t="str">
        <f>VLOOKUP(C53,'MASTER Name List'!$B$3:$M$300,2,FALSE)</f>
        <v>何梅歆</v>
      </c>
      <c r="E53" s="420">
        <v>46266</v>
      </c>
      <c r="F53" s="420">
        <v>46266</v>
      </c>
      <c r="G53" s="726">
        <v>46266</v>
      </c>
      <c r="H53" s="422">
        <f t="shared" si="2"/>
        <v>1</v>
      </c>
      <c r="I53" s="392">
        <v>50</v>
      </c>
      <c r="J53" s="184"/>
      <c r="K53" s="184"/>
      <c r="L53" s="107">
        <f t="shared" si="3"/>
        <v>50</v>
      </c>
      <c r="M53" s="108"/>
      <c r="N53" s="819"/>
      <c r="O53" s="397"/>
      <c r="P53" s="710" t="s">
        <v>125</v>
      </c>
      <c r="Q53" s="821" t="s">
        <v>333</v>
      </c>
      <c r="S53" s="396"/>
      <c r="T53" s="396"/>
      <c r="W53" s="400">
        <v>46844</v>
      </c>
    </row>
    <row r="54" spans="1:23" ht="15">
      <c r="A54" s="379">
        <v>46123</v>
      </c>
      <c r="B54" s="407" t="s">
        <v>947</v>
      </c>
      <c r="C54" s="389">
        <v>25</v>
      </c>
      <c r="D54" s="390" t="str">
        <f>VLOOKUP(C54,'MASTER Name List'!$B$3:$M$300,2,FALSE)</f>
        <v>何艺寿</v>
      </c>
      <c r="E54" s="420">
        <v>46054</v>
      </c>
      <c r="F54" s="420">
        <v>46357</v>
      </c>
      <c r="G54" s="726" t="s">
        <v>948</v>
      </c>
      <c r="H54" s="422">
        <f t="shared" si="2"/>
        <v>11</v>
      </c>
      <c r="I54" s="392">
        <v>50</v>
      </c>
      <c r="J54" s="184"/>
      <c r="K54" s="184"/>
      <c r="L54" s="107">
        <f t="shared" si="3"/>
        <v>550</v>
      </c>
      <c r="M54" s="108"/>
      <c r="N54" s="819"/>
      <c r="O54" s="397"/>
      <c r="P54" s="397" t="s">
        <v>125</v>
      </c>
      <c r="Q54" s="862" t="s">
        <v>346</v>
      </c>
      <c r="S54" s="396"/>
      <c r="T54" s="396"/>
      <c r="W54" s="400">
        <v>46874</v>
      </c>
    </row>
    <row r="55" spans="1:23" ht="15">
      <c r="A55" s="379">
        <v>46126</v>
      </c>
      <c r="B55" s="407"/>
      <c r="C55" s="389">
        <v>237</v>
      </c>
      <c r="D55" s="390" t="str">
        <f>VLOOKUP(C55,'MASTER Name List'!$B$3:$M$300,2,FALSE)</f>
        <v>陈映如</v>
      </c>
      <c r="E55" s="420">
        <v>46113</v>
      </c>
      <c r="F55" s="420">
        <v>46357</v>
      </c>
      <c r="G55" s="847" t="s">
        <v>918</v>
      </c>
      <c r="H55" s="422">
        <f t="shared" si="2"/>
        <v>9</v>
      </c>
      <c r="I55" s="392">
        <v>50</v>
      </c>
      <c r="J55" s="184"/>
      <c r="K55" s="184"/>
      <c r="L55" s="107">
        <f t="shared" si="3"/>
        <v>450</v>
      </c>
      <c r="M55" s="108"/>
      <c r="N55" s="819"/>
      <c r="O55" s="397"/>
      <c r="P55" s="394" t="s">
        <v>125</v>
      </c>
      <c r="Q55" s="848" t="s">
        <v>1714</v>
      </c>
      <c r="S55" s="396"/>
      <c r="T55" s="396"/>
      <c r="W55" s="400">
        <v>46905</v>
      </c>
    </row>
    <row r="56" spans="1:23" ht="15">
      <c r="A56" s="379">
        <v>46136</v>
      </c>
      <c r="B56" s="407"/>
      <c r="C56" s="389">
        <v>80</v>
      </c>
      <c r="D56" s="390" t="str">
        <f>VLOOKUP(C56,'MASTER Name List'!$B$3:$M$300,2,FALSE)</f>
        <v>黄淑芬</v>
      </c>
      <c r="E56" s="420">
        <v>46143</v>
      </c>
      <c r="F56" s="420">
        <v>46143</v>
      </c>
      <c r="G56" s="726">
        <v>46143</v>
      </c>
      <c r="H56" s="422">
        <f t="shared" si="2"/>
        <v>1</v>
      </c>
      <c r="I56" s="392">
        <v>50</v>
      </c>
      <c r="J56" s="184"/>
      <c r="K56" s="184"/>
      <c r="L56" s="107">
        <f t="shared" si="3"/>
        <v>50</v>
      </c>
      <c r="M56" s="108"/>
      <c r="N56" s="819"/>
      <c r="O56" s="397"/>
      <c r="P56" s="394" t="s">
        <v>125</v>
      </c>
      <c r="Q56" s="409" t="s">
        <v>179</v>
      </c>
      <c r="S56" s="396"/>
      <c r="T56" s="396"/>
      <c r="W56" s="400">
        <v>46935</v>
      </c>
    </row>
    <row r="57" spans="1:23" ht="15">
      <c r="A57" s="379">
        <v>46136</v>
      </c>
      <c r="B57" s="407"/>
      <c r="C57" s="389">
        <v>224</v>
      </c>
      <c r="D57" s="390" t="str">
        <f>VLOOKUP(C57,'MASTER Name List'!$B$3:$M$300,2,FALSE)</f>
        <v xml:space="preserve">黄文勝 </v>
      </c>
      <c r="E57" s="420">
        <v>46143</v>
      </c>
      <c r="F57" s="420">
        <v>46143</v>
      </c>
      <c r="G57" s="726">
        <v>46143</v>
      </c>
      <c r="H57" s="422">
        <f t="shared" si="2"/>
        <v>1</v>
      </c>
      <c r="I57" s="392">
        <v>50</v>
      </c>
      <c r="J57" s="184"/>
      <c r="K57" s="184"/>
      <c r="L57" s="107">
        <f t="shared" si="3"/>
        <v>50</v>
      </c>
      <c r="M57" s="108"/>
      <c r="N57" s="819"/>
      <c r="O57" s="397"/>
      <c r="P57" s="394" t="s">
        <v>125</v>
      </c>
      <c r="Q57" s="821" t="s">
        <v>179</v>
      </c>
      <c r="S57" s="396"/>
      <c r="T57" s="396"/>
      <c r="W57" s="400">
        <v>46966</v>
      </c>
    </row>
    <row r="58" spans="1:23" ht="15">
      <c r="A58" s="379">
        <v>46141</v>
      </c>
      <c r="B58" s="407"/>
      <c r="C58" s="389">
        <v>78</v>
      </c>
      <c r="D58" s="390" t="str">
        <f>VLOOKUP(C58,'MASTER Name List'!$B$3:$M$300,2,FALSE)</f>
        <v>江永成</v>
      </c>
      <c r="E58" s="420">
        <v>46023</v>
      </c>
      <c r="F58" s="420">
        <v>46174</v>
      </c>
      <c r="G58" s="834" t="s">
        <v>755</v>
      </c>
      <c r="H58" s="422">
        <f t="shared" si="2"/>
        <v>6</v>
      </c>
      <c r="I58" s="392">
        <v>50</v>
      </c>
      <c r="J58" s="184"/>
      <c r="K58" s="184"/>
      <c r="L58" s="107">
        <f t="shared" si="3"/>
        <v>300</v>
      </c>
      <c r="M58" s="108"/>
      <c r="N58" s="819"/>
      <c r="O58" s="397"/>
      <c r="P58" s="394" t="s">
        <v>125</v>
      </c>
      <c r="Q58" s="821" t="s">
        <v>1150</v>
      </c>
      <c r="S58" s="396"/>
      <c r="T58" s="396"/>
      <c r="W58" s="400">
        <v>46997</v>
      </c>
    </row>
    <row r="59" spans="1:23" ht="15">
      <c r="A59" s="379">
        <v>46124</v>
      </c>
      <c r="B59" s="407"/>
      <c r="C59" s="389">
        <v>104</v>
      </c>
      <c r="D59" s="390" t="str">
        <f>VLOOKUP(C59,'MASTER Name List'!$B$3:$M$300,2,FALSE)</f>
        <v>连美丽</v>
      </c>
      <c r="E59" s="420">
        <v>46082</v>
      </c>
      <c r="F59" s="420">
        <v>46113</v>
      </c>
      <c r="G59" s="863" t="s">
        <v>862</v>
      </c>
      <c r="H59" s="422">
        <f t="shared" ref="H59:H63" si="4">DATEDIF(E59,F59,"M")+1</f>
        <v>2</v>
      </c>
      <c r="I59" s="392">
        <v>50</v>
      </c>
      <c r="J59" s="184"/>
      <c r="K59" s="184"/>
      <c r="L59" s="107">
        <f t="shared" ref="L59:L64" si="5">IF($C59="","-",$H59*$I59)</f>
        <v>100</v>
      </c>
      <c r="M59" s="108"/>
      <c r="N59" s="819"/>
      <c r="O59" s="397"/>
      <c r="P59" s="394" t="s">
        <v>125</v>
      </c>
      <c r="Q59" s="862" t="s">
        <v>142</v>
      </c>
      <c r="S59" s="396"/>
      <c r="T59" s="396"/>
      <c r="W59" s="400">
        <v>47027</v>
      </c>
    </row>
    <row r="60" spans="1:23" ht="15">
      <c r="A60" s="379">
        <v>46138</v>
      </c>
      <c r="B60" s="407"/>
      <c r="C60" s="389">
        <v>155</v>
      </c>
      <c r="D60" s="864" t="str">
        <f>VLOOKUP(C60,'MASTER Name List'!$B$3:$M$300,2,FALSE)</f>
        <v>李宝珠</v>
      </c>
      <c r="E60" s="420">
        <v>46113</v>
      </c>
      <c r="F60" s="420">
        <v>46174</v>
      </c>
      <c r="G60" s="863" t="s">
        <v>881</v>
      </c>
      <c r="H60" s="422">
        <f t="shared" si="4"/>
        <v>3</v>
      </c>
      <c r="I60" s="392">
        <v>50</v>
      </c>
      <c r="J60" s="184"/>
      <c r="K60" s="184"/>
      <c r="L60" s="107">
        <f t="shared" si="5"/>
        <v>150</v>
      </c>
      <c r="M60" s="108"/>
      <c r="N60" s="819"/>
      <c r="O60" s="397"/>
      <c r="P60" s="394" t="s">
        <v>125</v>
      </c>
      <c r="Q60" s="862" t="s">
        <v>856</v>
      </c>
      <c r="S60" s="396"/>
      <c r="T60" s="396"/>
      <c r="W60" s="400">
        <v>47058</v>
      </c>
    </row>
    <row r="61" spans="1:23" ht="15">
      <c r="A61" s="379"/>
      <c r="B61" s="407"/>
      <c r="C61" s="389"/>
      <c r="D61" s="390" t="e">
        <f>VLOOKUP(C61,'MASTER Name List'!$B$3:$M$300,2,FALSE)</f>
        <v>#N/A</v>
      </c>
      <c r="E61" s="420"/>
      <c r="F61" s="420"/>
      <c r="G61" s="391"/>
      <c r="H61" s="422">
        <f t="shared" si="4"/>
        <v>1</v>
      </c>
      <c r="I61" s="392">
        <v>50</v>
      </c>
      <c r="J61" s="184"/>
      <c r="K61" s="184"/>
      <c r="L61" s="107" t="str">
        <f t="shared" si="5"/>
        <v>-</v>
      </c>
      <c r="M61" s="108"/>
      <c r="N61" s="819"/>
      <c r="O61" s="397"/>
      <c r="P61" s="394"/>
      <c r="Q61" s="409"/>
      <c r="S61" s="396"/>
      <c r="T61" s="396"/>
      <c r="W61" s="400">
        <v>47088</v>
      </c>
    </row>
    <row r="62" spans="1:23" ht="15">
      <c r="A62" s="379"/>
      <c r="B62" s="407"/>
      <c r="C62" s="389"/>
      <c r="D62" s="390" t="e">
        <f>VLOOKUP(C62,'MASTER Name List'!$B$3:$M$300,2,FALSE)</f>
        <v>#N/A</v>
      </c>
      <c r="E62" s="420"/>
      <c r="F62" s="420"/>
      <c r="G62" s="391"/>
      <c r="H62" s="422">
        <f t="shared" si="4"/>
        <v>1</v>
      </c>
      <c r="I62" s="392">
        <v>50</v>
      </c>
      <c r="J62" s="184"/>
      <c r="K62" s="184"/>
      <c r="L62" s="107" t="str">
        <f t="shared" si="5"/>
        <v>-</v>
      </c>
      <c r="M62" s="108"/>
      <c r="N62" s="819"/>
      <c r="O62" s="397"/>
      <c r="P62" s="394"/>
      <c r="Q62" s="409"/>
      <c r="S62" s="396"/>
      <c r="T62" s="396"/>
    </row>
    <row r="63" spans="1:23" ht="15">
      <c r="A63" s="379"/>
      <c r="B63" s="407"/>
      <c r="C63" s="389"/>
      <c r="D63" s="390" t="e">
        <f>VLOOKUP(C63,'MASTER Name List'!$B$3:$M$300,2,FALSE)</f>
        <v>#N/A</v>
      </c>
      <c r="E63" s="420"/>
      <c r="F63" s="420"/>
      <c r="G63" s="391"/>
      <c r="H63" s="422">
        <f t="shared" si="4"/>
        <v>1</v>
      </c>
      <c r="I63" s="392">
        <v>50</v>
      </c>
      <c r="J63" s="184"/>
      <c r="K63" s="184"/>
      <c r="L63" s="107" t="str">
        <f t="shared" si="5"/>
        <v>-</v>
      </c>
      <c r="M63" s="108"/>
      <c r="N63" s="819"/>
      <c r="O63" s="397"/>
      <c r="P63" s="394"/>
      <c r="Q63" s="409"/>
      <c r="S63" s="396"/>
      <c r="T63" s="396"/>
    </row>
    <row r="64" spans="1:23" ht="15">
      <c r="A64" s="379"/>
      <c r="B64" s="389"/>
      <c r="C64" s="389"/>
      <c r="D64" s="390"/>
      <c r="E64" s="420"/>
      <c r="F64" s="420"/>
      <c r="G64" s="402"/>
      <c r="H64" s="403"/>
      <c r="I64" s="404"/>
      <c r="J64" s="184"/>
      <c r="K64" s="184"/>
      <c r="L64" s="107" t="str">
        <f t="shared" si="5"/>
        <v>-</v>
      </c>
      <c r="M64" s="108"/>
      <c r="N64" s="819"/>
      <c r="O64" s="397"/>
      <c r="P64" s="410"/>
      <c r="Q64" s="409"/>
      <c r="S64" s="396"/>
      <c r="T64" s="396"/>
    </row>
    <row r="65" spans="1:17" ht="15">
      <c r="A65" s="379"/>
      <c r="B65" s="411"/>
      <c r="C65" s="412"/>
      <c r="D65" s="413"/>
      <c r="E65" s="421"/>
      <c r="F65" s="421"/>
      <c r="G65" s="414"/>
      <c r="H65" s="415"/>
      <c r="I65" s="416"/>
      <c r="J65" s="124"/>
      <c r="K65" s="124"/>
      <c r="L65" s="124"/>
      <c r="M65" s="125"/>
      <c r="N65" s="417"/>
      <c r="O65" s="417"/>
      <c r="P65" s="417"/>
    </row>
    <row r="66" spans="1:17" ht="15">
      <c r="B66" s="418"/>
      <c r="C66" s="418"/>
      <c r="J66" s="128"/>
      <c r="K66" s="128"/>
      <c r="L66" s="128"/>
      <c r="M66" s="129"/>
    </row>
    <row r="67" spans="1:17" ht="15.6" thickBot="1">
      <c r="B67" s="418"/>
      <c r="C67" s="418"/>
      <c r="J67" s="130">
        <f>SUM(J8:J66)</f>
        <v>4200</v>
      </c>
      <c r="K67" s="130">
        <f>SUM(K8:K66)</f>
        <v>0</v>
      </c>
      <c r="L67" s="130">
        <f>SUM(L8:L66)</f>
        <v>2600</v>
      </c>
      <c r="M67" s="131"/>
      <c r="N67" s="132">
        <f>SUM(N8:N66)</f>
        <v>4200</v>
      </c>
    </row>
    <row r="68" spans="1:17" ht="15" thickTop="1">
      <c r="J68" s="133"/>
      <c r="K68" s="133"/>
      <c r="L68" s="133"/>
      <c r="M68" s="129"/>
    </row>
    <row r="69" spans="1:17" s="363" customFormat="1">
      <c r="G69" s="364"/>
      <c r="I69" s="365"/>
      <c r="J69" s="419"/>
      <c r="K69" s="419"/>
      <c r="L69" s="419"/>
      <c r="Q69" s="366"/>
    </row>
  </sheetData>
  <sortState xmlns:xlrd2="http://schemas.microsoft.com/office/spreadsheetml/2017/richdata2" ref="A46:Q58">
    <sortCondition ref="A46:A58"/>
  </sortState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43 E46:F63" xr:uid="{95C13650-E7A4-4658-9DFD-B0C8273BDFFD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92AB-8C4E-46EE-BAAC-7E7E640B0D64}">
  <sheetPr>
    <tabColor rgb="FF00B0F0"/>
  </sheetPr>
  <dimension ref="A4:W66"/>
  <sheetViews>
    <sheetView zoomScale="90" zoomScaleNormal="90" workbookViewId="0">
      <pane ySplit="8" topLeftCell="A39" activePane="bottomLeft" state="frozen"/>
      <selection pane="bottomLeft" activeCell="I65" sqref="I65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11.33203125" style="365" customWidth="1"/>
    <col min="10" max="10" width="11.6640625" style="363" customWidth="1"/>
    <col min="11" max="11" width="8.5546875" style="363" customWidth="1"/>
    <col min="12" max="12" width="13.33203125" style="363" bestFit="1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949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46143</v>
      </c>
      <c r="B9" s="177" t="s">
        <v>950</v>
      </c>
      <c r="C9" s="389">
        <v>195</v>
      </c>
      <c r="D9" s="390" t="str">
        <f>VLOOKUP(C9,'MASTER Name List'!$B$3:$M$300,2,FALSE)</f>
        <v>田玉英</v>
      </c>
      <c r="E9" s="420">
        <v>46266</v>
      </c>
      <c r="F9" s="420">
        <v>46357</v>
      </c>
      <c r="G9" s="726" t="s">
        <v>951</v>
      </c>
      <c r="H9" s="422">
        <f t="shared" ref="H9:H34" si="0">DATEDIF(E9,F9,"M")+1</f>
        <v>4</v>
      </c>
      <c r="I9" s="392">
        <v>50</v>
      </c>
      <c r="J9" s="107">
        <f>IF($C9="","-",$H9*$I9)</f>
        <v>200</v>
      </c>
      <c r="K9" s="184"/>
      <c r="L9" s="184"/>
      <c r="M9" s="108">
        <v>1</v>
      </c>
      <c r="N9" s="819"/>
      <c r="O9" s="393"/>
      <c r="P9" s="641" t="s">
        <v>899</v>
      </c>
      <c r="Q9" s="395"/>
      <c r="S9" s="396"/>
      <c r="T9" s="396"/>
    </row>
    <row r="10" spans="1:23" ht="15">
      <c r="A10" s="379">
        <v>46143</v>
      </c>
      <c r="B10" s="177" t="s">
        <v>952</v>
      </c>
      <c r="C10" s="389">
        <v>99</v>
      </c>
      <c r="D10" s="390" t="str">
        <f>VLOOKUP(C10,'MASTER Name List'!$B$3:$M$300,2,FALSE)</f>
        <v>吴毓遴</v>
      </c>
      <c r="E10" s="420">
        <v>46113</v>
      </c>
      <c r="F10" s="420">
        <v>46174</v>
      </c>
      <c r="G10" s="726" t="s">
        <v>881</v>
      </c>
      <c r="H10" s="422">
        <f t="shared" si="0"/>
        <v>3</v>
      </c>
      <c r="I10" s="392">
        <v>50</v>
      </c>
      <c r="J10" s="107">
        <f t="shared" ref="J10:J34" si="1">IF($C10="","-",$H10*$I10)</f>
        <v>150</v>
      </c>
      <c r="K10" s="184"/>
      <c r="L10" s="184"/>
      <c r="M10" s="108">
        <v>1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46143</v>
      </c>
      <c r="B11" s="177" t="s">
        <v>953</v>
      </c>
      <c r="C11" s="389">
        <v>72</v>
      </c>
      <c r="D11" s="390" t="str">
        <f>VLOOKUP(C11,'MASTER Name List'!$B$3:$M$300,2,FALSE)</f>
        <v>何月琼</v>
      </c>
      <c r="E11" s="420">
        <v>46023</v>
      </c>
      <c r="F11" s="420">
        <v>46082</v>
      </c>
      <c r="G11" s="726" t="s">
        <v>795</v>
      </c>
      <c r="H11" s="422">
        <f t="shared" si="0"/>
        <v>3</v>
      </c>
      <c r="I11" s="392">
        <v>50</v>
      </c>
      <c r="J11" s="107">
        <f t="shared" si="1"/>
        <v>150</v>
      </c>
      <c r="K11" s="184"/>
      <c r="L11" s="184"/>
      <c r="M11" s="108">
        <v>1</v>
      </c>
      <c r="O11" s="397"/>
      <c r="Q11" s="399"/>
      <c r="S11" s="396"/>
      <c r="T11" s="396"/>
      <c r="W11" s="240">
        <v>45566</v>
      </c>
    </row>
    <row r="12" spans="1:23" ht="15">
      <c r="A12" s="379">
        <v>46143</v>
      </c>
      <c r="B12" s="177" t="s">
        <v>954</v>
      </c>
      <c r="C12" s="389">
        <v>86</v>
      </c>
      <c r="D12" s="390" t="str">
        <f>VLOOKUP(C12,'MASTER Name List'!$B$3:$M$300,2,FALSE)</f>
        <v>蔡祥贤</v>
      </c>
      <c r="E12" s="420">
        <v>46023</v>
      </c>
      <c r="F12" s="420">
        <v>46082</v>
      </c>
      <c r="G12" s="726" t="s">
        <v>795</v>
      </c>
      <c r="H12" s="422">
        <f t="shared" si="0"/>
        <v>3</v>
      </c>
      <c r="I12" s="392">
        <v>50</v>
      </c>
      <c r="J12" s="107">
        <f t="shared" si="1"/>
        <v>150</v>
      </c>
      <c r="K12" s="184"/>
      <c r="L12" s="184"/>
      <c r="M12" s="108">
        <v>1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46143</v>
      </c>
      <c r="B13" s="177" t="s">
        <v>955</v>
      </c>
      <c r="C13" s="389">
        <v>180</v>
      </c>
      <c r="D13" s="390" t="str">
        <f>VLOOKUP(C13,'MASTER Name List'!$B$3:$M$300,2,FALSE)</f>
        <v>蔡健铭</v>
      </c>
      <c r="E13" s="420">
        <v>46023</v>
      </c>
      <c r="F13" s="420">
        <v>46082</v>
      </c>
      <c r="G13" s="726" t="s">
        <v>795</v>
      </c>
      <c r="H13" s="422">
        <f t="shared" si="0"/>
        <v>3</v>
      </c>
      <c r="I13" s="392">
        <v>50</v>
      </c>
      <c r="J13" s="107">
        <f t="shared" si="1"/>
        <v>150</v>
      </c>
      <c r="K13" s="184"/>
      <c r="L13" s="184"/>
      <c r="M13" s="108">
        <v>1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46143</v>
      </c>
      <c r="B14" s="177" t="s">
        <v>956</v>
      </c>
      <c r="C14" s="389">
        <v>234</v>
      </c>
      <c r="D14" s="390" t="str">
        <f>VLOOKUP(C14,'MASTER Name List'!$B$3:$M$300,2,FALSE)</f>
        <v>文嘉诚</v>
      </c>
      <c r="E14" s="420">
        <v>46143</v>
      </c>
      <c r="F14" s="420">
        <v>46143</v>
      </c>
      <c r="G14" s="391">
        <v>46143</v>
      </c>
      <c r="H14" s="422">
        <f t="shared" si="0"/>
        <v>1</v>
      </c>
      <c r="I14" s="392">
        <v>50</v>
      </c>
      <c r="J14" s="107">
        <f t="shared" si="1"/>
        <v>50</v>
      </c>
      <c r="K14" s="184"/>
      <c r="L14" s="184"/>
      <c r="M14" s="108">
        <v>1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46144</v>
      </c>
      <c r="B15" s="177" t="s">
        <v>957</v>
      </c>
      <c r="C15" s="389">
        <v>170</v>
      </c>
      <c r="D15" s="390" t="str">
        <f>VLOOKUP(C15,'MASTER Name List'!$B$3:$M$300,2,FALSE)</f>
        <v>陈柔霓</v>
      </c>
      <c r="E15" s="420">
        <v>46143</v>
      </c>
      <c r="F15" s="420">
        <v>46174</v>
      </c>
      <c r="G15" s="726" t="s">
        <v>916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108">
        <v>1</v>
      </c>
      <c r="N15" s="819">
        <f>SUMIF(M:M,"1",J:J)</f>
        <v>950</v>
      </c>
      <c r="O15" s="397" t="s">
        <v>958</v>
      </c>
      <c r="Q15" s="399"/>
      <c r="S15" s="396"/>
      <c r="T15" s="396"/>
      <c r="W15" s="400">
        <v>45689</v>
      </c>
    </row>
    <row r="16" spans="1:23" ht="15">
      <c r="A16" s="379">
        <v>46149</v>
      </c>
      <c r="B16" s="177" t="s">
        <v>959</v>
      </c>
      <c r="C16" s="389">
        <v>97</v>
      </c>
      <c r="D16" s="390" t="str">
        <f>VLOOKUP(C16,'MASTER Name List'!$B$3:$M$300,2,FALSE)</f>
        <v>陈素秋</v>
      </c>
      <c r="E16" s="420">
        <v>46143</v>
      </c>
      <c r="F16" s="420">
        <v>46235</v>
      </c>
      <c r="G16" s="726" t="s">
        <v>904</v>
      </c>
      <c r="H16" s="422">
        <f t="shared" si="0"/>
        <v>4</v>
      </c>
      <c r="I16" s="392">
        <v>50</v>
      </c>
      <c r="J16" s="107">
        <f t="shared" si="1"/>
        <v>200</v>
      </c>
      <c r="K16" s="184"/>
      <c r="L16" s="184"/>
      <c r="M16" s="724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46151</v>
      </c>
      <c r="B17" s="177" t="s">
        <v>960</v>
      </c>
      <c r="C17" s="389">
        <v>188</v>
      </c>
      <c r="D17" s="390" t="str">
        <f>VLOOKUP(C17,'MASTER Name List'!$B$3:$M$300,2,FALSE)</f>
        <v>许银玲</v>
      </c>
      <c r="E17" s="420">
        <v>46204</v>
      </c>
      <c r="F17" s="420">
        <v>46357</v>
      </c>
      <c r="G17" s="726" t="s">
        <v>894</v>
      </c>
      <c r="H17" s="422">
        <f t="shared" si="0"/>
        <v>6</v>
      </c>
      <c r="I17" s="392">
        <v>50</v>
      </c>
      <c r="J17" s="107">
        <f t="shared" si="1"/>
        <v>300</v>
      </c>
      <c r="K17" s="184"/>
      <c r="L17" s="184"/>
      <c r="M17" s="108">
        <v>2</v>
      </c>
      <c r="N17" s="819"/>
      <c r="O17" s="397"/>
      <c r="Q17" s="399"/>
      <c r="S17" s="396"/>
      <c r="T17" s="396"/>
      <c r="W17" s="400">
        <v>45748</v>
      </c>
    </row>
    <row r="18" spans="1:23" ht="15">
      <c r="A18" s="379">
        <v>46151</v>
      </c>
      <c r="B18" s="177" t="s">
        <v>961</v>
      </c>
      <c r="C18" s="389">
        <v>240</v>
      </c>
      <c r="D18" s="390" t="str">
        <f>VLOOKUP(C18,'MASTER Name List'!$B$3:$M$300,2,FALSE)</f>
        <v>黎嘉祺</v>
      </c>
      <c r="E18" s="420">
        <v>46143</v>
      </c>
      <c r="F18" s="420">
        <v>46174</v>
      </c>
      <c r="G18" s="726" t="s">
        <v>916</v>
      </c>
      <c r="H18" s="422">
        <f t="shared" si="0"/>
        <v>2</v>
      </c>
      <c r="I18" s="392">
        <v>50</v>
      </c>
      <c r="J18" s="107">
        <f t="shared" si="1"/>
        <v>100</v>
      </c>
      <c r="K18" s="184"/>
      <c r="L18" s="184"/>
      <c r="M18" s="108">
        <v>2</v>
      </c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>
        <v>46151</v>
      </c>
      <c r="B19" s="177" t="s">
        <v>962</v>
      </c>
      <c r="C19" s="389">
        <v>184</v>
      </c>
      <c r="D19" s="390" t="str">
        <f>VLOOKUP(C19,'MASTER Name List'!$B$3:$M$300,2,FALSE)</f>
        <v>赖奕坊</v>
      </c>
      <c r="E19" s="420">
        <v>46082</v>
      </c>
      <c r="F19" s="420">
        <v>46174</v>
      </c>
      <c r="G19" s="727" t="s">
        <v>887</v>
      </c>
      <c r="H19" s="422">
        <f t="shared" si="0"/>
        <v>4</v>
      </c>
      <c r="I19" s="392">
        <v>50</v>
      </c>
      <c r="J19" s="107">
        <f t="shared" si="1"/>
        <v>200</v>
      </c>
      <c r="K19" s="184"/>
      <c r="L19" s="184"/>
      <c r="M19" s="108">
        <v>2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46151</v>
      </c>
      <c r="B20" s="177" t="s">
        <v>963</v>
      </c>
      <c r="C20" s="389">
        <v>186</v>
      </c>
      <c r="D20" s="390" t="str">
        <f>VLOOKUP(C20,'MASTER Name List'!$B$3:$M$300,2,FALSE)</f>
        <v>刘玉云</v>
      </c>
      <c r="E20" s="420">
        <v>46143</v>
      </c>
      <c r="F20" s="420">
        <v>46174</v>
      </c>
      <c r="G20" s="728" t="s">
        <v>916</v>
      </c>
      <c r="H20" s="721">
        <f t="shared" si="0"/>
        <v>2</v>
      </c>
      <c r="I20" s="722">
        <v>50</v>
      </c>
      <c r="J20" s="107">
        <f t="shared" si="1"/>
        <v>100</v>
      </c>
      <c r="K20" s="184"/>
      <c r="L20" s="184"/>
      <c r="M20" s="108">
        <v>2</v>
      </c>
      <c r="N20" s="819">
        <f>SUMIF(M:M,"2",J:J)</f>
        <v>900</v>
      </c>
      <c r="O20" s="397" t="s">
        <v>1776</v>
      </c>
      <c r="P20" s="398"/>
      <c r="Q20" s="399"/>
      <c r="S20" s="396"/>
      <c r="T20" s="396"/>
      <c r="W20" s="400">
        <v>45839</v>
      </c>
    </row>
    <row r="21" spans="1:23" ht="15">
      <c r="A21" s="379">
        <v>46164</v>
      </c>
      <c r="B21" s="177" t="s">
        <v>964</v>
      </c>
      <c r="C21" s="389">
        <v>208</v>
      </c>
      <c r="D21" s="390" t="str">
        <f>VLOOKUP(C21,'MASTER Name List'!$B$3:$M$300,2,FALSE)</f>
        <v>萧志倫</v>
      </c>
      <c r="E21" s="420">
        <v>46143</v>
      </c>
      <c r="F21" s="420">
        <v>46143</v>
      </c>
      <c r="G21" s="720">
        <v>46143</v>
      </c>
      <c r="H21" s="721">
        <f t="shared" si="0"/>
        <v>1</v>
      </c>
      <c r="I21" s="722">
        <v>50</v>
      </c>
      <c r="J21" s="107">
        <f t="shared" si="1"/>
        <v>50</v>
      </c>
      <c r="K21" s="184"/>
      <c r="L21" s="184">
        <v>0</v>
      </c>
      <c r="M21" s="724">
        <v>3</v>
      </c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>
        <v>46165</v>
      </c>
      <c r="B22" s="177" t="s">
        <v>965</v>
      </c>
      <c r="C22" s="389">
        <v>131</v>
      </c>
      <c r="D22" s="390" t="str">
        <f>VLOOKUP(C22,'MASTER Name List'!$B$3:$M$300,2,FALSE)</f>
        <v>王康芬</v>
      </c>
      <c r="E22" s="420">
        <v>46113</v>
      </c>
      <c r="F22" s="420">
        <v>46174</v>
      </c>
      <c r="G22" s="831" t="s">
        <v>881</v>
      </c>
      <c r="H22" s="721">
        <f t="shared" si="0"/>
        <v>3</v>
      </c>
      <c r="I22" s="722">
        <v>50</v>
      </c>
      <c r="J22" s="107">
        <f t="shared" si="1"/>
        <v>150</v>
      </c>
      <c r="K22" s="184"/>
      <c r="L22" s="184"/>
      <c r="M22" s="108">
        <v>3</v>
      </c>
      <c r="N22" s="819">
        <f>SUMIF(M:M,"3",J:J)</f>
        <v>200</v>
      </c>
      <c r="O22" s="397" t="s">
        <v>1775</v>
      </c>
      <c r="P22" s="398"/>
      <c r="Q22" s="399"/>
      <c r="S22" s="396"/>
      <c r="T22" s="396"/>
      <c r="W22" s="400">
        <v>45901</v>
      </c>
    </row>
    <row r="23" spans="1:23" ht="15">
      <c r="A23" s="379">
        <v>46168</v>
      </c>
      <c r="B23" s="177" t="s">
        <v>966</v>
      </c>
      <c r="C23" s="389">
        <v>185</v>
      </c>
      <c r="D23" s="390" t="str">
        <f>VLOOKUP(C23,'MASTER Name List'!$B$3:$M$300,2,FALSE)</f>
        <v>羅梅瑂</v>
      </c>
      <c r="E23" s="420">
        <v>46113</v>
      </c>
      <c r="F23" s="420">
        <v>46204</v>
      </c>
      <c r="G23" s="853" t="s">
        <v>881</v>
      </c>
      <c r="H23" s="721">
        <f t="shared" si="0"/>
        <v>4</v>
      </c>
      <c r="I23" s="722">
        <v>50</v>
      </c>
      <c r="J23" s="107">
        <f t="shared" si="1"/>
        <v>200</v>
      </c>
      <c r="K23" s="184"/>
      <c r="L23" s="184"/>
      <c r="M23" s="724">
        <v>4</v>
      </c>
      <c r="N23" s="819"/>
      <c r="O23" s="397"/>
      <c r="P23" s="398"/>
      <c r="Q23" s="399"/>
      <c r="S23" s="396"/>
      <c r="T23" s="396"/>
      <c r="W23" s="400">
        <v>45931</v>
      </c>
    </row>
    <row r="24" spans="1:23" ht="15">
      <c r="A24" s="379">
        <v>46173</v>
      </c>
      <c r="B24" s="177" t="s">
        <v>967</v>
      </c>
      <c r="C24" s="389">
        <v>178</v>
      </c>
      <c r="D24" s="390" t="str">
        <f>VLOOKUP(C24,'MASTER Name List'!$B$3:$M$300,2,FALSE)</f>
        <v>颜美葒</v>
      </c>
      <c r="E24" s="420">
        <v>46204</v>
      </c>
      <c r="F24" s="420">
        <v>46235</v>
      </c>
      <c r="G24" s="853" t="s">
        <v>848</v>
      </c>
      <c r="H24" s="721">
        <f t="shared" si="0"/>
        <v>2</v>
      </c>
      <c r="I24" s="722">
        <v>50</v>
      </c>
      <c r="J24" s="107">
        <f t="shared" si="1"/>
        <v>100</v>
      </c>
      <c r="K24" s="184"/>
      <c r="L24" s="184"/>
      <c r="M24" s="108">
        <v>4</v>
      </c>
      <c r="N24" s="819"/>
      <c r="O24" s="397"/>
      <c r="P24" s="398"/>
      <c r="Q24" s="399"/>
      <c r="S24" s="396"/>
      <c r="T24" s="396"/>
      <c r="W24" s="400">
        <v>45962</v>
      </c>
    </row>
    <row r="25" spans="1:23" ht="15">
      <c r="A25" s="379">
        <v>46173</v>
      </c>
      <c r="B25" s="177" t="s">
        <v>968</v>
      </c>
      <c r="C25" s="389">
        <v>72</v>
      </c>
      <c r="D25" s="390" t="str">
        <f>VLOOKUP(C25,'MASTER Name List'!$B$3:$M$300,2,FALSE)</f>
        <v>何月琼</v>
      </c>
      <c r="E25" s="420">
        <v>46113</v>
      </c>
      <c r="F25" s="420">
        <v>46174</v>
      </c>
      <c r="G25" s="853" t="s">
        <v>881</v>
      </c>
      <c r="H25" s="721">
        <f t="shared" si="0"/>
        <v>3</v>
      </c>
      <c r="I25" s="722">
        <v>50</v>
      </c>
      <c r="J25" s="107">
        <f t="shared" si="1"/>
        <v>150</v>
      </c>
      <c r="K25" s="184"/>
      <c r="L25" s="184"/>
      <c r="M25" s="108">
        <v>4</v>
      </c>
      <c r="N25" s="819"/>
      <c r="O25" s="397"/>
      <c r="P25" s="398"/>
      <c r="Q25" s="399"/>
      <c r="S25" s="396"/>
      <c r="T25" s="396"/>
      <c r="W25" s="400">
        <v>45992</v>
      </c>
    </row>
    <row r="26" spans="1:23" ht="15">
      <c r="A26" s="379">
        <v>46173</v>
      </c>
      <c r="B26" s="177" t="s">
        <v>969</v>
      </c>
      <c r="C26" s="389">
        <v>106</v>
      </c>
      <c r="D26" s="390" t="str">
        <f>VLOOKUP(C26,'MASTER Name List'!$B$3:$M$300,2,FALSE)</f>
        <v>文渼媄</v>
      </c>
      <c r="E26" s="420">
        <v>46113</v>
      </c>
      <c r="F26" s="420">
        <v>46174</v>
      </c>
      <c r="G26" s="853" t="s">
        <v>881</v>
      </c>
      <c r="H26" s="721">
        <f t="shared" si="0"/>
        <v>3</v>
      </c>
      <c r="I26" s="722">
        <v>50</v>
      </c>
      <c r="J26" s="107">
        <f t="shared" si="1"/>
        <v>150</v>
      </c>
      <c r="K26" s="184"/>
      <c r="L26" s="184"/>
      <c r="M26" s="108">
        <v>4</v>
      </c>
      <c r="N26" s="819"/>
      <c r="O26" s="397"/>
      <c r="P26" s="398"/>
      <c r="Q26" s="399"/>
      <c r="S26" s="396"/>
      <c r="T26" s="396"/>
      <c r="W26" s="400">
        <v>46023</v>
      </c>
    </row>
    <row r="27" spans="1:23" ht="15">
      <c r="A27" s="379">
        <v>46173</v>
      </c>
      <c r="B27" s="177" t="s">
        <v>970</v>
      </c>
      <c r="C27" s="389">
        <v>86</v>
      </c>
      <c r="D27" s="390" t="str">
        <f>VLOOKUP(C27,'MASTER Name List'!$B$3:$M$300,2,FALSE)</f>
        <v>蔡祥贤</v>
      </c>
      <c r="E27" s="420">
        <v>46113</v>
      </c>
      <c r="F27" s="420">
        <v>46174</v>
      </c>
      <c r="G27" s="853" t="s">
        <v>881</v>
      </c>
      <c r="H27" s="721">
        <f t="shared" si="0"/>
        <v>3</v>
      </c>
      <c r="I27" s="722">
        <v>50</v>
      </c>
      <c r="J27" s="107">
        <f t="shared" si="1"/>
        <v>150</v>
      </c>
      <c r="K27" s="184"/>
      <c r="L27" s="184"/>
      <c r="M27" s="108">
        <v>4</v>
      </c>
      <c r="N27" s="819"/>
      <c r="O27" s="397"/>
      <c r="P27" s="398"/>
      <c r="Q27" s="399"/>
      <c r="S27" s="396"/>
      <c r="T27" s="396"/>
      <c r="W27" s="400">
        <v>46054</v>
      </c>
    </row>
    <row r="28" spans="1:23" ht="15">
      <c r="A28" s="379">
        <v>46173</v>
      </c>
      <c r="B28" s="177" t="s">
        <v>971</v>
      </c>
      <c r="C28" s="389">
        <v>180</v>
      </c>
      <c r="D28" s="390" t="str">
        <f>VLOOKUP(C28,'MASTER Name List'!$B$3:$M$300,2,FALSE)</f>
        <v>蔡健铭</v>
      </c>
      <c r="E28" s="420">
        <v>46113</v>
      </c>
      <c r="F28" s="420">
        <v>46174</v>
      </c>
      <c r="G28" s="853" t="s">
        <v>881</v>
      </c>
      <c r="H28" s="721">
        <f t="shared" si="0"/>
        <v>3</v>
      </c>
      <c r="I28" s="722">
        <v>50</v>
      </c>
      <c r="J28" s="107">
        <f t="shared" si="1"/>
        <v>150</v>
      </c>
      <c r="K28" s="184"/>
      <c r="L28" s="184"/>
      <c r="M28" s="108">
        <v>4</v>
      </c>
      <c r="N28" s="819"/>
      <c r="O28" s="397"/>
      <c r="P28" s="398"/>
      <c r="Q28" s="399"/>
      <c r="S28" s="396"/>
      <c r="T28" s="396"/>
      <c r="W28" s="400">
        <v>46082</v>
      </c>
    </row>
    <row r="29" spans="1:23" ht="15">
      <c r="A29" s="379">
        <v>46173</v>
      </c>
      <c r="B29" s="729" t="s">
        <v>972</v>
      </c>
      <c r="C29" s="389">
        <v>54</v>
      </c>
      <c r="D29" s="390" t="str">
        <f>VLOOKUP(C29,'MASTER Name List'!$B$3:$M$300,2,FALSE)</f>
        <v>黄丽玲</v>
      </c>
      <c r="E29" s="420">
        <v>46143</v>
      </c>
      <c r="F29" s="420">
        <v>46204</v>
      </c>
      <c r="G29" s="853" t="s">
        <v>1774</v>
      </c>
      <c r="H29" s="721">
        <f t="shared" si="0"/>
        <v>3</v>
      </c>
      <c r="I29" s="722">
        <v>50</v>
      </c>
      <c r="J29" s="107">
        <f t="shared" si="1"/>
        <v>150</v>
      </c>
      <c r="K29" s="184"/>
      <c r="L29" s="184"/>
      <c r="M29" s="108">
        <v>4</v>
      </c>
      <c r="N29" s="819">
        <f>SUMIF(M:M,"4",J:J)</f>
        <v>1050</v>
      </c>
      <c r="O29" s="397" t="s">
        <v>1795</v>
      </c>
      <c r="P29" s="641" t="s">
        <v>973</v>
      </c>
      <c r="Q29" s="399"/>
      <c r="S29" s="396"/>
      <c r="T29" s="396"/>
      <c r="W29" s="400"/>
    </row>
    <row r="30" spans="1:23" ht="15">
      <c r="A30" s="379"/>
      <c r="B30" s="177"/>
      <c r="C30" s="389"/>
      <c r="D30" s="390" t="e">
        <f>VLOOKUP(C30,'MASTER Name List'!$B$3:$M$300,2,FALSE)</f>
        <v>#N/A</v>
      </c>
      <c r="E30" s="420"/>
      <c r="F30" s="420"/>
      <c r="G30" s="720"/>
      <c r="H30" s="721">
        <f t="shared" si="0"/>
        <v>1</v>
      </c>
      <c r="I30" s="722">
        <v>50</v>
      </c>
      <c r="J30" s="107" t="str">
        <f t="shared" si="1"/>
        <v>-</v>
      </c>
      <c r="K30" s="184"/>
      <c r="L30" s="184"/>
      <c r="M30" s="108"/>
      <c r="N30" s="819"/>
      <c r="O30" s="397"/>
      <c r="P30" s="398"/>
      <c r="Q30" s="399"/>
      <c r="S30" s="396"/>
      <c r="T30" s="396"/>
      <c r="W30" s="400"/>
    </row>
    <row r="31" spans="1:23" ht="15">
      <c r="A31" s="379"/>
      <c r="B31" s="177"/>
      <c r="C31" s="389"/>
      <c r="D31" s="390" t="e">
        <f>VLOOKUP(C31,'MASTER Name List'!$B$3:$M$300,2,FALSE)</f>
        <v>#N/A</v>
      </c>
      <c r="E31" s="420"/>
      <c r="F31" s="420"/>
      <c r="G31" s="720"/>
      <c r="H31" s="721">
        <f t="shared" si="0"/>
        <v>1</v>
      </c>
      <c r="I31" s="722">
        <v>50</v>
      </c>
      <c r="J31" s="107" t="str">
        <f t="shared" si="1"/>
        <v>-</v>
      </c>
      <c r="K31" s="184"/>
      <c r="L31" s="184"/>
      <c r="M31" s="108"/>
      <c r="N31" s="819"/>
      <c r="O31" s="397"/>
      <c r="P31" s="398"/>
      <c r="Q31" s="399"/>
      <c r="S31" s="396"/>
      <c r="T31" s="396"/>
      <c r="W31" s="400"/>
    </row>
    <row r="32" spans="1:23" ht="15">
      <c r="A32" s="379"/>
      <c r="B32" s="177"/>
      <c r="C32" s="389"/>
      <c r="D32" s="390" t="e">
        <f>VLOOKUP(C32,'MASTER Name List'!$B$3:$M$300,2,FALSE)</f>
        <v>#N/A</v>
      </c>
      <c r="E32" s="420"/>
      <c r="F32" s="420"/>
      <c r="G32" s="720"/>
      <c r="H32" s="721">
        <f t="shared" si="0"/>
        <v>1</v>
      </c>
      <c r="I32" s="722">
        <v>50</v>
      </c>
      <c r="J32" s="107" t="str">
        <f t="shared" si="1"/>
        <v>-</v>
      </c>
      <c r="K32" s="184"/>
      <c r="L32" s="184"/>
      <c r="M32" s="108"/>
      <c r="N32" s="819"/>
      <c r="O32" s="397"/>
      <c r="P32" s="398"/>
      <c r="Q32" s="399"/>
      <c r="S32" s="396"/>
      <c r="T32" s="396"/>
      <c r="W32" s="400"/>
    </row>
    <row r="33" spans="1:23" ht="15">
      <c r="A33" s="379"/>
      <c r="B33" s="177"/>
      <c r="C33" s="389"/>
      <c r="D33" s="390" t="e">
        <f>VLOOKUP(C33,'MASTER Name List'!$B$3:$M$300,2,FALSE)</f>
        <v>#N/A</v>
      </c>
      <c r="E33" s="420"/>
      <c r="F33" s="420"/>
      <c r="G33" s="720"/>
      <c r="H33" s="721">
        <f t="shared" si="0"/>
        <v>1</v>
      </c>
      <c r="I33" s="722">
        <v>50</v>
      </c>
      <c r="J33" s="107" t="str">
        <f t="shared" si="1"/>
        <v>-</v>
      </c>
      <c r="K33" s="184"/>
      <c r="L33" s="184"/>
      <c r="M33" s="108"/>
      <c r="N33" s="819"/>
      <c r="O33" s="397"/>
      <c r="P33" s="398"/>
      <c r="Q33" s="399"/>
      <c r="S33" s="396"/>
      <c r="T33" s="396"/>
      <c r="W33" s="400"/>
    </row>
    <row r="34" spans="1:23" ht="15">
      <c r="A34" s="379"/>
      <c r="B34" s="177"/>
      <c r="C34" s="389"/>
      <c r="D34" s="390" t="e">
        <f>VLOOKUP(C34,'MASTER Name List'!$B$3:$M$300,2,FALSE)</f>
        <v>#N/A</v>
      </c>
      <c r="E34" s="420"/>
      <c r="F34" s="420"/>
      <c r="G34" s="723"/>
      <c r="H34" s="721">
        <f t="shared" si="0"/>
        <v>1</v>
      </c>
      <c r="I34" s="722">
        <v>50</v>
      </c>
      <c r="J34" s="107" t="str">
        <f t="shared" si="1"/>
        <v>-</v>
      </c>
      <c r="K34" s="184"/>
      <c r="L34" s="184"/>
      <c r="M34" s="108"/>
      <c r="N34" s="819"/>
      <c r="O34" s="397"/>
      <c r="P34" s="394"/>
      <c r="Q34" s="399"/>
      <c r="S34" s="396"/>
      <c r="T34" s="396"/>
      <c r="W34" s="400">
        <v>46113</v>
      </c>
    </row>
    <row r="35" spans="1:23" ht="15">
      <c r="A35" s="379"/>
      <c r="B35" s="177"/>
      <c r="C35" s="389"/>
      <c r="D35" s="390"/>
      <c r="E35" s="420"/>
      <c r="F35" s="420"/>
      <c r="G35" s="402"/>
      <c r="H35" s="403"/>
      <c r="I35" s="404"/>
      <c r="J35" s="107"/>
      <c r="K35" s="107"/>
      <c r="L35" s="107"/>
      <c r="M35" s="108"/>
      <c r="N35" s="819"/>
      <c r="O35" s="397"/>
      <c r="P35" s="394"/>
      <c r="Q35" s="399"/>
      <c r="S35" s="396"/>
      <c r="T35" s="396"/>
      <c r="W35" s="400">
        <v>46143</v>
      </c>
    </row>
    <row r="36" spans="1:23" ht="15">
      <c r="A36" s="379"/>
      <c r="B36" s="405" t="s">
        <v>487</v>
      </c>
      <c r="C36" s="389"/>
      <c r="D36" s="390"/>
      <c r="E36" s="420"/>
      <c r="F36" s="420"/>
      <c r="G36" s="391"/>
      <c r="H36" s="406"/>
      <c r="I36" s="392"/>
      <c r="J36" s="107"/>
      <c r="K36" s="107"/>
      <c r="L36" s="107"/>
      <c r="M36" s="108"/>
      <c r="N36" s="819"/>
      <c r="O36" s="397"/>
      <c r="P36" s="394"/>
      <c r="Q36" s="399"/>
      <c r="S36" s="396"/>
      <c r="T36" s="396"/>
      <c r="W36" s="400">
        <v>46174</v>
      </c>
    </row>
    <row r="37" spans="1:23" ht="15">
      <c r="A37" s="379">
        <v>46143</v>
      </c>
      <c r="B37" s="407"/>
      <c r="C37" s="389">
        <v>68</v>
      </c>
      <c r="D37" s="390" t="str">
        <f>VLOOKUP(C37,'MASTER Name List'!$B$3:$M$300,2,FALSE)</f>
        <v>沈观胜</v>
      </c>
      <c r="E37" s="420">
        <v>46113</v>
      </c>
      <c r="F37" s="420">
        <v>46174</v>
      </c>
      <c r="G37" s="834" t="s">
        <v>881</v>
      </c>
      <c r="H37" s="422">
        <f t="shared" ref="H37:H52" si="2">DATEDIF(E37,F37,"M")+1</f>
        <v>3</v>
      </c>
      <c r="I37" s="392">
        <v>50</v>
      </c>
      <c r="J37" s="184"/>
      <c r="K37" s="184"/>
      <c r="L37" s="107">
        <f t="shared" ref="L37:L52" si="3">IF($C37="","-",$H37*$I37)</f>
        <v>150</v>
      </c>
      <c r="M37" s="108"/>
      <c r="N37" s="819"/>
      <c r="O37" s="397"/>
      <c r="P37" s="394" t="s">
        <v>125</v>
      </c>
      <c r="Q37" s="849" t="s">
        <v>211</v>
      </c>
      <c r="S37" s="396"/>
      <c r="T37" s="396"/>
      <c r="W37" s="400">
        <v>46204</v>
      </c>
    </row>
    <row r="38" spans="1:23" ht="15">
      <c r="A38" s="379">
        <v>46143</v>
      </c>
      <c r="B38" s="407"/>
      <c r="C38" s="389">
        <v>116</v>
      </c>
      <c r="D38" s="390" t="str">
        <f>VLOOKUP(C38,'MASTER Name List'!$B$3:$M$300,2,FALSE)</f>
        <v>李薇薇</v>
      </c>
      <c r="E38" s="420">
        <v>46143</v>
      </c>
      <c r="F38" s="420">
        <v>46143</v>
      </c>
      <c r="G38" s="391">
        <v>46143</v>
      </c>
      <c r="H38" s="422">
        <f t="shared" si="2"/>
        <v>1</v>
      </c>
      <c r="I38" s="392">
        <v>50</v>
      </c>
      <c r="J38" s="184"/>
      <c r="K38" s="184"/>
      <c r="L38" s="107">
        <f t="shared" si="3"/>
        <v>50</v>
      </c>
      <c r="M38" s="108"/>
      <c r="N38" s="819"/>
      <c r="O38" s="397"/>
      <c r="P38" s="394" t="s">
        <v>125</v>
      </c>
      <c r="Q38" s="409" t="s">
        <v>133</v>
      </c>
      <c r="S38" s="396"/>
      <c r="T38" s="396"/>
      <c r="W38" s="400">
        <v>46235</v>
      </c>
    </row>
    <row r="39" spans="1:23" ht="15">
      <c r="A39" s="379">
        <v>46143</v>
      </c>
      <c r="B39" s="407"/>
      <c r="C39" s="389">
        <v>117</v>
      </c>
      <c r="D39" s="390" t="str">
        <f>VLOOKUP(C39,'MASTER Name List'!$B$3:$M$300,2,FALSE)</f>
        <v>张志文</v>
      </c>
      <c r="E39" s="420">
        <v>46143</v>
      </c>
      <c r="F39" s="420">
        <v>46143</v>
      </c>
      <c r="G39" s="391">
        <v>46143</v>
      </c>
      <c r="H39" s="422">
        <f t="shared" si="2"/>
        <v>1</v>
      </c>
      <c r="I39" s="392">
        <v>50</v>
      </c>
      <c r="J39" s="184"/>
      <c r="K39" s="184"/>
      <c r="L39" s="107">
        <f t="shared" si="3"/>
        <v>50</v>
      </c>
      <c r="M39" s="108"/>
      <c r="N39" s="819"/>
      <c r="O39" s="397"/>
      <c r="P39" s="394" t="s">
        <v>125</v>
      </c>
      <c r="Q39" s="409" t="s">
        <v>915</v>
      </c>
      <c r="S39" s="396"/>
      <c r="T39" s="396"/>
      <c r="W39" s="400">
        <v>46266</v>
      </c>
    </row>
    <row r="40" spans="1:23" ht="15">
      <c r="A40" s="379">
        <v>46146</v>
      </c>
      <c r="B40" s="407"/>
      <c r="C40" s="389">
        <v>48</v>
      </c>
      <c r="D40" s="390" t="str">
        <f>VLOOKUP(C40,'MASTER Name List'!$B$3:$M$300,2,FALSE)</f>
        <v>叶鏸郧</v>
      </c>
      <c r="E40" s="420">
        <v>46054</v>
      </c>
      <c r="F40" s="420">
        <v>46113</v>
      </c>
      <c r="G40" s="850" t="s">
        <v>907</v>
      </c>
      <c r="H40" s="422">
        <f t="shared" si="2"/>
        <v>3</v>
      </c>
      <c r="I40" s="392">
        <v>50</v>
      </c>
      <c r="J40" s="184"/>
      <c r="K40" s="184"/>
      <c r="L40" s="107">
        <f t="shared" si="3"/>
        <v>150</v>
      </c>
      <c r="M40" s="108"/>
      <c r="N40" s="819"/>
      <c r="O40" s="397"/>
      <c r="P40" s="394" t="s">
        <v>125</v>
      </c>
      <c r="Q40" s="409" t="s">
        <v>694</v>
      </c>
      <c r="S40" s="396"/>
      <c r="T40" s="396"/>
      <c r="W40" s="400">
        <v>46296</v>
      </c>
    </row>
    <row r="41" spans="1:23" ht="15">
      <c r="A41" s="379">
        <v>46148</v>
      </c>
      <c r="B41" s="407"/>
      <c r="C41" s="389">
        <v>172</v>
      </c>
      <c r="D41" s="390" t="str">
        <f>VLOOKUP(C41,'MASTER Name List'!$B$3:$M$300,2,FALSE)</f>
        <v>蔡均镅</v>
      </c>
      <c r="E41" s="420">
        <v>46143</v>
      </c>
      <c r="F41" s="420">
        <v>46174</v>
      </c>
      <c r="G41" s="850" t="s">
        <v>916</v>
      </c>
      <c r="H41" s="422">
        <f t="shared" si="2"/>
        <v>2</v>
      </c>
      <c r="I41" s="392">
        <v>50</v>
      </c>
      <c r="J41" s="184"/>
      <c r="K41" s="184"/>
      <c r="L41" s="107">
        <f t="shared" si="3"/>
        <v>100</v>
      </c>
      <c r="M41" s="108"/>
      <c r="N41" s="819"/>
      <c r="O41" s="408"/>
      <c r="P41" s="394" t="s">
        <v>125</v>
      </c>
      <c r="Q41" s="409" t="s">
        <v>194</v>
      </c>
      <c r="S41" s="396"/>
      <c r="T41" s="396"/>
      <c r="W41" s="400">
        <v>46327</v>
      </c>
    </row>
    <row r="42" spans="1:23" ht="15">
      <c r="A42" s="379">
        <v>46149</v>
      </c>
      <c r="B42" s="407"/>
      <c r="C42" s="389">
        <v>52</v>
      </c>
      <c r="D42" s="390" t="str">
        <f>VLOOKUP(C42,'MASTER Name List'!$B$3:$M$300,2,FALSE)</f>
        <v>陈宝蓉</v>
      </c>
      <c r="E42" s="420">
        <v>46143</v>
      </c>
      <c r="F42" s="420">
        <v>46174</v>
      </c>
      <c r="G42" s="850" t="s">
        <v>916</v>
      </c>
      <c r="H42" s="422">
        <f t="shared" si="2"/>
        <v>2</v>
      </c>
      <c r="I42" s="392">
        <v>50</v>
      </c>
      <c r="J42" s="184"/>
      <c r="K42" s="184"/>
      <c r="L42" s="107">
        <f t="shared" si="3"/>
        <v>100</v>
      </c>
      <c r="M42" s="108"/>
      <c r="N42" s="819"/>
      <c r="O42" s="397"/>
      <c r="P42" s="394" t="s">
        <v>125</v>
      </c>
      <c r="Q42" s="409" t="s">
        <v>330</v>
      </c>
      <c r="S42" s="396"/>
      <c r="T42" s="396"/>
      <c r="W42" s="400">
        <v>46357</v>
      </c>
    </row>
    <row r="43" spans="1:23" ht="15">
      <c r="A43" s="379">
        <v>46149</v>
      </c>
      <c r="B43" s="407"/>
      <c r="C43" s="389">
        <v>40</v>
      </c>
      <c r="D43" s="390" t="str">
        <f>VLOOKUP(C43,'MASTER Name List'!$B$3:$M$300,2,FALSE)</f>
        <v>何梅歆</v>
      </c>
      <c r="E43" s="420">
        <v>46296</v>
      </c>
      <c r="F43" s="420">
        <v>46296</v>
      </c>
      <c r="G43" s="391">
        <v>46296</v>
      </c>
      <c r="H43" s="422">
        <f t="shared" si="2"/>
        <v>1</v>
      </c>
      <c r="I43" s="392">
        <v>50</v>
      </c>
      <c r="J43" s="184"/>
      <c r="K43" s="184"/>
      <c r="L43" s="107">
        <f t="shared" si="3"/>
        <v>50</v>
      </c>
      <c r="M43" s="108"/>
      <c r="N43" s="819"/>
      <c r="O43" s="397"/>
      <c r="P43" s="394" t="s">
        <v>125</v>
      </c>
      <c r="Q43" s="409" t="s">
        <v>333</v>
      </c>
      <c r="S43" s="396"/>
      <c r="T43" s="396"/>
      <c r="W43" s="400">
        <v>46388</v>
      </c>
    </row>
    <row r="44" spans="1:23" ht="15">
      <c r="A44" s="379">
        <v>46151</v>
      </c>
      <c r="B44" s="407"/>
      <c r="C44" s="389">
        <v>139</v>
      </c>
      <c r="D44" s="390" t="str">
        <f>VLOOKUP(C44,'MASTER Name List'!$B$3:$M$300,2,FALSE)</f>
        <v>黄宝芝</v>
      </c>
      <c r="E44" s="420">
        <v>46082</v>
      </c>
      <c r="F44" s="420">
        <v>46357</v>
      </c>
      <c r="G44" s="850" t="s">
        <v>1722</v>
      </c>
      <c r="H44" s="422">
        <f t="shared" si="2"/>
        <v>10</v>
      </c>
      <c r="I44" s="392">
        <v>50</v>
      </c>
      <c r="J44" s="184"/>
      <c r="K44" s="184"/>
      <c r="L44" s="107">
        <f t="shared" si="3"/>
        <v>500</v>
      </c>
      <c r="M44" s="108"/>
      <c r="N44" s="819"/>
      <c r="O44" s="397"/>
      <c r="P44" s="710" t="s">
        <v>125</v>
      </c>
      <c r="Q44" s="409" t="s">
        <v>420</v>
      </c>
      <c r="S44" s="396"/>
      <c r="T44" s="396"/>
      <c r="W44" s="400">
        <v>46419</v>
      </c>
    </row>
    <row r="45" spans="1:23" ht="15">
      <c r="A45" s="379">
        <v>46151</v>
      </c>
      <c r="B45" s="407"/>
      <c r="C45" s="389">
        <v>61</v>
      </c>
      <c r="D45" s="390" t="str">
        <f>VLOOKUP(C45,'MASTER Name List'!$B$3:$M$300,2,FALSE)</f>
        <v>黄素彬</v>
      </c>
      <c r="E45" s="420">
        <v>46266</v>
      </c>
      <c r="F45" s="420">
        <v>46539</v>
      </c>
      <c r="G45" s="850" t="s">
        <v>1723</v>
      </c>
      <c r="H45" s="422">
        <f t="shared" si="2"/>
        <v>10</v>
      </c>
      <c r="I45" s="392">
        <v>50</v>
      </c>
      <c r="J45" s="184"/>
      <c r="K45" s="184"/>
      <c r="L45" s="107">
        <f t="shared" si="3"/>
        <v>500</v>
      </c>
      <c r="M45" s="108"/>
      <c r="N45" s="819"/>
      <c r="O45" s="397"/>
      <c r="P45" s="397" t="s">
        <v>125</v>
      </c>
      <c r="Q45" s="409" t="s">
        <v>849</v>
      </c>
      <c r="S45" s="396"/>
      <c r="T45" s="396"/>
      <c r="W45" s="400">
        <v>46447</v>
      </c>
    </row>
    <row r="46" spans="1:23" ht="15">
      <c r="A46" s="379">
        <v>46156</v>
      </c>
      <c r="B46" s="407"/>
      <c r="C46" s="389">
        <v>193</v>
      </c>
      <c r="D46" s="390" t="str">
        <f>VLOOKUP(C46,'MASTER Name List'!$B$3:$M$300,2,FALSE)</f>
        <v>许艾婷</v>
      </c>
      <c r="E46" s="420">
        <v>46023</v>
      </c>
      <c r="F46" s="420">
        <v>46174</v>
      </c>
      <c r="G46" s="850" t="s">
        <v>755</v>
      </c>
      <c r="H46" s="422">
        <f t="shared" si="2"/>
        <v>6</v>
      </c>
      <c r="I46" s="392">
        <v>50</v>
      </c>
      <c r="J46" s="184"/>
      <c r="K46" s="184"/>
      <c r="L46" s="107">
        <f t="shared" si="3"/>
        <v>300</v>
      </c>
      <c r="M46" s="108"/>
      <c r="N46" s="819"/>
      <c r="O46" s="397"/>
      <c r="P46" s="394" t="s">
        <v>125</v>
      </c>
      <c r="Q46" s="409" t="s">
        <v>884</v>
      </c>
      <c r="S46" s="396"/>
      <c r="T46" s="396"/>
      <c r="W46" s="400">
        <v>46478</v>
      </c>
    </row>
    <row r="47" spans="1:23" ht="15">
      <c r="A47" s="379">
        <v>46163</v>
      </c>
      <c r="B47" s="407"/>
      <c r="C47" s="389">
        <v>137</v>
      </c>
      <c r="D47" s="390" t="str">
        <f>VLOOKUP(C47,'MASTER Name List'!$B$3:$M$300,2,FALSE)</f>
        <v>赖美珍</v>
      </c>
      <c r="E47" s="420">
        <v>46143</v>
      </c>
      <c r="F47" s="420">
        <v>46143</v>
      </c>
      <c r="G47" s="391">
        <v>46143</v>
      </c>
      <c r="H47" s="422">
        <f t="shared" si="2"/>
        <v>1</v>
      </c>
      <c r="I47" s="392">
        <v>50</v>
      </c>
      <c r="J47" s="184"/>
      <c r="K47" s="184"/>
      <c r="L47" s="107">
        <f t="shared" si="3"/>
        <v>50</v>
      </c>
      <c r="M47" s="108"/>
      <c r="N47" s="819"/>
      <c r="O47" s="397"/>
      <c r="P47" s="394" t="s">
        <v>605</v>
      </c>
      <c r="Q47" s="409" t="s">
        <v>606</v>
      </c>
      <c r="S47" s="396"/>
      <c r="T47" s="396"/>
      <c r="W47" s="400">
        <v>46508</v>
      </c>
    </row>
    <row r="48" spans="1:23" ht="15">
      <c r="A48" s="379">
        <v>46165</v>
      </c>
      <c r="B48" s="407"/>
      <c r="C48" s="389">
        <v>64</v>
      </c>
      <c r="D48" s="390" t="str">
        <f>VLOOKUP(C48,'MASTER Name List'!$B$3:$M$300,2,FALSE)</f>
        <v>韦素枝</v>
      </c>
      <c r="E48" s="420">
        <v>46143</v>
      </c>
      <c r="F48" s="420">
        <v>46235</v>
      </c>
      <c r="G48" s="850" t="s">
        <v>904</v>
      </c>
      <c r="H48" s="422">
        <f t="shared" si="2"/>
        <v>4</v>
      </c>
      <c r="I48" s="392">
        <v>50</v>
      </c>
      <c r="J48" s="184"/>
      <c r="K48" s="184"/>
      <c r="L48" s="107">
        <f t="shared" si="3"/>
        <v>200</v>
      </c>
      <c r="M48" s="108"/>
      <c r="N48" s="819"/>
      <c r="O48" s="397"/>
      <c r="P48" s="394" t="s">
        <v>125</v>
      </c>
      <c r="Q48" s="862" t="s">
        <v>672</v>
      </c>
      <c r="S48" s="396"/>
      <c r="T48" s="396"/>
      <c r="W48" s="400">
        <v>46539</v>
      </c>
    </row>
    <row r="49" spans="1:23" ht="15">
      <c r="A49" s="379">
        <v>46167</v>
      </c>
      <c r="B49" s="407"/>
      <c r="C49" s="389">
        <v>80</v>
      </c>
      <c r="D49" s="390" t="str">
        <f>VLOOKUP(C49,'MASTER Name List'!$B$3:$M$300,2,FALSE)</f>
        <v>黄淑芬</v>
      </c>
      <c r="E49" s="420">
        <v>46174</v>
      </c>
      <c r="F49" s="420">
        <v>46174</v>
      </c>
      <c r="G49" s="391">
        <v>46174</v>
      </c>
      <c r="H49" s="422">
        <f t="shared" si="2"/>
        <v>1</v>
      </c>
      <c r="I49" s="392">
        <v>50</v>
      </c>
      <c r="J49" s="184"/>
      <c r="K49" s="184"/>
      <c r="L49" s="107">
        <f t="shared" si="3"/>
        <v>50</v>
      </c>
      <c r="M49" s="108"/>
      <c r="N49" s="819"/>
      <c r="O49" s="397"/>
      <c r="P49" s="394" t="s">
        <v>125</v>
      </c>
      <c r="Q49" s="409" t="s">
        <v>179</v>
      </c>
      <c r="S49" s="396"/>
      <c r="T49" s="396"/>
      <c r="W49" s="400">
        <v>46569</v>
      </c>
    </row>
    <row r="50" spans="1:23" ht="15">
      <c r="A50" s="379">
        <v>46167</v>
      </c>
      <c r="B50" s="407"/>
      <c r="C50" s="389">
        <v>224</v>
      </c>
      <c r="D50" s="390" t="str">
        <f>VLOOKUP(C50,'MASTER Name List'!$B$3:$M$300,2,FALSE)</f>
        <v xml:space="preserve">黄文勝 </v>
      </c>
      <c r="E50" s="420">
        <v>46174</v>
      </c>
      <c r="F50" s="420">
        <v>46174</v>
      </c>
      <c r="G50" s="391">
        <v>46174</v>
      </c>
      <c r="H50" s="422">
        <f t="shared" si="2"/>
        <v>1</v>
      </c>
      <c r="I50" s="392">
        <v>50</v>
      </c>
      <c r="J50" s="184"/>
      <c r="K50" s="184"/>
      <c r="L50" s="107">
        <f t="shared" si="3"/>
        <v>50</v>
      </c>
      <c r="M50" s="108"/>
      <c r="N50" s="819"/>
      <c r="O50" s="397"/>
      <c r="P50" s="394" t="s">
        <v>125</v>
      </c>
      <c r="Q50" s="366" t="s">
        <v>179</v>
      </c>
      <c r="W50" s="400">
        <v>46600</v>
      </c>
    </row>
    <row r="51" spans="1:23" ht="15">
      <c r="A51" s="379">
        <v>46172</v>
      </c>
      <c r="B51" s="407"/>
      <c r="C51" s="389">
        <v>162</v>
      </c>
      <c r="D51" s="390" t="str">
        <f>VLOOKUP(C51,'MASTER Name List'!$B$3:$M$300,2,FALSE)</f>
        <v>方惠贤</v>
      </c>
      <c r="E51" s="420">
        <v>46204</v>
      </c>
      <c r="F51" s="420">
        <v>46235</v>
      </c>
      <c r="G51" s="857" t="s">
        <v>848</v>
      </c>
      <c r="H51" s="422">
        <f t="shared" si="2"/>
        <v>2</v>
      </c>
      <c r="I51" s="392">
        <v>50</v>
      </c>
      <c r="J51" s="184"/>
      <c r="K51" s="184"/>
      <c r="L51" s="107">
        <f t="shared" si="3"/>
        <v>100</v>
      </c>
      <c r="M51" s="108"/>
      <c r="N51" s="819"/>
      <c r="O51" s="397"/>
      <c r="P51" s="394" t="s">
        <v>125</v>
      </c>
      <c r="Q51" s="366" t="s">
        <v>126</v>
      </c>
      <c r="W51" s="400">
        <v>46631</v>
      </c>
    </row>
    <row r="52" spans="1:23" ht="15">
      <c r="A52" s="379">
        <v>46172</v>
      </c>
      <c r="B52" s="407"/>
      <c r="C52" s="389">
        <v>173</v>
      </c>
      <c r="D52" s="390" t="str">
        <f>VLOOKUP(C52,'MASTER Name List'!$B$3:$M$300,2,FALSE)</f>
        <v>张杍䌻</v>
      </c>
      <c r="E52" s="420">
        <v>46113</v>
      </c>
      <c r="F52" s="420">
        <v>46204</v>
      </c>
      <c r="G52" s="858" t="s">
        <v>1789</v>
      </c>
      <c r="H52" s="422">
        <f t="shared" si="2"/>
        <v>4</v>
      </c>
      <c r="I52" s="392">
        <v>50</v>
      </c>
      <c r="J52" s="184"/>
      <c r="K52" s="184"/>
      <c r="L52" s="107">
        <f t="shared" si="3"/>
        <v>200</v>
      </c>
      <c r="M52" s="108"/>
      <c r="N52" s="819"/>
      <c r="O52" s="397"/>
      <c r="P52" s="394" t="s">
        <v>125</v>
      </c>
      <c r="Q52" s="366" t="s">
        <v>1803</v>
      </c>
      <c r="W52" s="400">
        <v>46661</v>
      </c>
    </row>
    <row r="53" spans="1:23" ht="15">
      <c r="A53" s="379"/>
      <c r="B53" s="407"/>
      <c r="C53" s="389"/>
      <c r="D53" s="390" t="e">
        <f>VLOOKUP(C53,'MASTER Name List'!$B$3:$M$300,2,FALSE)</f>
        <v>#N/A</v>
      </c>
      <c r="E53" s="420"/>
      <c r="F53" s="420"/>
      <c r="G53" s="391"/>
      <c r="H53" s="422">
        <f t="shared" ref="H53:H54" si="4">DATEDIF(E53,F53,"M")+1</f>
        <v>1</v>
      </c>
      <c r="I53" s="392">
        <v>50</v>
      </c>
      <c r="J53" s="184"/>
      <c r="K53" s="184"/>
      <c r="L53" s="107" t="str">
        <f t="shared" ref="L53:L55" si="5">IF($C53="","-",$H53*$I53)</f>
        <v>-</v>
      </c>
      <c r="M53" s="108"/>
      <c r="N53" s="819"/>
      <c r="O53" s="397"/>
      <c r="P53" s="394"/>
      <c r="W53" s="400">
        <v>46692</v>
      </c>
    </row>
    <row r="54" spans="1:23" s="363" customFormat="1" ht="15">
      <c r="A54" s="379"/>
      <c r="B54" s="407"/>
      <c r="C54" s="389"/>
      <c r="D54" s="390" t="e">
        <f>VLOOKUP(C54,'MASTER Name List'!$B$3:$M$300,2,FALSE)</f>
        <v>#N/A</v>
      </c>
      <c r="E54" s="420"/>
      <c r="F54" s="420"/>
      <c r="G54" s="391"/>
      <c r="H54" s="422">
        <f t="shared" si="4"/>
        <v>1</v>
      </c>
      <c r="I54" s="392">
        <v>50</v>
      </c>
      <c r="J54" s="184"/>
      <c r="K54" s="184"/>
      <c r="L54" s="107" t="str">
        <f t="shared" si="5"/>
        <v>-</v>
      </c>
      <c r="M54" s="108"/>
      <c r="N54" s="819"/>
      <c r="O54" s="397"/>
      <c r="P54" s="394"/>
      <c r="Q54" s="366"/>
      <c r="W54" s="400">
        <v>46722</v>
      </c>
    </row>
    <row r="55" spans="1:23" ht="15">
      <c r="A55" s="379"/>
      <c r="B55" s="389"/>
      <c r="C55" s="389"/>
      <c r="D55" s="390"/>
      <c r="E55" s="420"/>
      <c r="F55" s="420"/>
      <c r="G55" s="402"/>
      <c r="H55" s="403"/>
      <c r="I55" s="404"/>
      <c r="J55" s="184"/>
      <c r="K55" s="184"/>
      <c r="L55" s="107" t="str">
        <f t="shared" si="5"/>
        <v>-</v>
      </c>
      <c r="M55" s="108"/>
      <c r="N55" s="819"/>
      <c r="O55" s="397"/>
      <c r="P55" s="410"/>
      <c r="W55" s="400">
        <v>46753</v>
      </c>
    </row>
    <row r="56" spans="1:23" ht="15">
      <c r="A56" s="379"/>
      <c r="B56" s="411"/>
      <c r="C56" s="412"/>
      <c r="D56" s="413"/>
      <c r="E56" s="421"/>
      <c r="F56" s="421"/>
      <c r="G56" s="414"/>
      <c r="H56" s="415"/>
      <c r="I56" s="416"/>
      <c r="J56" s="124"/>
      <c r="K56" s="124"/>
      <c r="L56" s="124"/>
      <c r="M56" s="125"/>
      <c r="N56" s="417"/>
      <c r="O56" s="417"/>
      <c r="P56" s="417"/>
      <c r="W56" s="400">
        <v>46784</v>
      </c>
    </row>
    <row r="57" spans="1:23" ht="15">
      <c r="B57" s="418"/>
      <c r="C57" s="418"/>
      <c r="J57" s="128"/>
      <c r="K57" s="128"/>
      <c r="L57" s="128"/>
      <c r="M57" s="129"/>
      <c r="W57" s="400">
        <v>46813</v>
      </c>
    </row>
    <row r="58" spans="1:23" ht="15.6" thickBot="1">
      <c r="B58" s="418"/>
      <c r="C58" s="418"/>
      <c r="J58" s="130">
        <f>SUM(J8:J57)</f>
        <v>3100</v>
      </c>
      <c r="K58" s="130">
        <f>SUM(K8:K57)</f>
        <v>0</v>
      </c>
      <c r="L58" s="130">
        <f>SUM(L8:L57)</f>
        <v>2600</v>
      </c>
      <c r="M58" s="131"/>
      <c r="N58" s="132">
        <f>SUM(N8:N57)</f>
        <v>3100</v>
      </c>
      <c r="W58" s="400">
        <v>46844</v>
      </c>
    </row>
    <row r="59" spans="1:23" ht="15.6" thickTop="1">
      <c r="J59" s="133"/>
      <c r="K59" s="133"/>
      <c r="L59" s="133"/>
      <c r="M59" s="129"/>
      <c r="W59" s="400">
        <v>46874</v>
      </c>
    </row>
    <row r="60" spans="1:23" ht="15">
      <c r="J60" s="419"/>
      <c r="K60" s="419"/>
      <c r="L60" s="419"/>
      <c r="W60" s="400">
        <v>46905</v>
      </c>
    </row>
    <row r="61" spans="1:23" ht="15">
      <c r="W61" s="400">
        <v>46935</v>
      </c>
    </row>
    <row r="62" spans="1:23" ht="15">
      <c r="W62" s="400">
        <v>46966</v>
      </c>
    </row>
    <row r="63" spans="1:23" ht="15">
      <c r="W63" s="400">
        <v>46997</v>
      </c>
    </row>
    <row r="64" spans="1:23" ht="15">
      <c r="W64" s="400">
        <v>47027</v>
      </c>
    </row>
    <row r="65" spans="23:23" ht="15">
      <c r="W65" s="400">
        <v>47058</v>
      </c>
    </row>
    <row r="66" spans="23:23" ht="15">
      <c r="W66" s="400">
        <v>47088</v>
      </c>
    </row>
  </sheetData>
  <sortState xmlns:xlrd2="http://schemas.microsoft.com/office/spreadsheetml/2017/richdata2" ref="A37:Q52">
    <sortCondition ref="A37:A52"/>
  </sortState>
  <mergeCells count="3">
    <mergeCell ref="E5:G5"/>
    <mergeCell ref="E6:G6"/>
    <mergeCell ref="J6:L6"/>
  </mergeCells>
  <phoneticPr fontId="35" type="noConversion"/>
  <dataValidations count="1">
    <dataValidation type="list" allowBlank="1" showInputMessage="1" showErrorMessage="1" sqref="E9:F34 E37:F54" xr:uid="{746818FC-77F4-464F-B45C-223AD7B20ED7}">
      <formula1>$W$10:$W$95</formula1>
    </dataValidation>
  </dataValidation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26BF-C5F2-42CA-A5B8-DDAE2FEC0D2C}">
  <sheetPr>
    <tabColor rgb="FF00B0F0"/>
  </sheetPr>
  <dimension ref="A4:W64"/>
  <sheetViews>
    <sheetView zoomScale="90" zoomScaleNormal="90" workbookViewId="0">
      <pane ySplit="8" topLeftCell="A24" activePane="bottomLeft" state="frozen"/>
      <selection pane="bottomLeft" activeCell="D24" sqref="D24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9.33203125" style="365" customWidth="1"/>
    <col min="10" max="10" width="11.6640625" style="363" customWidth="1"/>
    <col min="11" max="11" width="8.5546875" style="363" customWidth="1"/>
    <col min="12" max="12" width="14.44140625" style="363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974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>
        <v>46176</v>
      </c>
      <c r="B9" s="177" t="s">
        <v>1777</v>
      </c>
      <c r="C9" s="389">
        <v>73</v>
      </c>
      <c r="D9" s="390" t="str">
        <f>VLOOKUP(C9,'MASTER Name List'!$B$3:$M$300,2,FALSE)</f>
        <v>李宝明</v>
      </c>
      <c r="E9" s="420">
        <v>46143</v>
      </c>
      <c r="F9" s="420">
        <v>46235</v>
      </c>
      <c r="G9" s="858" t="s">
        <v>904</v>
      </c>
      <c r="H9" s="422">
        <f t="shared" ref="H9:H23" si="0">DATEDIF(E9,F9,"M")+1</f>
        <v>4</v>
      </c>
      <c r="I9" s="392">
        <v>50</v>
      </c>
      <c r="J9" s="107">
        <f>IF($C9="","-",$H9*$I9)</f>
        <v>200</v>
      </c>
      <c r="K9" s="184"/>
      <c r="L9" s="184"/>
      <c r="M9" s="108">
        <v>1</v>
      </c>
      <c r="N9" s="819">
        <f>SUMIF(M:M,"1",J:J)</f>
        <v>200</v>
      </c>
      <c r="O9" s="393" t="s">
        <v>1795</v>
      </c>
      <c r="P9" s="641" t="s">
        <v>973</v>
      </c>
      <c r="Q9" s="395"/>
      <c r="S9" s="396"/>
      <c r="T9" s="396"/>
    </row>
    <row r="10" spans="1:23" ht="15">
      <c r="A10" s="379">
        <v>46183</v>
      </c>
      <c r="B10" s="177" t="s">
        <v>1778</v>
      </c>
      <c r="C10" s="389">
        <v>177</v>
      </c>
      <c r="D10" s="390" t="str">
        <f>VLOOKUP(C10,'MASTER Name List'!$B$3:$M$300,2,FALSE)</f>
        <v>陈桂香</v>
      </c>
      <c r="E10" s="420">
        <v>46204</v>
      </c>
      <c r="F10" s="420">
        <v>46357</v>
      </c>
      <c r="G10" s="859" t="s">
        <v>894</v>
      </c>
      <c r="H10" s="422">
        <f t="shared" si="0"/>
        <v>6</v>
      </c>
      <c r="I10" s="392">
        <v>50</v>
      </c>
      <c r="J10" s="107">
        <f t="shared" ref="J10:J23" si="1">IF($C10="","-",$H10*$I10)</f>
        <v>300</v>
      </c>
      <c r="K10" s="184"/>
      <c r="L10" s="184"/>
      <c r="M10" s="680">
        <v>2</v>
      </c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>
        <v>46184</v>
      </c>
      <c r="B11" s="177" t="s">
        <v>1779</v>
      </c>
      <c r="C11" s="389">
        <v>191</v>
      </c>
      <c r="D11" s="390" t="str">
        <f>VLOOKUP(C11,'MASTER Name List'!$B$3:$M$300,2,FALSE)</f>
        <v>锺鏸堬</v>
      </c>
      <c r="E11" s="420">
        <v>46204</v>
      </c>
      <c r="F11" s="420">
        <v>46357</v>
      </c>
      <c r="G11" s="859" t="s">
        <v>894</v>
      </c>
      <c r="H11" s="422">
        <f t="shared" si="0"/>
        <v>6</v>
      </c>
      <c r="I11" s="392">
        <v>50</v>
      </c>
      <c r="J11" s="107">
        <f t="shared" si="1"/>
        <v>300</v>
      </c>
      <c r="K11" s="184"/>
      <c r="L11" s="184"/>
      <c r="M11" s="108">
        <v>2</v>
      </c>
      <c r="O11" s="397"/>
      <c r="Q11" s="399"/>
      <c r="S11" s="396"/>
      <c r="T11" s="396"/>
      <c r="W11" s="240">
        <v>45566</v>
      </c>
    </row>
    <row r="12" spans="1:23" ht="15">
      <c r="A12" s="379">
        <v>46185</v>
      </c>
      <c r="B12" s="177" t="s">
        <v>1780</v>
      </c>
      <c r="C12" s="389">
        <v>208</v>
      </c>
      <c r="D12" s="390" t="str">
        <f>VLOOKUP(C12,'MASTER Name List'!$B$3:$M$300,2,FALSE)</f>
        <v>萧志倫</v>
      </c>
      <c r="E12" s="420">
        <v>46174</v>
      </c>
      <c r="F12" s="420">
        <v>46174</v>
      </c>
      <c r="G12" s="391">
        <v>46174</v>
      </c>
      <c r="H12" s="422">
        <f t="shared" si="0"/>
        <v>1</v>
      </c>
      <c r="I12" s="392">
        <v>50</v>
      </c>
      <c r="J12" s="107">
        <f t="shared" si="1"/>
        <v>50</v>
      </c>
      <c r="K12" s="184"/>
      <c r="L12" s="184"/>
      <c r="M12" s="108">
        <v>2</v>
      </c>
      <c r="N12" s="819"/>
      <c r="O12" s="397"/>
      <c r="Q12" s="399"/>
      <c r="S12" s="396"/>
      <c r="T12" s="396"/>
      <c r="W12" s="240">
        <v>45597</v>
      </c>
    </row>
    <row r="13" spans="1:23" ht="15">
      <c r="A13" s="379">
        <v>46186</v>
      </c>
      <c r="B13" s="177" t="s">
        <v>1781</v>
      </c>
      <c r="C13" s="389">
        <v>235</v>
      </c>
      <c r="D13" s="390" t="str">
        <f>VLOOKUP(C13,'MASTER Name List'!$B$3:$M$300,2,FALSE)</f>
        <v>何玉凤</v>
      </c>
      <c r="E13" s="420">
        <v>46143</v>
      </c>
      <c r="F13" s="420">
        <v>46174</v>
      </c>
      <c r="G13" s="859" t="s">
        <v>916</v>
      </c>
      <c r="H13" s="422">
        <f t="shared" si="0"/>
        <v>2</v>
      </c>
      <c r="I13" s="392">
        <v>50</v>
      </c>
      <c r="J13" s="107">
        <f t="shared" si="1"/>
        <v>100</v>
      </c>
      <c r="K13" s="184"/>
      <c r="L13" s="184"/>
      <c r="M13" s="108">
        <v>2</v>
      </c>
      <c r="N13" s="819"/>
      <c r="O13" s="397"/>
      <c r="Q13" s="399"/>
      <c r="S13" s="396"/>
      <c r="T13" s="396"/>
      <c r="W13" s="240">
        <v>45627</v>
      </c>
    </row>
    <row r="14" spans="1:23" ht="15">
      <c r="A14" s="379">
        <v>46193</v>
      </c>
      <c r="B14" s="177" t="s">
        <v>1782</v>
      </c>
      <c r="C14" s="389">
        <v>232</v>
      </c>
      <c r="D14" s="390" t="str">
        <f>VLOOKUP(C14,'MASTER Name List'!$B$3:$M$300,2,FALSE)</f>
        <v>刘铧亿</v>
      </c>
      <c r="E14" s="420">
        <v>46174</v>
      </c>
      <c r="F14" s="420">
        <v>46174</v>
      </c>
      <c r="G14" s="391">
        <v>46174</v>
      </c>
      <c r="H14" s="422">
        <f t="shared" si="0"/>
        <v>1</v>
      </c>
      <c r="I14" s="392">
        <v>50</v>
      </c>
      <c r="J14" s="107">
        <f t="shared" si="1"/>
        <v>50</v>
      </c>
      <c r="K14" s="184"/>
      <c r="L14" s="184"/>
      <c r="M14" s="108">
        <v>2</v>
      </c>
      <c r="N14" s="819"/>
      <c r="O14" s="397"/>
      <c r="Q14" s="399"/>
      <c r="S14" s="396"/>
      <c r="T14" s="396"/>
      <c r="W14" s="400">
        <v>45658</v>
      </c>
    </row>
    <row r="15" spans="1:23" ht="15">
      <c r="A15" s="379">
        <v>46188</v>
      </c>
      <c r="B15" s="177" t="s">
        <v>1783</v>
      </c>
      <c r="C15" s="389">
        <v>74</v>
      </c>
      <c r="D15" s="390" t="str">
        <f>VLOOKUP(C15,'MASTER Name List'!$B$3:$M$300,2,FALSE)</f>
        <v>黄得财</v>
      </c>
      <c r="E15" s="420">
        <v>46174</v>
      </c>
      <c r="F15" s="420">
        <v>46204</v>
      </c>
      <c r="G15" s="859" t="s">
        <v>1800</v>
      </c>
      <c r="H15" s="422">
        <f t="shared" si="0"/>
        <v>2</v>
      </c>
      <c r="I15" s="392">
        <v>50</v>
      </c>
      <c r="J15" s="107">
        <f t="shared" si="1"/>
        <v>100</v>
      </c>
      <c r="K15" s="184"/>
      <c r="L15" s="184"/>
      <c r="M15" s="108">
        <v>2</v>
      </c>
      <c r="N15" s="819"/>
      <c r="O15" s="397"/>
      <c r="Q15" s="399"/>
      <c r="S15" s="396"/>
      <c r="T15" s="396"/>
      <c r="W15" s="400">
        <v>45689</v>
      </c>
    </row>
    <row r="16" spans="1:23" ht="15">
      <c r="A16" s="379">
        <v>46188</v>
      </c>
      <c r="B16" s="177" t="s">
        <v>1784</v>
      </c>
      <c r="C16" s="389">
        <v>106</v>
      </c>
      <c r="D16" s="390" t="str">
        <f>VLOOKUP(C16,'MASTER Name List'!$B$3:$M$300,2,FALSE)</f>
        <v>文渼媄</v>
      </c>
      <c r="E16" s="420">
        <v>46204</v>
      </c>
      <c r="F16" s="420">
        <v>46357</v>
      </c>
      <c r="G16" s="859" t="s">
        <v>894</v>
      </c>
      <c r="H16" s="422">
        <f t="shared" si="0"/>
        <v>6</v>
      </c>
      <c r="I16" s="392">
        <v>50</v>
      </c>
      <c r="J16" s="107">
        <f t="shared" si="1"/>
        <v>300</v>
      </c>
      <c r="K16" s="184"/>
      <c r="L16" s="184"/>
      <c r="M16" s="108">
        <v>2</v>
      </c>
      <c r="N16" s="819"/>
      <c r="O16" s="397"/>
      <c r="Q16" s="399"/>
      <c r="S16" s="396"/>
      <c r="T16" s="396"/>
      <c r="W16" s="400">
        <v>45717</v>
      </c>
    </row>
    <row r="17" spans="1:23" ht="15">
      <c r="A17" s="379">
        <v>46188</v>
      </c>
      <c r="B17" s="177" t="s">
        <v>1785</v>
      </c>
      <c r="C17" s="389">
        <v>229</v>
      </c>
      <c r="D17" s="390" t="str">
        <f>VLOOKUP(C17,'MASTER Name List'!$B$3:$M$300,2,FALSE)</f>
        <v>陈丽珍</v>
      </c>
      <c r="E17" s="420">
        <v>46204</v>
      </c>
      <c r="F17" s="420">
        <v>46357</v>
      </c>
      <c r="G17" s="859" t="s">
        <v>894</v>
      </c>
      <c r="H17" s="422">
        <f t="shared" si="0"/>
        <v>6</v>
      </c>
      <c r="I17" s="392">
        <v>50</v>
      </c>
      <c r="J17" s="107">
        <f t="shared" si="1"/>
        <v>300</v>
      </c>
      <c r="K17" s="184"/>
      <c r="L17" s="184"/>
      <c r="M17" s="108">
        <v>2</v>
      </c>
      <c r="N17" s="819"/>
      <c r="O17" s="397"/>
      <c r="Q17" s="399"/>
      <c r="S17" s="396"/>
      <c r="T17" s="396"/>
      <c r="W17" s="400">
        <v>45748</v>
      </c>
    </row>
    <row r="18" spans="1:23" ht="15">
      <c r="A18" s="379">
        <v>46190</v>
      </c>
      <c r="B18" s="177" t="s">
        <v>1786</v>
      </c>
      <c r="C18" s="389">
        <v>214</v>
      </c>
      <c r="D18" s="390" t="str">
        <f>VLOOKUP(C18,'MASTER Name List'!$B$3:$M$300,2,FALSE)</f>
        <v>苏淑禛</v>
      </c>
      <c r="E18" s="420">
        <v>46204</v>
      </c>
      <c r="F18" s="420">
        <v>46266</v>
      </c>
      <c r="G18" s="860" t="s">
        <v>1801</v>
      </c>
      <c r="H18" s="422">
        <f t="shared" si="0"/>
        <v>3</v>
      </c>
      <c r="I18" s="392">
        <v>50</v>
      </c>
      <c r="J18" s="107">
        <f t="shared" si="1"/>
        <v>150</v>
      </c>
      <c r="K18" s="184"/>
      <c r="L18" s="184"/>
      <c r="M18" s="108">
        <v>2</v>
      </c>
      <c r="N18" s="819">
        <f>SUMIF(M:M,"2",J:J)</f>
        <v>1650</v>
      </c>
      <c r="O18" s="397" t="s">
        <v>1805</v>
      </c>
      <c r="P18" s="398"/>
      <c r="Q18" s="399"/>
      <c r="S18" s="396"/>
      <c r="T18" s="396"/>
      <c r="W18" s="400">
        <v>45778</v>
      </c>
    </row>
    <row r="19" spans="1:23" ht="15">
      <c r="A19" s="379">
        <v>46195</v>
      </c>
      <c r="B19" s="177" t="s">
        <v>1787</v>
      </c>
      <c r="C19" s="389">
        <v>181</v>
      </c>
      <c r="D19" s="390" t="str">
        <f>VLOOKUP(C19,'MASTER Name List'!$B$3:$M$300,2,FALSE)</f>
        <v>陈金清</v>
      </c>
      <c r="E19" s="420">
        <v>46204</v>
      </c>
      <c r="F19" s="420">
        <v>46235</v>
      </c>
      <c r="G19" s="869" t="s">
        <v>848</v>
      </c>
      <c r="H19" s="422">
        <f t="shared" si="0"/>
        <v>2</v>
      </c>
      <c r="I19" s="392">
        <v>50</v>
      </c>
      <c r="J19" s="107">
        <f t="shared" si="1"/>
        <v>100</v>
      </c>
      <c r="K19" s="184"/>
      <c r="L19" s="184"/>
      <c r="M19" s="108">
        <v>3</v>
      </c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>
        <v>46200</v>
      </c>
      <c r="B20" s="177" t="s">
        <v>1796</v>
      </c>
      <c r="C20" s="389">
        <v>235</v>
      </c>
      <c r="D20" s="390" t="str">
        <f>VLOOKUP(C20,'MASTER Name List'!$B$3:$M$300,2,FALSE)</f>
        <v>何玉凤</v>
      </c>
      <c r="E20" s="420">
        <v>46204</v>
      </c>
      <c r="F20" s="420">
        <v>46235</v>
      </c>
      <c r="G20" s="869" t="s">
        <v>848</v>
      </c>
      <c r="H20" s="422">
        <f t="shared" si="0"/>
        <v>2</v>
      </c>
      <c r="I20" s="392">
        <v>50</v>
      </c>
      <c r="J20" s="107">
        <f t="shared" si="1"/>
        <v>100</v>
      </c>
      <c r="K20" s="184"/>
      <c r="L20" s="184"/>
      <c r="M20" s="108">
        <v>3</v>
      </c>
      <c r="N20" s="819">
        <f>SUMIF(M:M,"3",J:J)</f>
        <v>200</v>
      </c>
      <c r="O20" s="893" t="s">
        <v>1818</v>
      </c>
      <c r="P20" s="398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List'!$B$3:$M$300,2,FALSE)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List'!$B$3:$M$300,2,FALSE)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List'!$B$3:$M$300,2,FALSE)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871">
        <v>46174</v>
      </c>
      <c r="B26" s="405"/>
      <c r="C26" s="872">
        <v>116</v>
      </c>
      <c r="D26" s="873" t="str">
        <f>VLOOKUP(C26,'MASTER Name List'!$B$3:$M$300,2,FALSE)</f>
        <v>李薇薇</v>
      </c>
      <c r="E26" s="874">
        <v>46174</v>
      </c>
      <c r="F26" s="874">
        <v>46174</v>
      </c>
      <c r="G26" s="875">
        <v>46174</v>
      </c>
      <c r="H26" s="422">
        <f t="shared" ref="H26:H37" si="2">DATEDIF(E26,F26,"M")+1</f>
        <v>1</v>
      </c>
      <c r="I26" s="392">
        <v>50</v>
      </c>
      <c r="J26" s="184"/>
      <c r="K26" s="184"/>
      <c r="L26" s="877">
        <f t="shared" ref="L26:L37" si="3">IF($C26="","-",$H26*$I26)</f>
        <v>50</v>
      </c>
      <c r="M26" s="108"/>
      <c r="N26" s="819"/>
      <c r="O26" s="397"/>
      <c r="P26" s="394" t="s">
        <v>125</v>
      </c>
      <c r="Q26" s="399" t="s">
        <v>133</v>
      </c>
      <c r="S26" s="396"/>
      <c r="T26" s="396"/>
      <c r="W26" s="400">
        <v>46023</v>
      </c>
    </row>
    <row r="27" spans="1:23" ht="15">
      <c r="A27" s="871">
        <v>46175</v>
      </c>
      <c r="B27" s="405"/>
      <c r="C27" s="872">
        <v>117</v>
      </c>
      <c r="D27" s="873" t="str">
        <f>VLOOKUP(C27,'MASTER Name List'!$B$3:$M$300,2,FALSE)</f>
        <v>张志文</v>
      </c>
      <c r="E27" s="874">
        <v>46174</v>
      </c>
      <c r="F27" s="874">
        <v>46174</v>
      </c>
      <c r="G27" s="875">
        <v>46174</v>
      </c>
      <c r="H27" s="422">
        <f t="shared" si="2"/>
        <v>1</v>
      </c>
      <c r="I27" s="392">
        <v>50</v>
      </c>
      <c r="J27" s="184"/>
      <c r="K27" s="184"/>
      <c r="L27" s="877">
        <f t="shared" si="3"/>
        <v>50</v>
      </c>
      <c r="M27" s="108"/>
      <c r="N27" s="819"/>
      <c r="O27" s="397"/>
      <c r="P27" s="394" t="s">
        <v>125</v>
      </c>
      <c r="Q27" s="399" t="s">
        <v>915</v>
      </c>
      <c r="S27" s="396"/>
      <c r="T27" s="396"/>
      <c r="W27" s="400">
        <v>46054</v>
      </c>
    </row>
    <row r="28" spans="1:23" ht="15">
      <c r="A28" s="871">
        <v>46178</v>
      </c>
      <c r="B28" s="405"/>
      <c r="C28" s="872">
        <v>102</v>
      </c>
      <c r="D28" s="873" t="str">
        <f>VLOOKUP(C28,'MASTER Name List'!$B$3:$M$300,2,FALSE)</f>
        <v>戴川凤</v>
      </c>
      <c r="E28" s="874">
        <v>46143</v>
      </c>
      <c r="F28" s="874">
        <v>46174</v>
      </c>
      <c r="G28" s="876" t="s">
        <v>916</v>
      </c>
      <c r="H28" s="422">
        <f t="shared" si="2"/>
        <v>2</v>
      </c>
      <c r="I28" s="392">
        <v>50</v>
      </c>
      <c r="J28" s="184"/>
      <c r="K28" s="184"/>
      <c r="L28" s="877">
        <f t="shared" si="3"/>
        <v>100</v>
      </c>
      <c r="M28" s="108"/>
      <c r="N28" s="819"/>
      <c r="O28" s="397"/>
      <c r="P28" s="363" t="s">
        <v>325</v>
      </c>
      <c r="Q28" s="399" t="s">
        <v>760</v>
      </c>
      <c r="S28" s="396"/>
      <c r="T28" s="396"/>
      <c r="W28" s="400">
        <v>46082</v>
      </c>
    </row>
    <row r="29" spans="1:23" ht="15">
      <c r="A29" s="878">
        <v>46179</v>
      </c>
      <c r="B29" s="879"/>
      <c r="C29" s="880">
        <v>40</v>
      </c>
      <c r="D29" s="881" t="str">
        <f>VLOOKUP(C29,'MASTER Name List'!$B$3:$M$300,2,FALSE)</f>
        <v>何梅歆</v>
      </c>
      <c r="E29" s="884">
        <v>46327</v>
      </c>
      <c r="F29" s="884">
        <v>46357</v>
      </c>
      <c r="G29" s="885" t="s">
        <v>1806</v>
      </c>
      <c r="H29" s="422">
        <f t="shared" si="2"/>
        <v>2</v>
      </c>
      <c r="I29" s="392">
        <v>50</v>
      </c>
      <c r="J29" s="184"/>
      <c r="K29" s="184"/>
      <c r="L29" s="877">
        <f t="shared" si="3"/>
        <v>100</v>
      </c>
      <c r="M29" s="108"/>
      <c r="N29" s="819"/>
      <c r="O29" s="397"/>
      <c r="P29" s="394" t="s">
        <v>125</v>
      </c>
      <c r="Q29" s="870" t="s">
        <v>1808</v>
      </c>
      <c r="S29" s="396"/>
      <c r="T29" s="396"/>
      <c r="W29" s="400">
        <v>46113</v>
      </c>
    </row>
    <row r="30" spans="1:23" ht="15">
      <c r="A30" s="878">
        <v>46181</v>
      </c>
      <c r="B30" s="879"/>
      <c r="C30" s="880">
        <v>226</v>
      </c>
      <c r="D30" s="881" t="s">
        <v>1822</v>
      </c>
      <c r="E30" s="882">
        <v>46082</v>
      </c>
      <c r="F30" s="882">
        <v>46357</v>
      </c>
      <c r="G30" s="883" t="s">
        <v>1807</v>
      </c>
      <c r="H30" s="422">
        <f t="shared" si="2"/>
        <v>10</v>
      </c>
      <c r="I30" s="392">
        <v>50</v>
      </c>
      <c r="J30" s="184"/>
      <c r="K30" s="184"/>
      <c r="L30" s="877">
        <f t="shared" si="3"/>
        <v>500</v>
      </c>
      <c r="M30" s="108"/>
      <c r="N30" s="819"/>
      <c r="O30" s="397"/>
      <c r="P30" s="394" t="s">
        <v>125</v>
      </c>
      <c r="Q30" s="870" t="s">
        <v>1809</v>
      </c>
      <c r="S30" s="396"/>
      <c r="T30" s="396"/>
      <c r="W30" s="400"/>
    </row>
    <row r="31" spans="1:23" ht="15">
      <c r="A31" s="871">
        <v>46182</v>
      </c>
      <c r="B31" s="405"/>
      <c r="C31" s="872">
        <v>123</v>
      </c>
      <c r="D31" s="873" t="str">
        <f>VLOOKUP(C31,'MASTER Name List'!$B$3:$M$300,2,FALSE)</f>
        <v>黄丽娟</v>
      </c>
      <c r="E31" s="884">
        <v>46143</v>
      </c>
      <c r="F31" s="884">
        <v>46174</v>
      </c>
      <c r="G31" s="885" t="s">
        <v>1810</v>
      </c>
      <c r="H31" s="422">
        <f t="shared" si="2"/>
        <v>2</v>
      </c>
      <c r="I31" s="392">
        <v>50</v>
      </c>
      <c r="J31" s="184"/>
      <c r="K31" s="184"/>
      <c r="L31" s="877">
        <f t="shared" si="3"/>
        <v>100</v>
      </c>
      <c r="M31" s="108"/>
      <c r="N31" s="819"/>
      <c r="O31" s="408"/>
      <c r="P31" s="394" t="s">
        <v>125</v>
      </c>
      <c r="Q31" s="870" t="s">
        <v>1811</v>
      </c>
      <c r="S31" s="396"/>
      <c r="T31" s="396"/>
      <c r="W31" s="400">
        <v>46143</v>
      </c>
    </row>
    <row r="32" spans="1:23" ht="15">
      <c r="A32" s="871">
        <v>46187</v>
      </c>
      <c r="B32" s="405"/>
      <c r="C32" s="872">
        <v>104</v>
      </c>
      <c r="D32" s="873" t="str">
        <f>VLOOKUP(C32,'MASTER Name List'!$B$3:$M$300,2,FALSE)</f>
        <v>连美丽</v>
      </c>
      <c r="E32" s="874">
        <v>46143</v>
      </c>
      <c r="F32" s="874">
        <v>46174</v>
      </c>
      <c r="G32" s="886" t="s">
        <v>916</v>
      </c>
      <c r="H32" s="422">
        <f t="shared" si="2"/>
        <v>2</v>
      </c>
      <c r="I32" s="392">
        <v>50</v>
      </c>
      <c r="J32" s="184"/>
      <c r="K32" s="184"/>
      <c r="L32" s="877">
        <f t="shared" si="3"/>
        <v>100</v>
      </c>
      <c r="M32" s="108"/>
      <c r="N32" s="819"/>
      <c r="O32" s="397"/>
      <c r="P32" s="394" t="s">
        <v>125</v>
      </c>
      <c r="Q32" s="399" t="s">
        <v>142</v>
      </c>
      <c r="S32" s="396"/>
      <c r="T32" s="396"/>
      <c r="W32" s="400">
        <v>46174</v>
      </c>
    </row>
    <row r="33" spans="1:23" ht="15">
      <c r="A33" s="871">
        <v>46194</v>
      </c>
      <c r="B33" s="405"/>
      <c r="C33" s="872">
        <v>137</v>
      </c>
      <c r="D33" s="873" t="str">
        <f>VLOOKUP(C33,'MASTER Name List'!$B$3:$M$300,2,FALSE)</f>
        <v>赖美珍</v>
      </c>
      <c r="E33" s="874">
        <v>46174</v>
      </c>
      <c r="F33" s="874">
        <v>46174</v>
      </c>
      <c r="G33" s="875">
        <v>46174</v>
      </c>
      <c r="H33" s="422">
        <f t="shared" si="2"/>
        <v>1</v>
      </c>
      <c r="I33" s="392">
        <v>50</v>
      </c>
      <c r="J33" s="184"/>
      <c r="K33" s="184"/>
      <c r="L33" s="877">
        <f t="shared" si="3"/>
        <v>50</v>
      </c>
      <c r="M33" s="108"/>
      <c r="N33" s="819"/>
      <c r="O33" s="397"/>
      <c r="P33" s="394" t="s">
        <v>1819</v>
      </c>
      <c r="Q33" s="870" t="s">
        <v>1812</v>
      </c>
      <c r="S33" s="396"/>
      <c r="T33" s="396"/>
      <c r="W33" s="400"/>
    </row>
    <row r="34" spans="1:23" ht="15">
      <c r="A34" s="871">
        <v>46202</v>
      </c>
      <c r="B34" s="405"/>
      <c r="C34" s="872">
        <v>238</v>
      </c>
      <c r="D34" s="873" t="str">
        <f>VLOOKUP(C34,'MASTER Name List'!$B$3:$M$300,2,FALSE)</f>
        <v>陈汶娟</v>
      </c>
      <c r="E34" s="874">
        <v>46023</v>
      </c>
      <c r="F34" s="874">
        <v>46357</v>
      </c>
      <c r="G34" s="888" t="s">
        <v>786</v>
      </c>
      <c r="H34" s="422">
        <f t="shared" si="2"/>
        <v>12</v>
      </c>
      <c r="I34" s="392">
        <v>50</v>
      </c>
      <c r="J34" s="184"/>
      <c r="K34" s="184"/>
      <c r="L34" s="877">
        <f t="shared" si="3"/>
        <v>600</v>
      </c>
      <c r="M34" s="108"/>
      <c r="N34" s="819"/>
      <c r="O34" s="397"/>
      <c r="P34" s="394" t="s">
        <v>125</v>
      </c>
      <c r="Q34" s="861" t="s">
        <v>1695</v>
      </c>
      <c r="S34" s="396"/>
      <c r="T34" s="396"/>
      <c r="W34" s="400">
        <v>46204</v>
      </c>
    </row>
    <row r="35" spans="1:23" ht="15">
      <c r="A35" s="871">
        <v>46202</v>
      </c>
      <c r="B35" s="405"/>
      <c r="C35" s="872">
        <v>155</v>
      </c>
      <c r="D35" s="873" t="str">
        <f>VLOOKUP(C35,'MASTER Name List'!$B$3:$M$300,2,FALSE)</f>
        <v>李宝珠</v>
      </c>
      <c r="E35" s="874">
        <v>46204</v>
      </c>
      <c r="F35" s="874">
        <v>46266</v>
      </c>
      <c r="G35" s="887" t="s">
        <v>1813</v>
      </c>
      <c r="H35" s="422">
        <f t="shared" si="2"/>
        <v>3</v>
      </c>
      <c r="I35" s="392">
        <v>50</v>
      </c>
      <c r="J35" s="184"/>
      <c r="K35" s="184"/>
      <c r="L35" s="877">
        <f t="shared" si="3"/>
        <v>150</v>
      </c>
      <c r="M35" s="108"/>
      <c r="N35" s="819"/>
      <c r="O35" s="397"/>
      <c r="P35" s="394" t="s">
        <v>125</v>
      </c>
      <c r="Q35" s="870" t="s">
        <v>1814</v>
      </c>
      <c r="S35" s="396"/>
      <c r="T35" s="396"/>
      <c r="W35" s="400"/>
    </row>
    <row r="36" spans="1:23" ht="15">
      <c r="A36" s="871">
        <v>46203</v>
      </c>
      <c r="B36" s="405"/>
      <c r="C36" s="872">
        <v>236</v>
      </c>
      <c r="D36" s="873" t="str">
        <f>VLOOKUP(C36,'MASTER Name List'!$B$3:$M$300,2,FALSE)</f>
        <v>欧慧菁</v>
      </c>
      <c r="E36" s="884">
        <v>46204</v>
      </c>
      <c r="F36" s="884">
        <v>46357</v>
      </c>
      <c r="G36" s="885" t="s">
        <v>894</v>
      </c>
      <c r="H36" s="422">
        <f t="shared" si="2"/>
        <v>6</v>
      </c>
      <c r="I36" s="392">
        <v>50</v>
      </c>
      <c r="J36" s="184"/>
      <c r="K36" s="184"/>
      <c r="L36" s="877">
        <f t="shared" si="3"/>
        <v>300</v>
      </c>
      <c r="M36" s="108"/>
      <c r="N36" s="819"/>
      <c r="O36" s="397"/>
      <c r="P36" s="363" t="s">
        <v>125</v>
      </c>
      <c r="Q36" s="399" t="s">
        <v>917</v>
      </c>
      <c r="S36" s="396"/>
      <c r="T36" s="396"/>
      <c r="W36" s="400">
        <v>46235</v>
      </c>
    </row>
    <row r="37" spans="1:23" ht="15">
      <c r="A37" s="871">
        <v>46203</v>
      </c>
      <c r="B37" s="405"/>
      <c r="C37" s="872">
        <v>234</v>
      </c>
      <c r="D37" s="873" t="str">
        <f>VLOOKUP(C37,'MASTER Name List'!$B$3:$M$300,2,FALSE)</f>
        <v>文嘉诚</v>
      </c>
      <c r="E37" s="874">
        <v>46174</v>
      </c>
      <c r="F37" s="874">
        <v>46204</v>
      </c>
      <c r="G37" s="886" t="s">
        <v>1800</v>
      </c>
      <c r="H37" s="422">
        <f t="shared" si="2"/>
        <v>2</v>
      </c>
      <c r="I37" s="392">
        <v>50</v>
      </c>
      <c r="J37" s="184"/>
      <c r="K37" s="184"/>
      <c r="L37" s="877">
        <f t="shared" si="3"/>
        <v>100</v>
      </c>
      <c r="M37" s="108"/>
      <c r="N37" s="819"/>
      <c r="O37" s="397"/>
      <c r="P37" s="397" t="s">
        <v>125</v>
      </c>
      <c r="Q37" s="862" t="s">
        <v>920</v>
      </c>
      <c r="S37" s="396"/>
      <c r="T37" s="396"/>
      <c r="W37" s="400">
        <v>46266</v>
      </c>
    </row>
    <row r="38" spans="1:23" ht="15">
      <c r="A38" s="871">
        <v>46203</v>
      </c>
      <c r="B38" s="405"/>
      <c r="C38" s="872">
        <v>80</v>
      </c>
      <c r="D38" s="873" t="str">
        <f>VLOOKUP(C38,'MASTER Name List'!$B$3:$M$300,2,FALSE)</f>
        <v>黄淑芬</v>
      </c>
      <c r="E38" s="874">
        <v>46204</v>
      </c>
      <c r="F38" s="874">
        <v>46204</v>
      </c>
      <c r="G38" s="875">
        <v>46204</v>
      </c>
      <c r="H38" s="422">
        <f t="shared" ref="H38:H46" si="4">DATEDIF(E38,F38,"M")+1</f>
        <v>1</v>
      </c>
      <c r="I38" s="392">
        <v>50</v>
      </c>
      <c r="J38" s="184"/>
      <c r="K38" s="184"/>
      <c r="L38" s="877">
        <f t="shared" ref="L38:L47" si="5">IF($C38="","-",$H38*$I38)</f>
        <v>50</v>
      </c>
      <c r="M38" s="108"/>
      <c r="N38" s="819"/>
      <c r="O38" s="397"/>
      <c r="P38" s="397" t="s">
        <v>125</v>
      </c>
      <c r="Q38" s="889" t="s">
        <v>1815</v>
      </c>
      <c r="S38" s="396"/>
      <c r="T38" s="396"/>
      <c r="W38" s="400">
        <v>46296</v>
      </c>
    </row>
    <row r="39" spans="1:23" ht="15">
      <c r="A39" s="871">
        <v>46203</v>
      </c>
      <c r="B39" s="405"/>
      <c r="C39" s="872">
        <v>224</v>
      </c>
      <c r="D39" s="873" t="str">
        <f>VLOOKUP(C39,'MASTER Name List'!$B$3:$M$300,2,FALSE)</f>
        <v xml:space="preserve">黄文勝 </v>
      </c>
      <c r="E39" s="874">
        <v>46204</v>
      </c>
      <c r="F39" s="874">
        <v>46204</v>
      </c>
      <c r="G39" s="875">
        <v>46204</v>
      </c>
      <c r="H39" s="422">
        <f t="shared" si="4"/>
        <v>1</v>
      </c>
      <c r="I39" s="392">
        <v>50</v>
      </c>
      <c r="J39" s="184"/>
      <c r="K39" s="184"/>
      <c r="L39" s="877">
        <f t="shared" si="5"/>
        <v>50</v>
      </c>
      <c r="M39" s="108"/>
      <c r="N39" s="819"/>
      <c r="O39" s="397"/>
      <c r="P39" s="397" t="s">
        <v>125</v>
      </c>
      <c r="Q39" s="889" t="s">
        <v>1815</v>
      </c>
      <c r="S39" s="396"/>
      <c r="T39" s="396"/>
      <c r="W39" s="400">
        <v>46327</v>
      </c>
    </row>
    <row r="40" spans="1:23" ht="15">
      <c r="A40" s="379"/>
      <c r="B40" s="407"/>
      <c r="C40" s="389"/>
      <c r="D40" s="390" t="e">
        <f>VLOOKUP(C40,'MASTER Name List'!$B$3:$M$300,2,FALSE)</f>
        <v>#N/A</v>
      </c>
      <c r="E40" s="420"/>
      <c r="F40" s="420"/>
      <c r="G40" s="391"/>
      <c r="H40" s="422">
        <f t="shared" si="4"/>
        <v>1</v>
      </c>
      <c r="I40" s="392">
        <v>50</v>
      </c>
      <c r="J40" s="184"/>
      <c r="K40" s="184"/>
      <c r="L40" s="107" t="str">
        <f t="shared" si="5"/>
        <v>-</v>
      </c>
      <c r="M40" s="108"/>
      <c r="N40" s="819"/>
      <c r="O40" s="397"/>
      <c r="P40" s="394"/>
      <c r="Q40" s="409"/>
      <c r="S40" s="396"/>
      <c r="T40" s="396"/>
      <c r="W40" s="400">
        <v>46357</v>
      </c>
    </row>
    <row r="41" spans="1:23" ht="15">
      <c r="A41" s="379"/>
      <c r="B41" s="407"/>
      <c r="C41" s="389"/>
      <c r="D41" s="390" t="e">
        <f>VLOOKUP(C41,'MASTER Name List'!$B$3:$M$300,2,FALSE)</f>
        <v>#N/A</v>
      </c>
      <c r="E41" s="420"/>
      <c r="F41" s="420"/>
      <c r="G41" s="391"/>
      <c r="H41" s="422">
        <f t="shared" si="4"/>
        <v>1</v>
      </c>
      <c r="I41" s="392">
        <v>50</v>
      </c>
      <c r="J41" s="184"/>
      <c r="K41" s="184"/>
      <c r="L41" s="107" t="str">
        <f t="shared" si="5"/>
        <v>-</v>
      </c>
      <c r="M41" s="108"/>
      <c r="N41" s="819"/>
      <c r="O41" s="397"/>
      <c r="P41" s="394"/>
      <c r="Q41" s="409"/>
      <c r="S41" s="396"/>
      <c r="T41" s="396"/>
      <c r="W41" s="400">
        <v>46388</v>
      </c>
    </row>
    <row r="42" spans="1:23" ht="15">
      <c r="A42" s="379"/>
      <c r="B42" s="407"/>
      <c r="C42" s="389"/>
      <c r="D42" s="390" t="e">
        <f>VLOOKUP(C42,'MASTER Name List'!$B$3:$M$300,2,FALSE)</f>
        <v>#N/A</v>
      </c>
      <c r="E42" s="420"/>
      <c r="F42" s="420"/>
      <c r="G42" s="391"/>
      <c r="H42" s="422">
        <f t="shared" si="4"/>
        <v>1</v>
      </c>
      <c r="I42" s="392">
        <v>50</v>
      </c>
      <c r="J42" s="184"/>
      <c r="K42" s="184"/>
      <c r="L42" s="107" t="str">
        <f t="shared" si="5"/>
        <v>-</v>
      </c>
      <c r="M42" s="108"/>
      <c r="N42" s="819"/>
      <c r="O42" s="397"/>
      <c r="P42" s="394"/>
      <c r="Q42" s="409"/>
      <c r="S42" s="396"/>
      <c r="T42" s="396"/>
      <c r="W42" s="400">
        <v>46419</v>
      </c>
    </row>
    <row r="43" spans="1:23" ht="15">
      <c r="A43" s="379"/>
      <c r="B43" s="407"/>
      <c r="C43" s="389"/>
      <c r="D43" s="390" t="e">
        <f>VLOOKUP(C43,'MASTER Name List'!$B$3:$M$300,2,FALSE)</f>
        <v>#N/A</v>
      </c>
      <c r="E43" s="420"/>
      <c r="F43" s="420"/>
      <c r="G43" s="391"/>
      <c r="H43" s="422">
        <f t="shared" si="4"/>
        <v>1</v>
      </c>
      <c r="I43" s="392">
        <v>50</v>
      </c>
      <c r="J43" s="184"/>
      <c r="K43" s="184"/>
      <c r="L43" s="107" t="str">
        <f t="shared" si="5"/>
        <v>-</v>
      </c>
      <c r="M43" s="108"/>
      <c r="N43" s="819"/>
      <c r="O43" s="397"/>
      <c r="P43" s="394"/>
      <c r="Q43" s="409"/>
      <c r="S43" s="396"/>
      <c r="T43" s="396"/>
      <c r="W43" s="400">
        <v>46447</v>
      </c>
    </row>
    <row r="44" spans="1:23" ht="15">
      <c r="A44" s="379"/>
      <c r="B44" s="407"/>
      <c r="C44" s="389"/>
      <c r="D44" s="390" t="e">
        <f>VLOOKUP(C44,'MASTER Name List'!$B$3:$M$300,2,FALSE)</f>
        <v>#N/A</v>
      </c>
      <c r="E44" s="420"/>
      <c r="F44" s="420"/>
      <c r="G44" s="391"/>
      <c r="H44" s="422">
        <f t="shared" si="4"/>
        <v>1</v>
      </c>
      <c r="I44" s="392">
        <v>50</v>
      </c>
      <c r="J44" s="184"/>
      <c r="K44" s="184"/>
      <c r="L44" s="107" t="str">
        <f t="shared" si="5"/>
        <v>-</v>
      </c>
      <c r="M44" s="108"/>
      <c r="N44" s="819"/>
      <c r="O44" s="397"/>
      <c r="P44" s="394"/>
      <c r="Q44" s="409"/>
      <c r="S44" s="396"/>
      <c r="T44" s="396"/>
      <c r="W44" s="400">
        <v>46478</v>
      </c>
    </row>
    <row r="45" spans="1:23" ht="15">
      <c r="A45" s="379"/>
      <c r="B45" s="407"/>
      <c r="C45" s="389"/>
      <c r="D45" s="390" t="e">
        <f>VLOOKUP(C45,'MASTER Name List'!$B$3:$M$300,2,FALSE)</f>
        <v>#N/A</v>
      </c>
      <c r="E45" s="420"/>
      <c r="F45" s="420"/>
      <c r="G45" s="391"/>
      <c r="H45" s="422">
        <f t="shared" si="4"/>
        <v>1</v>
      </c>
      <c r="I45" s="392">
        <v>50</v>
      </c>
      <c r="J45" s="184"/>
      <c r="K45" s="184"/>
      <c r="L45" s="107" t="str">
        <f t="shared" si="5"/>
        <v>-</v>
      </c>
      <c r="M45" s="108"/>
      <c r="N45" s="819"/>
      <c r="O45" s="397"/>
      <c r="P45" s="394"/>
      <c r="Q45" s="409"/>
      <c r="S45" s="396"/>
      <c r="T45" s="396"/>
      <c r="W45" s="400">
        <v>46508</v>
      </c>
    </row>
    <row r="46" spans="1:23" ht="15">
      <c r="A46" s="379"/>
      <c r="B46" s="407"/>
      <c r="C46" s="389"/>
      <c r="D46" s="390" t="e">
        <f>VLOOKUP(C46,'MASTER Name List'!$B$3:$M$300,2,FALSE)</f>
        <v>#N/A</v>
      </c>
      <c r="E46" s="420"/>
      <c r="F46" s="420"/>
      <c r="G46" s="391"/>
      <c r="H46" s="422">
        <f t="shared" si="4"/>
        <v>1</v>
      </c>
      <c r="I46" s="392">
        <v>50</v>
      </c>
      <c r="J46" s="184"/>
      <c r="K46" s="184"/>
      <c r="L46" s="107" t="str">
        <f t="shared" si="5"/>
        <v>-</v>
      </c>
      <c r="M46" s="108"/>
      <c r="N46" s="819"/>
      <c r="O46" s="397"/>
      <c r="P46" s="394"/>
      <c r="Q46" s="409"/>
      <c r="S46" s="396"/>
      <c r="T46" s="396"/>
      <c r="W46" s="400">
        <v>46539</v>
      </c>
    </row>
    <row r="47" spans="1:23" ht="15">
      <c r="A47" s="379"/>
      <c r="B47" s="389"/>
      <c r="C47" s="389"/>
      <c r="D47" s="390"/>
      <c r="E47" s="420"/>
      <c r="F47" s="420"/>
      <c r="G47" s="402"/>
      <c r="H47" s="403"/>
      <c r="I47" s="404"/>
      <c r="J47" s="184"/>
      <c r="K47" s="184"/>
      <c r="L47" s="107" t="str">
        <f t="shared" si="5"/>
        <v>-</v>
      </c>
      <c r="M47" s="108"/>
      <c r="N47" s="819"/>
      <c r="O47" s="397"/>
      <c r="P47" s="410"/>
      <c r="Q47" s="409"/>
      <c r="S47" s="396"/>
      <c r="T47" s="396"/>
      <c r="W47" s="400">
        <v>46569</v>
      </c>
    </row>
    <row r="48" spans="1:23" ht="15">
      <c r="A48" s="379"/>
      <c r="B48" s="411"/>
      <c r="C48" s="412"/>
      <c r="D48" s="413"/>
      <c r="E48" s="421"/>
      <c r="F48" s="421"/>
      <c r="G48" s="414"/>
      <c r="H48" s="415"/>
      <c r="I48" s="416"/>
      <c r="J48" s="124"/>
      <c r="K48" s="124"/>
      <c r="L48" s="124"/>
      <c r="M48" s="125"/>
      <c r="N48" s="417"/>
      <c r="O48" s="417"/>
      <c r="P48" s="417"/>
      <c r="W48" s="400">
        <v>46600</v>
      </c>
    </row>
    <row r="49" spans="2:23" ht="15">
      <c r="B49" s="418"/>
      <c r="C49" s="418"/>
      <c r="J49" s="128"/>
      <c r="K49" s="128"/>
      <c r="L49" s="128"/>
      <c r="M49" s="129"/>
      <c r="W49" s="400">
        <v>46631</v>
      </c>
    </row>
    <row r="50" spans="2:23" ht="15.6" thickBot="1">
      <c r="B50" s="418"/>
      <c r="C50" s="418"/>
      <c r="J50" s="130">
        <f>SUM(J8:J49)</f>
        <v>2050</v>
      </c>
      <c r="K50" s="130">
        <f>SUM(K8:K49)</f>
        <v>0</v>
      </c>
      <c r="L50" s="130">
        <f>SUM(L8:L49)</f>
        <v>2300</v>
      </c>
      <c r="M50" s="131"/>
      <c r="N50" s="132">
        <f>SUM(N8:N49)</f>
        <v>2050</v>
      </c>
      <c r="W50" s="400">
        <v>46661</v>
      </c>
    </row>
    <row r="51" spans="2:23" ht="15.6" thickTop="1">
      <c r="J51" s="133"/>
      <c r="K51" s="133"/>
      <c r="L51" s="133"/>
      <c r="M51" s="129"/>
      <c r="W51" s="400">
        <v>46692</v>
      </c>
    </row>
    <row r="52" spans="2:23" s="363" customFormat="1" ht="15">
      <c r="G52" s="364"/>
      <c r="I52" s="365"/>
      <c r="J52" s="419"/>
      <c r="K52" s="419"/>
      <c r="L52" s="419"/>
      <c r="Q52" s="366"/>
      <c r="W52" s="400">
        <v>46722</v>
      </c>
    </row>
    <row r="53" spans="2:23" ht="15">
      <c r="W53" s="400">
        <v>46753</v>
      </c>
    </row>
    <row r="54" spans="2:23" ht="15">
      <c r="W54" s="400">
        <v>46784</v>
      </c>
    </row>
    <row r="55" spans="2:23" ht="15">
      <c r="W55" s="400">
        <v>46813</v>
      </c>
    </row>
    <row r="56" spans="2:23" ht="15">
      <c r="W56" s="400">
        <v>46844</v>
      </c>
    </row>
    <row r="57" spans="2:23" ht="15">
      <c r="W57" s="400">
        <v>46874</v>
      </c>
    </row>
    <row r="58" spans="2:23" ht="15">
      <c r="W58" s="400">
        <v>46905</v>
      </c>
    </row>
    <row r="59" spans="2:23" ht="15">
      <c r="W59" s="400">
        <v>46935</v>
      </c>
    </row>
    <row r="60" spans="2:23" ht="15">
      <c r="W60" s="400">
        <v>46966</v>
      </c>
    </row>
    <row r="61" spans="2:23" ht="15">
      <c r="W61" s="400">
        <v>46997</v>
      </c>
    </row>
    <row r="62" spans="2:23" ht="15">
      <c r="W62" s="400">
        <v>47027</v>
      </c>
    </row>
    <row r="63" spans="2:23" ht="15">
      <c r="W63" s="400">
        <v>47058</v>
      </c>
    </row>
    <row r="64" spans="2:23" ht="15">
      <c r="W64" s="400">
        <v>47088</v>
      </c>
    </row>
  </sheetData>
  <sortState xmlns:xlrd2="http://schemas.microsoft.com/office/spreadsheetml/2017/richdata2" ref="A26:Q37">
    <sortCondition ref="A26:A37"/>
  </sortState>
  <mergeCells count="3">
    <mergeCell ref="E5:G5"/>
    <mergeCell ref="E6:G6"/>
    <mergeCell ref="J6:L6"/>
  </mergeCells>
  <phoneticPr fontId="35" type="noConversion"/>
  <dataValidations count="2">
    <dataValidation type="list" allowBlank="1" showInputMessage="1" showErrorMessage="1" sqref="E9:F23 E26:F37 E40:F46" xr:uid="{2581C49A-ADEE-49B1-86D0-E471F8CC3DEA}">
      <formula1>$W$10:$W$93</formula1>
    </dataValidation>
    <dataValidation type="list" allowBlank="1" showInputMessage="1" showErrorMessage="1" sqref="E38:F39" xr:uid="{0B431B6E-7EFC-4193-B958-52BA176DAB74}">
      <formula1>$W$10:$W$95</formula1>
    </dataValidation>
  </dataValidation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672D-6C63-4A8B-976D-B0C4E13C962B}">
  <sheetPr>
    <tabColor rgb="FF00B0F0"/>
  </sheetPr>
  <dimension ref="A4:W61"/>
  <sheetViews>
    <sheetView zoomScale="90" zoomScaleNormal="90" workbookViewId="0">
      <pane ySplit="8" topLeftCell="A9" activePane="bottomLeft" state="frozen"/>
      <selection pane="bottomLeft" activeCell="S40" sqref="S40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9.6640625" style="365" bestFit="1" customWidth="1"/>
    <col min="10" max="10" width="11.6640625" style="363" customWidth="1"/>
    <col min="11" max="12" width="8.5546875" style="363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975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/>
      <c r="B9" s="177" t="s">
        <v>1797</v>
      </c>
      <c r="C9" s="389"/>
      <c r="D9" s="390" t="e">
        <f>VLOOKUP(C9,'MASTER Name List'!$B$3:$M$300,2,FALSE)</f>
        <v>#N/A</v>
      </c>
      <c r="E9" s="420"/>
      <c r="F9" s="420"/>
      <c r="G9" s="391"/>
      <c r="H9" s="422">
        <f t="shared" ref="H9:H23" si="0">DATEDIF(E9,F9,"M")+1</f>
        <v>1</v>
      </c>
      <c r="I9" s="392">
        <v>50</v>
      </c>
      <c r="J9" s="107" t="str">
        <f>IF($C9="","-",$H9*$I9)</f>
        <v>-</v>
      </c>
      <c r="K9" s="184"/>
      <c r="L9" s="184"/>
      <c r="M9" s="108"/>
      <c r="N9" s="819"/>
      <c r="O9" s="393"/>
      <c r="P9" s="394"/>
      <c r="Q9" s="395"/>
      <c r="S9" s="396"/>
      <c r="T9" s="396"/>
    </row>
    <row r="10" spans="1:23" ht="15">
      <c r="A10" s="379"/>
      <c r="B10" s="177" t="s">
        <v>1798</v>
      </c>
      <c r="C10" s="389"/>
      <c r="D10" s="390" t="e">
        <f>VLOOKUP(C10,'MASTER Name List'!$B$3:$M$300,2,FALSE)</f>
        <v>#N/A</v>
      </c>
      <c r="E10" s="420"/>
      <c r="F10" s="420"/>
      <c r="G10" s="391"/>
      <c r="H10" s="422">
        <f t="shared" si="0"/>
        <v>1</v>
      </c>
      <c r="I10" s="392">
        <v>50</v>
      </c>
      <c r="J10" s="107" t="str">
        <f t="shared" ref="J10:J23" si="1">IF($C10="","-",$H10*$I10)</f>
        <v>-</v>
      </c>
      <c r="K10" s="184"/>
      <c r="L10" s="184"/>
      <c r="M10" s="108"/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/>
      <c r="B11" s="177" t="s">
        <v>1799</v>
      </c>
      <c r="C11" s="389"/>
      <c r="D11" s="390" t="e">
        <f>VLOOKUP(C11,'MASTER Name List'!$B$3:$M$300,2,FALSE)</f>
        <v>#N/A</v>
      </c>
      <c r="E11" s="420"/>
      <c r="F11" s="420"/>
      <c r="G11" s="391"/>
      <c r="H11" s="422">
        <f t="shared" si="0"/>
        <v>1</v>
      </c>
      <c r="I11" s="392">
        <v>50</v>
      </c>
      <c r="J11" s="107" t="str">
        <f t="shared" si="1"/>
        <v>-</v>
      </c>
      <c r="K11" s="184"/>
      <c r="L11" s="184"/>
      <c r="M11" s="108"/>
      <c r="O11" s="397"/>
      <c r="Q11" s="399"/>
      <c r="S11" s="396"/>
      <c r="T11" s="396"/>
      <c r="W11" s="240">
        <v>45566</v>
      </c>
    </row>
    <row r="12" spans="1:23" ht="15">
      <c r="A12" s="379"/>
      <c r="B12" s="177"/>
      <c r="C12" s="389"/>
      <c r="D12" s="390" t="e">
        <f>VLOOKUP(C12,'MASTER Name List'!$B$3:$M$300,2,FALSE)</f>
        <v>#N/A</v>
      </c>
      <c r="E12" s="420"/>
      <c r="F12" s="420"/>
      <c r="G12" s="391"/>
      <c r="H12" s="422">
        <f t="shared" si="0"/>
        <v>1</v>
      </c>
      <c r="I12" s="392">
        <v>50</v>
      </c>
      <c r="J12" s="107" t="str">
        <f t="shared" si="1"/>
        <v>-</v>
      </c>
      <c r="K12" s="184"/>
      <c r="L12" s="184"/>
      <c r="M12" s="108"/>
      <c r="N12" s="819">
        <f>SUMIF(M:M,"1",J:J)</f>
        <v>0</v>
      </c>
      <c r="O12" s="397"/>
      <c r="Q12" s="399"/>
      <c r="S12" s="396"/>
      <c r="T12" s="396"/>
      <c r="W12" s="240">
        <v>45597</v>
      </c>
    </row>
    <row r="13" spans="1:23" ht="15">
      <c r="A13" s="379"/>
      <c r="B13" s="177"/>
      <c r="C13" s="389"/>
      <c r="D13" s="390" t="e">
        <f>VLOOKUP(C13,'MASTER Name List'!$B$3:$M$300,2,FALSE)</f>
        <v>#N/A</v>
      </c>
      <c r="E13" s="420"/>
      <c r="F13" s="420"/>
      <c r="G13" s="391"/>
      <c r="H13" s="422">
        <f t="shared" si="0"/>
        <v>1</v>
      </c>
      <c r="I13" s="392">
        <v>50</v>
      </c>
      <c r="J13" s="107" t="str">
        <f t="shared" si="1"/>
        <v>-</v>
      </c>
      <c r="K13" s="184"/>
      <c r="L13" s="184"/>
      <c r="M13" s="108"/>
      <c r="N13" s="819"/>
      <c r="O13" s="397"/>
      <c r="Q13" s="399"/>
      <c r="S13" s="396"/>
      <c r="T13" s="396"/>
      <c r="W13" s="240">
        <v>45627</v>
      </c>
    </row>
    <row r="14" spans="1:23" ht="15">
      <c r="A14" s="379"/>
      <c r="B14" s="177"/>
      <c r="C14" s="389"/>
      <c r="D14" s="390" t="e">
        <f>VLOOKUP(C14,'MASTER Name List'!$B$3:$M$300,2,FALSE)</f>
        <v>#N/A</v>
      </c>
      <c r="E14" s="420"/>
      <c r="F14" s="420"/>
      <c r="G14" s="391"/>
      <c r="H14" s="422">
        <f t="shared" si="0"/>
        <v>1</v>
      </c>
      <c r="I14" s="392">
        <v>50</v>
      </c>
      <c r="J14" s="107" t="str">
        <f t="shared" si="1"/>
        <v>-</v>
      </c>
      <c r="K14" s="184"/>
      <c r="L14" s="184"/>
      <c r="M14" s="108"/>
      <c r="N14" s="819"/>
      <c r="O14" s="397"/>
      <c r="Q14" s="399"/>
      <c r="S14" s="396"/>
      <c r="T14" s="396"/>
      <c r="W14" s="400">
        <v>45658</v>
      </c>
    </row>
    <row r="15" spans="1:23" ht="15">
      <c r="A15" s="379"/>
      <c r="B15" s="177"/>
      <c r="C15" s="389"/>
      <c r="D15" s="390" t="e">
        <f>VLOOKUP(C15,'MASTER Name List'!$B$3:$M$300,2,FALSE)</f>
        <v>#N/A</v>
      </c>
      <c r="E15" s="420"/>
      <c r="F15" s="420"/>
      <c r="G15" s="391"/>
      <c r="H15" s="422">
        <f t="shared" si="0"/>
        <v>1</v>
      </c>
      <c r="I15" s="392">
        <v>50</v>
      </c>
      <c r="J15" s="107" t="str">
        <f t="shared" si="1"/>
        <v>-</v>
      </c>
      <c r="K15" s="184"/>
      <c r="L15" s="184"/>
      <c r="M15" s="108"/>
      <c r="N15" s="819"/>
      <c r="O15" s="397"/>
      <c r="Q15" s="399"/>
      <c r="S15" s="396"/>
      <c r="T15" s="396"/>
      <c r="W15" s="400">
        <v>45689</v>
      </c>
    </row>
    <row r="16" spans="1:23" ht="15">
      <c r="A16" s="379"/>
      <c r="B16" s="177"/>
      <c r="C16" s="389"/>
      <c r="D16" s="390" t="e">
        <f>VLOOKUP(C16,'MASTER Name List'!$B$3:$M$300,2,FALSE)</f>
        <v>#N/A</v>
      </c>
      <c r="E16" s="420"/>
      <c r="F16" s="420"/>
      <c r="G16" s="391"/>
      <c r="H16" s="422">
        <f t="shared" si="0"/>
        <v>1</v>
      </c>
      <c r="I16" s="392">
        <v>50</v>
      </c>
      <c r="J16" s="107" t="str">
        <f t="shared" si="1"/>
        <v>-</v>
      </c>
      <c r="K16" s="184"/>
      <c r="L16" s="184"/>
      <c r="M16" s="108"/>
      <c r="N16" s="819"/>
      <c r="O16" s="397"/>
      <c r="Q16" s="399"/>
      <c r="S16" s="396"/>
      <c r="T16" s="396"/>
      <c r="W16" s="400">
        <v>45717</v>
      </c>
    </row>
    <row r="17" spans="1:23" ht="15">
      <c r="A17" s="379"/>
      <c r="B17" s="177"/>
      <c r="C17" s="389"/>
      <c r="D17" s="390" t="e">
        <f>VLOOKUP(C17,'MASTER Name List'!$B$3:$M$300,2,FALSE)</f>
        <v>#N/A</v>
      </c>
      <c r="E17" s="420"/>
      <c r="F17" s="420"/>
      <c r="G17" s="391"/>
      <c r="H17" s="422">
        <f t="shared" si="0"/>
        <v>1</v>
      </c>
      <c r="I17" s="392">
        <v>50</v>
      </c>
      <c r="J17" s="107" t="str">
        <f t="shared" si="1"/>
        <v>-</v>
      </c>
      <c r="K17" s="184"/>
      <c r="L17" s="184"/>
      <c r="M17" s="108"/>
      <c r="N17" s="819"/>
      <c r="O17" s="397"/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List'!$B$3:$M$300,2,FALSE)</f>
        <v>#N/A</v>
      </c>
      <c r="E18" s="420"/>
      <c r="F18" s="420"/>
      <c r="G18" s="391"/>
      <c r="H18" s="422">
        <f t="shared" si="0"/>
        <v>1</v>
      </c>
      <c r="I18" s="392">
        <v>50</v>
      </c>
      <c r="J18" s="107" t="str">
        <f t="shared" si="1"/>
        <v>-</v>
      </c>
      <c r="K18" s="184"/>
      <c r="L18" s="184"/>
      <c r="M18" s="108"/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List'!$B$3:$M$300,2,FALSE)</f>
        <v>#N/A</v>
      </c>
      <c r="E19" s="420"/>
      <c r="F19" s="420"/>
      <c r="G19" s="401"/>
      <c r="H19" s="422">
        <f t="shared" si="0"/>
        <v>1</v>
      </c>
      <c r="I19" s="392">
        <v>50</v>
      </c>
      <c r="J19" s="107" t="str">
        <f t="shared" si="1"/>
        <v>-</v>
      </c>
      <c r="K19" s="184"/>
      <c r="L19" s="184"/>
      <c r="M19" s="108"/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List'!$B$3:$M$300,2,FALSE)</f>
        <v>#N/A</v>
      </c>
      <c r="E20" s="420"/>
      <c r="F20" s="420"/>
      <c r="G20" s="401"/>
      <c r="H20" s="422">
        <f t="shared" si="0"/>
        <v>1</v>
      </c>
      <c r="I20" s="392">
        <v>50</v>
      </c>
      <c r="J20" s="107" t="str">
        <f t="shared" si="1"/>
        <v>-</v>
      </c>
      <c r="K20" s="184"/>
      <c r="L20" s="184"/>
      <c r="M20" s="108"/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List'!$B$3:$M$300,2,FALSE)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List'!$B$3:$M$300,2,FALSE)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List'!$B$3:$M$300,2,FALSE)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871">
        <v>46204</v>
      </c>
      <c r="B26" s="405"/>
      <c r="C26" s="872">
        <v>14</v>
      </c>
      <c r="D26" s="873" t="str">
        <f>VLOOKUP(C26,'MASTER Name List'!$B$3:$M$300,2,FALSE)</f>
        <v>廖佳韵</v>
      </c>
      <c r="E26" s="874">
        <v>46023</v>
      </c>
      <c r="F26" s="874">
        <v>46174</v>
      </c>
      <c r="G26" s="887" t="s">
        <v>1816</v>
      </c>
      <c r="H26" s="890">
        <f t="shared" ref="H26" si="2">DATEDIF(E26,F26,"M")+1</f>
        <v>6</v>
      </c>
      <c r="I26" s="891">
        <v>50</v>
      </c>
      <c r="J26" s="184"/>
      <c r="K26" s="184"/>
      <c r="L26" s="877">
        <f t="shared" ref="L26:L31" si="3">IF($C26="","-",$H26*$I26)</f>
        <v>300</v>
      </c>
      <c r="M26" s="108"/>
      <c r="N26" s="819"/>
      <c r="O26" s="397"/>
      <c r="P26" s="394" t="s">
        <v>125</v>
      </c>
      <c r="Q26" s="870" t="s">
        <v>1817</v>
      </c>
      <c r="S26" s="396"/>
      <c r="T26" s="396"/>
      <c r="W26" s="400">
        <v>46023</v>
      </c>
    </row>
    <row r="27" spans="1:23" ht="15">
      <c r="A27" s="871">
        <v>46204</v>
      </c>
      <c r="B27" s="405"/>
      <c r="C27" s="872">
        <v>116</v>
      </c>
      <c r="D27" s="873" t="str">
        <f>VLOOKUP(C27,'MASTER Name List'!$B$3:$M$300,2,FALSE)</f>
        <v>李薇薇</v>
      </c>
      <c r="E27" s="874">
        <v>46204</v>
      </c>
      <c r="F27" s="874">
        <v>46204</v>
      </c>
      <c r="G27" s="875">
        <v>46204</v>
      </c>
      <c r="H27" s="890">
        <f t="shared" ref="H27:H29" si="4">DATEDIF(E27,F27,"M")+1</f>
        <v>1</v>
      </c>
      <c r="I27" s="891">
        <v>50</v>
      </c>
      <c r="J27" s="184"/>
      <c r="K27" s="184"/>
      <c r="L27" s="877">
        <f t="shared" si="3"/>
        <v>50</v>
      </c>
      <c r="M27" s="108"/>
      <c r="N27" s="819"/>
      <c r="O27" s="397"/>
      <c r="P27" s="394" t="s">
        <v>125</v>
      </c>
      <c r="Q27" s="399" t="s">
        <v>133</v>
      </c>
      <c r="S27" s="396"/>
      <c r="T27" s="396"/>
      <c r="W27" s="400">
        <v>46054</v>
      </c>
    </row>
    <row r="28" spans="1:23" ht="15">
      <c r="A28" s="871">
        <v>46204</v>
      </c>
      <c r="B28" s="405"/>
      <c r="C28" s="872">
        <v>117</v>
      </c>
      <c r="D28" s="873" t="str">
        <f>VLOOKUP(C28,'MASTER Name List'!$B$3:$M$300,2,FALSE)</f>
        <v>张志文</v>
      </c>
      <c r="E28" s="874">
        <v>46204</v>
      </c>
      <c r="F28" s="874">
        <v>46204</v>
      </c>
      <c r="G28" s="875">
        <v>46204</v>
      </c>
      <c r="H28" s="890">
        <f t="shared" si="4"/>
        <v>1</v>
      </c>
      <c r="I28" s="891">
        <v>50</v>
      </c>
      <c r="J28" s="184"/>
      <c r="K28" s="184"/>
      <c r="L28" s="877">
        <f t="shared" si="3"/>
        <v>50</v>
      </c>
      <c r="M28" s="108"/>
      <c r="N28" s="819"/>
      <c r="O28" s="408"/>
      <c r="P28" s="394" t="s">
        <v>125</v>
      </c>
      <c r="Q28" s="399" t="s">
        <v>915</v>
      </c>
      <c r="S28" s="396"/>
      <c r="T28" s="396"/>
      <c r="W28" s="400">
        <v>46082</v>
      </c>
    </row>
    <row r="29" spans="1:23" ht="15">
      <c r="A29" s="871">
        <v>46204</v>
      </c>
      <c r="B29" s="405"/>
      <c r="C29" s="872">
        <v>162</v>
      </c>
      <c r="D29" s="873" t="str">
        <f>VLOOKUP(C29,'MASTER Name List'!$B$3:$M$300,2,FALSE)</f>
        <v>方惠贤</v>
      </c>
      <c r="E29" s="874">
        <v>46266</v>
      </c>
      <c r="F29" s="874">
        <v>46296</v>
      </c>
      <c r="G29" s="886" t="s">
        <v>1804</v>
      </c>
      <c r="H29" s="890">
        <f t="shared" si="4"/>
        <v>2</v>
      </c>
      <c r="I29" s="891">
        <v>50</v>
      </c>
      <c r="J29" s="184"/>
      <c r="K29" s="184"/>
      <c r="L29" s="877">
        <f t="shared" si="3"/>
        <v>100</v>
      </c>
      <c r="M29" s="108"/>
      <c r="N29" s="819"/>
      <c r="O29" s="397"/>
      <c r="P29" s="363" t="s">
        <v>125</v>
      </c>
      <c r="Q29" s="399" t="s">
        <v>126</v>
      </c>
      <c r="S29" s="396"/>
      <c r="T29" s="396"/>
      <c r="W29" s="400">
        <v>46113</v>
      </c>
    </row>
    <row r="30" spans="1:23" ht="15">
      <c r="A30" s="871">
        <v>46206</v>
      </c>
      <c r="B30" s="405"/>
      <c r="C30" s="872">
        <v>102</v>
      </c>
      <c r="D30" s="873" t="str">
        <f>VLOOKUP(C30,'MASTER Name List'!$B$3:$M$300,2,FALSE)</f>
        <v>戴川凤</v>
      </c>
      <c r="E30" s="874">
        <v>46204</v>
      </c>
      <c r="F30" s="874">
        <v>46235</v>
      </c>
      <c r="G30" s="886" t="s">
        <v>848</v>
      </c>
      <c r="H30" s="890">
        <f t="shared" ref="H30:H34" si="5">DATEDIF(E30,F30,"M")+1</f>
        <v>2</v>
      </c>
      <c r="I30" s="891">
        <v>50</v>
      </c>
      <c r="J30" s="184"/>
      <c r="K30" s="184"/>
      <c r="L30" s="877">
        <f t="shared" si="3"/>
        <v>100</v>
      </c>
      <c r="M30" s="108"/>
      <c r="N30" s="819"/>
      <c r="O30" s="397"/>
      <c r="P30" s="394" t="s">
        <v>325</v>
      </c>
      <c r="Q30" s="399" t="s">
        <v>760</v>
      </c>
      <c r="S30" s="396"/>
      <c r="T30" s="396"/>
      <c r="W30" s="400">
        <v>46143</v>
      </c>
    </row>
    <row r="31" spans="1:23" ht="15">
      <c r="A31" s="871">
        <v>46206</v>
      </c>
      <c r="B31" s="405"/>
      <c r="C31" s="872">
        <v>172</v>
      </c>
      <c r="D31" s="873" t="str">
        <f>VLOOKUP(C31,'MASTER Name List'!$B$3:$M$300,2,FALSE)</f>
        <v>蔡均镅</v>
      </c>
      <c r="E31" s="874">
        <v>46204</v>
      </c>
      <c r="F31" s="874">
        <v>46235</v>
      </c>
      <c r="G31" s="886" t="s">
        <v>848</v>
      </c>
      <c r="H31" s="890">
        <f t="shared" si="5"/>
        <v>2</v>
      </c>
      <c r="I31" s="891">
        <v>50</v>
      </c>
      <c r="J31" s="184"/>
      <c r="K31" s="184"/>
      <c r="L31" s="877">
        <f t="shared" si="3"/>
        <v>100</v>
      </c>
      <c r="M31" s="108"/>
      <c r="N31" s="819"/>
      <c r="O31" s="397"/>
      <c r="P31" s="394" t="s">
        <v>125</v>
      </c>
      <c r="Q31" s="399" t="s">
        <v>194</v>
      </c>
      <c r="S31" s="396"/>
      <c r="T31" s="396"/>
      <c r="W31" s="400">
        <v>46174</v>
      </c>
    </row>
    <row r="32" spans="1:23" ht="15">
      <c r="A32" s="871">
        <v>46209</v>
      </c>
      <c r="B32" s="405"/>
      <c r="C32" s="872">
        <v>52</v>
      </c>
      <c r="D32" s="873" t="str">
        <f>VLOOKUP(C32,'MASTER Name List'!$B$3:$M$300,2,FALSE)</f>
        <v>陈宝蓉</v>
      </c>
      <c r="E32" s="874">
        <v>46204</v>
      </c>
      <c r="F32" s="874">
        <v>46235</v>
      </c>
      <c r="G32" s="886" t="s">
        <v>848</v>
      </c>
      <c r="H32" s="890">
        <f t="shared" si="5"/>
        <v>2</v>
      </c>
      <c r="I32" s="891">
        <v>50</v>
      </c>
      <c r="J32" s="184"/>
      <c r="K32" s="184"/>
      <c r="L32" s="877">
        <f t="shared" ref="L32:L44" si="6">IF($C32="","-",$H32*$I32)</f>
        <v>100</v>
      </c>
      <c r="M32" s="108"/>
      <c r="N32" s="819"/>
      <c r="O32" s="397"/>
      <c r="P32" s="394" t="s">
        <v>125</v>
      </c>
      <c r="Q32" s="870" t="s">
        <v>330</v>
      </c>
      <c r="S32" s="396"/>
      <c r="T32" s="396"/>
      <c r="W32" s="400">
        <v>46204</v>
      </c>
    </row>
    <row r="33" spans="1:23" ht="15">
      <c r="A33" s="871">
        <v>46209</v>
      </c>
      <c r="B33" s="405"/>
      <c r="C33" s="872">
        <v>104</v>
      </c>
      <c r="D33" s="873" t="str">
        <f>VLOOKUP(C33,'MASTER Name List'!$B$3:$M$300,2,FALSE)</f>
        <v>连美丽</v>
      </c>
      <c r="E33" s="874">
        <v>46204</v>
      </c>
      <c r="F33" s="874">
        <v>46235</v>
      </c>
      <c r="G33" s="886" t="s">
        <v>848</v>
      </c>
      <c r="H33" s="890">
        <f t="shared" si="5"/>
        <v>2</v>
      </c>
      <c r="I33" s="891">
        <v>50</v>
      </c>
      <c r="J33" s="184"/>
      <c r="K33" s="184"/>
      <c r="L33" s="877">
        <f t="shared" si="6"/>
        <v>100</v>
      </c>
      <c r="M33" s="108"/>
      <c r="N33" s="819"/>
      <c r="O33" s="397"/>
      <c r="P33" s="363" t="s">
        <v>125</v>
      </c>
      <c r="Q33" s="870" t="s">
        <v>142</v>
      </c>
      <c r="S33" s="396"/>
      <c r="T33" s="396"/>
      <c r="W33" s="400">
        <v>46235</v>
      </c>
    </row>
    <row r="34" spans="1:23" ht="15">
      <c r="A34" s="871">
        <v>46215</v>
      </c>
      <c r="B34" s="405"/>
      <c r="C34" s="880">
        <v>137</v>
      </c>
      <c r="D34" s="873" t="str">
        <f>VLOOKUP(C34,'MASTER Name List'!$B$3:$M$300,2,FALSE)</f>
        <v>赖美珍</v>
      </c>
      <c r="E34" s="874">
        <v>46204</v>
      </c>
      <c r="F34" s="874">
        <v>46204</v>
      </c>
      <c r="G34" s="875">
        <v>46204</v>
      </c>
      <c r="H34" s="890">
        <f t="shared" si="5"/>
        <v>1</v>
      </c>
      <c r="I34" s="891">
        <v>50</v>
      </c>
      <c r="J34" s="184"/>
      <c r="K34" s="184"/>
      <c r="L34" s="877">
        <f t="shared" si="6"/>
        <v>50</v>
      </c>
      <c r="M34" s="108"/>
      <c r="N34" s="819"/>
      <c r="O34" s="397"/>
      <c r="P34" s="394" t="s">
        <v>1819</v>
      </c>
      <c r="Q34" s="870" t="s">
        <v>1812</v>
      </c>
      <c r="S34" s="396"/>
      <c r="T34" s="396"/>
      <c r="W34" s="400">
        <v>46266</v>
      </c>
    </row>
    <row r="35" spans="1:23" ht="15">
      <c r="A35" s="871">
        <v>46219</v>
      </c>
      <c r="B35" s="405"/>
      <c r="C35" s="872">
        <v>228</v>
      </c>
      <c r="D35" s="873" t="str">
        <f>VLOOKUP(C35,'MASTER Name List'!$B$3:$M$300,2,FALSE)</f>
        <v>黄诗霞</v>
      </c>
      <c r="E35" s="874">
        <v>46204</v>
      </c>
      <c r="F35" s="874">
        <v>46539</v>
      </c>
      <c r="G35" s="887" t="s">
        <v>1821</v>
      </c>
      <c r="H35" s="890">
        <f t="shared" ref="H35:H43" si="7">DATEDIF(E35,F35,"M")+1</f>
        <v>12</v>
      </c>
      <c r="I35" s="892">
        <v>50</v>
      </c>
      <c r="J35" s="184"/>
      <c r="K35" s="184"/>
      <c r="L35" s="107">
        <f t="shared" si="6"/>
        <v>600</v>
      </c>
      <c r="M35" s="108"/>
      <c r="N35" s="819"/>
      <c r="O35" s="397"/>
      <c r="P35" s="363" t="s">
        <v>125</v>
      </c>
      <c r="Q35" s="870" t="s">
        <v>1820</v>
      </c>
      <c r="S35" s="396"/>
      <c r="T35" s="396"/>
      <c r="W35" s="400">
        <v>46296</v>
      </c>
    </row>
    <row r="36" spans="1:23" ht="15">
      <c r="A36" s="379"/>
      <c r="B36" s="407"/>
      <c r="C36" s="389"/>
      <c r="D36" s="390" t="e">
        <f>VLOOKUP(C36,'MASTER Name List'!$B$3:$M$300,2,FALSE)</f>
        <v>#N/A</v>
      </c>
      <c r="E36" s="420"/>
      <c r="F36" s="420"/>
      <c r="G36" s="391"/>
      <c r="H36" s="422">
        <f t="shared" si="7"/>
        <v>1</v>
      </c>
      <c r="I36" s="392">
        <v>50</v>
      </c>
      <c r="J36" s="184"/>
      <c r="K36" s="184"/>
      <c r="L36" s="107" t="str">
        <f t="shared" si="6"/>
        <v>-</v>
      </c>
      <c r="M36" s="108"/>
      <c r="N36" s="819"/>
      <c r="O36" s="397"/>
      <c r="P36" s="394"/>
      <c r="Q36" s="409"/>
      <c r="S36" s="396"/>
      <c r="T36" s="396"/>
      <c r="W36" s="400">
        <v>46327</v>
      </c>
    </row>
    <row r="37" spans="1:23" ht="15">
      <c r="A37" s="379"/>
      <c r="B37" s="407"/>
      <c r="C37" s="389"/>
      <c r="D37" s="390" t="e">
        <f>VLOOKUP(C37,'MASTER Name List'!$B$3:$M$300,2,FALSE)</f>
        <v>#N/A</v>
      </c>
      <c r="E37" s="420"/>
      <c r="F37" s="420"/>
      <c r="G37" s="391"/>
      <c r="H37" s="422">
        <f t="shared" si="7"/>
        <v>1</v>
      </c>
      <c r="I37" s="392">
        <v>50</v>
      </c>
      <c r="J37" s="184"/>
      <c r="K37" s="184"/>
      <c r="L37" s="107" t="str">
        <f t="shared" si="6"/>
        <v>-</v>
      </c>
      <c r="M37" s="108"/>
      <c r="N37" s="819"/>
      <c r="O37" s="397"/>
      <c r="P37" s="394"/>
      <c r="Q37" s="409"/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List'!$B$3:$M$300,2,FALSE)</f>
        <v>#N/A</v>
      </c>
      <c r="E38" s="420"/>
      <c r="F38" s="420"/>
      <c r="G38" s="391"/>
      <c r="H38" s="422">
        <f t="shared" si="7"/>
        <v>1</v>
      </c>
      <c r="I38" s="392">
        <v>50</v>
      </c>
      <c r="J38" s="184"/>
      <c r="K38" s="184"/>
      <c r="L38" s="107" t="str">
        <f t="shared" si="6"/>
        <v>-</v>
      </c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List'!$B$3:$M$300,2,FALSE)</f>
        <v>#N/A</v>
      </c>
      <c r="E39" s="420"/>
      <c r="F39" s="420"/>
      <c r="G39" s="391"/>
      <c r="H39" s="422">
        <f t="shared" si="7"/>
        <v>1</v>
      </c>
      <c r="I39" s="392">
        <v>50</v>
      </c>
      <c r="J39" s="184"/>
      <c r="K39" s="184"/>
      <c r="L39" s="107" t="str">
        <f t="shared" si="6"/>
        <v>-</v>
      </c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List'!$B$3:$M$300,2,FALSE)</f>
        <v>#N/A</v>
      </c>
      <c r="E40" s="420"/>
      <c r="F40" s="420"/>
      <c r="G40" s="391"/>
      <c r="H40" s="422">
        <f t="shared" si="7"/>
        <v>1</v>
      </c>
      <c r="I40" s="392">
        <v>50</v>
      </c>
      <c r="J40" s="184"/>
      <c r="K40" s="184"/>
      <c r="L40" s="107" t="str">
        <f t="shared" si="6"/>
        <v>-</v>
      </c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List'!$B$3:$M$300,2,FALSE)</f>
        <v>#N/A</v>
      </c>
      <c r="E41" s="420"/>
      <c r="F41" s="420"/>
      <c r="G41" s="391"/>
      <c r="H41" s="422">
        <f t="shared" si="7"/>
        <v>1</v>
      </c>
      <c r="I41" s="392">
        <v>50</v>
      </c>
      <c r="J41" s="184"/>
      <c r="K41" s="184"/>
      <c r="L41" s="107" t="str">
        <f t="shared" si="6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List'!$B$3:$M$300,2,FALSE)</f>
        <v>#N/A</v>
      </c>
      <c r="E42" s="420"/>
      <c r="F42" s="420"/>
      <c r="G42" s="391"/>
      <c r="H42" s="422">
        <f t="shared" si="7"/>
        <v>1</v>
      </c>
      <c r="I42" s="392">
        <v>50</v>
      </c>
      <c r="J42" s="184"/>
      <c r="K42" s="184"/>
      <c r="L42" s="107" t="str">
        <f t="shared" si="6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List'!$B$3:$M$300,2,FALSE)</f>
        <v>#N/A</v>
      </c>
      <c r="E43" s="420"/>
      <c r="F43" s="420"/>
      <c r="G43" s="391"/>
      <c r="H43" s="422">
        <f t="shared" si="7"/>
        <v>1</v>
      </c>
      <c r="I43" s="392">
        <v>50</v>
      </c>
      <c r="J43" s="184"/>
      <c r="K43" s="184"/>
      <c r="L43" s="107" t="str">
        <f t="shared" si="6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6"/>
        <v>-</v>
      </c>
      <c r="M44" s="108"/>
      <c r="N44" s="819"/>
      <c r="O44" s="397"/>
      <c r="P44" s="410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0</v>
      </c>
      <c r="K47" s="130">
        <f>SUM(K8:K46)</f>
        <v>0</v>
      </c>
      <c r="L47" s="130">
        <f>SUM(L8:L46)</f>
        <v>1550</v>
      </c>
      <c r="M47" s="131"/>
      <c r="N47" s="132">
        <f>SUM(N8:N46)</f>
        <v>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365"/>
      <c r="J49" s="419"/>
      <c r="K49" s="419"/>
      <c r="L49" s="419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sortState xmlns:xlrd2="http://schemas.microsoft.com/office/spreadsheetml/2017/richdata2" ref="A26:Q31">
    <sortCondition ref="A26:A31"/>
  </sortState>
  <mergeCells count="3">
    <mergeCell ref="E5:G5"/>
    <mergeCell ref="E6:G6"/>
    <mergeCell ref="J6:L6"/>
  </mergeCells>
  <phoneticPr fontId="77" type="noConversion"/>
  <dataValidations count="1">
    <dataValidation type="list" allowBlank="1" showInputMessage="1" showErrorMessage="1" sqref="E9:F23 E26:F43" xr:uid="{F941AB3E-AE2E-49CA-9112-049ABE0168D5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5CD5-8FFE-47F2-B0D8-2C46D4DC4A85}">
  <sheetPr>
    <tabColor rgb="FF00B0F0"/>
  </sheetPr>
  <dimension ref="A4:W61"/>
  <sheetViews>
    <sheetView zoomScale="110" zoomScaleNormal="110" workbookViewId="0">
      <pane ySplit="8" topLeftCell="A27" activePane="bottomLeft" state="frozen"/>
      <selection pane="bottomLeft" activeCell="N5" sqref="N5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6.5546875" style="365" bestFit="1" customWidth="1"/>
    <col min="10" max="10" width="11.6640625" style="363" customWidth="1"/>
    <col min="11" max="12" width="8.5546875" style="363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363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976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368"/>
      <c r="J5" s="367"/>
      <c r="K5" s="367"/>
      <c r="L5" s="367"/>
      <c r="M5" s="367"/>
      <c r="N5" s="372"/>
      <c r="O5" s="369"/>
      <c r="P5" s="367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51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385"/>
      <c r="J8" s="99" t="s">
        <v>468</v>
      </c>
      <c r="K8" s="99" t="s">
        <v>468</v>
      </c>
      <c r="L8" s="99"/>
      <c r="M8" s="100"/>
      <c r="N8" s="386"/>
      <c r="O8" s="386"/>
      <c r="P8" s="387"/>
      <c r="Q8" s="388"/>
    </row>
    <row r="9" spans="1:23" ht="15">
      <c r="A9" s="379"/>
      <c r="B9" s="177"/>
      <c r="C9" s="389"/>
      <c r="D9" s="390" t="e">
        <f>VLOOKUP(C9,'MASTER Name List'!$B$3:$M$300,2,FALSE)</f>
        <v>#N/A</v>
      </c>
      <c r="E9" s="420"/>
      <c r="F9" s="420"/>
      <c r="G9" s="391"/>
      <c r="H9" s="422">
        <f t="shared" ref="H9:H23" si="0">DATEDIF(E9,F9,"M")+1</f>
        <v>1</v>
      </c>
      <c r="I9" s="392">
        <v>50</v>
      </c>
      <c r="J9" s="107" t="str">
        <f>IF($C9="","-",$H9*$I9)</f>
        <v>-</v>
      </c>
      <c r="K9" s="184"/>
      <c r="L9" s="184"/>
      <c r="M9" s="108"/>
      <c r="N9" s="819"/>
      <c r="O9" s="393"/>
      <c r="P9" s="394"/>
      <c r="Q9" s="395"/>
      <c r="S9" s="396"/>
      <c r="T9" s="396"/>
    </row>
    <row r="10" spans="1:23" ht="15">
      <c r="A10" s="379"/>
      <c r="B10" s="177"/>
      <c r="C10" s="389"/>
      <c r="D10" s="390" t="e">
        <f>VLOOKUP(C10,'MASTER Name List'!$B$3:$M$300,2,FALSE)</f>
        <v>#N/A</v>
      </c>
      <c r="E10" s="420"/>
      <c r="F10" s="420"/>
      <c r="G10" s="391"/>
      <c r="H10" s="422">
        <f t="shared" si="0"/>
        <v>1</v>
      </c>
      <c r="I10" s="392">
        <v>50</v>
      </c>
      <c r="J10" s="107" t="str">
        <f t="shared" ref="J10:J23" si="1">IF($C10="","-",$H10*$I10)</f>
        <v>-</v>
      </c>
      <c r="K10" s="184"/>
      <c r="L10" s="184"/>
      <c r="M10" s="108"/>
      <c r="N10" s="819"/>
      <c r="O10" s="397"/>
      <c r="P10" s="398"/>
      <c r="Q10" s="399"/>
      <c r="S10" s="396"/>
      <c r="T10" s="396"/>
      <c r="W10" s="240">
        <v>45536</v>
      </c>
    </row>
    <row r="11" spans="1:23" ht="15">
      <c r="A11" s="379"/>
      <c r="B11" s="177"/>
      <c r="C11" s="389"/>
      <c r="D11" s="390" t="e">
        <f>VLOOKUP(C11,'MASTER Name List'!$B$3:$M$300,2,FALSE)</f>
        <v>#N/A</v>
      </c>
      <c r="E11" s="420"/>
      <c r="F11" s="420"/>
      <c r="G11" s="391"/>
      <c r="H11" s="422">
        <f t="shared" si="0"/>
        <v>1</v>
      </c>
      <c r="I11" s="392">
        <v>50</v>
      </c>
      <c r="J11" s="107" t="str">
        <f t="shared" si="1"/>
        <v>-</v>
      </c>
      <c r="K11" s="184"/>
      <c r="L11" s="184"/>
      <c r="M11" s="108"/>
      <c r="O11" s="397"/>
      <c r="Q11" s="399"/>
      <c r="S11" s="396"/>
      <c r="T11" s="396"/>
      <c r="W11" s="240">
        <v>45566</v>
      </c>
    </row>
    <row r="12" spans="1:23" ht="15">
      <c r="A12" s="379"/>
      <c r="B12" s="177"/>
      <c r="C12" s="389"/>
      <c r="D12" s="390" t="e">
        <f>VLOOKUP(C12,'MASTER Name List'!$B$3:$M$300,2,FALSE)</f>
        <v>#N/A</v>
      </c>
      <c r="E12" s="420"/>
      <c r="F12" s="420"/>
      <c r="G12" s="391"/>
      <c r="H12" s="422">
        <f t="shared" si="0"/>
        <v>1</v>
      </c>
      <c r="I12" s="392">
        <v>50</v>
      </c>
      <c r="J12" s="107" t="str">
        <f t="shared" si="1"/>
        <v>-</v>
      </c>
      <c r="K12" s="184"/>
      <c r="L12" s="184"/>
      <c r="M12" s="108"/>
      <c r="N12" s="819">
        <f>SUMIF(M:M,"1",J:J)</f>
        <v>0</v>
      </c>
      <c r="O12" s="397"/>
      <c r="Q12" s="399"/>
      <c r="S12" s="396"/>
      <c r="T12" s="396"/>
      <c r="W12" s="240">
        <v>45597</v>
      </c>
    </row>
    <row r="13" spans="1:23" ht="15">
      <c r="A13" s="379"/>
      <c r="B13" s="177"/>
      <c r="C13" s="389"/>
      <c r="D13" s="390" t="e">
        <f>VLOOKUP(C13,'MASTER Name List'!$B$3:$M$300,2,FALSE)</f>
        <v>#N/A</v>
      </c>
      <c r="E13" s="420"/>
      <c r="F13" s="420"/>
      <c r="G13" s="391"/>
      <c r="H13" s="422">
        <f t="shared" si="0"/>
        <v>1</v>
      </c>
      <c r="I13" s="392">
        <v>50</v>
      </c>
      <c r="J13" s="107" t="str">
        <f t="shared" si="1"/>
        <v>-</v>
      </c>
      <c r="K13" s="184"/>
      <c r="L13" s="184"/>
      <c r="M13" s="108"/>
      <c r="N13" s="819"/>
      <c r="O13" s="397"/>
      <c r="Q13" s="399"/>
      <c r="S13" s="396"/>
      <c r="T13" s="396"/>
      <c r="W13" s="240">
        <v>45627</v>
      </c>
    </row>
    <row r="14" spans="1:23" ht="15">
      <c r="A14" s="379"/>
      <c r="B14" s="177"/>
      <c r="C14" s="389"/>
      <c r="D14" s="390" t="e">
        <f>VLOOKUP(C14,'MASTER Name List'!$B$3:$M$300,2,FALSE)</f>
        <v>#N/A</v>
      </c>
      <c r="E14" s="420"/>
      <c r="F14" s="420"/>
      <c r="G14" s="391"/>
      <c r="H14" s="422">
        <f t="shared" si="0"/>
        <v>1</v>
      </c>
      <c r="I14" s="392">
        <v>50</v>
      </c>
      <c r="J14" s="107" t="str">
        <f t="shared" si="1"/>
        <v>-</v>
      </c>
      <c r="K14" s="184"/>
      <c r="L14" s="184"/>
      <c r="M14" s="108"/>
      <c r="N14" s="819"/>
      <c r="O14" s="397"/>
      <c r="Q14" s="399"/>
      <c r="S14" s="396"/>
      <c r="T14" s="396"/>
      <c r="W14" s="400">
        <v>45658</v>
      </c>
    </row>
    <row r="15" spans="1:23" ht="15">
      <c r="A15" s="379"/>
      <c r="B15" s="177"/>
      <c r="C15" s="389"/>
      <c r="D15" s="390" t="e">
        <f>VLOOKUP(C15,'MASTER Name List'!$B$3:$M$300,2,FALSE)</f>
        <v>#N/A</v>
      </c>
      <c r="E15" s="420"/>
      <c r="F15" s="420"/>
      <c r="G15" s="391"/>
      <c r="H15" s="422">
        <f t="shared" si="0"/>
        <v>1</v>
      </c>
      <c r="I15" s="392">
        <v>50</v>
      </c>
      <c r="J15" s="107" t="str">
        <f t="shared" si="1"/>
        <v>-</v>
      </c>
      <c r="K15" s="184"/>
      <c r="L15" s="184"/>
      <c r="M15" s="108"/>
      <c r="N15" s="819"/>
      <c r="O15" s="397"/>
      <c r="Q15" s="399"/>
      <c r="S15" s="396"/>
      <c r="T15" s="396"/>
      <c r="W15" s="400">
        <v>45689</v>
      </c>
    </row>
    <row r="16" spans="1:23" ht="15">
      <c r="A16" s="379"/>
      <c r="B16" s="177"/>
      <c r="C16" s="389"/>
      <c r="D16" s="390" t="e">
        <f>VLOOKUP(C16,'MASTER Name List'!$B$3:$M$300,2,FALSE)</f>
        <v>#N/A</v>
      </c>
      <c r="E16" s="420"/>
      <c r="F16" s="420"/>
      <c r="G16" s="391"/>
      <c r="H16" s="422">
        <f t="shared" si="0"/>
        <v>1</v>
      </c>
      <c r="I16" s="392">
        <v>50</v>
      </c>
      <c r="J16" s="107" t="str">
        <f t="shared" si="1"/>
        <v>-</v>
      </c>
      <c r="K16" s="184"/>
      <c r="L16" s="184"/>
      <c r="M16" s="108"/>
      <c r="N16" s="819"/>
      <c r="O16" s="397"/>
      <c r="Q16" s="399"/>
      <c r="S16" s="396"/>
      <c r="T16" s="396"/>
      <c r="W16" s="400">
        <v>45717</v>
      </c>
    </row>
    <row r="17" spans="1:23" ht="15">
      <c r="A17" s="379"/>
      <c r="B17" s="177"/>
      <c r="C17" s="389"/>
      <c r="D17" s="390" t="e">
        <f>VLOOKUP(C17,'MASTER Name List'!$B$3:$M$300,2,FALSE)</f>
        <v>#N/A</v>
      </c>
      <c r="E17" s="420"/>
      <c r="F17" s="420"/>
      <c r="G17" s="391"/>
      <c r="H17" s="422">
        <f t="shared" si="0"/>
        <v>1</v>
      </c>
      <c r="I17" s="392">
        <v>50</v>
      </c>
      <c r="J17" s="107" t="str">
        <f t="shared" si="1"/>
        <v>-</v>
      </c>
      <c r="K17" s="184"/>
      <c r="L17" s="184"/>
      <c r="M17" s="108"/>
      <c r="N17" s="819"/>
      <c r="O17" s="397"/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List'!$B$3:$M$300,2,FALSE)</f>
        <v>#N/A</v>
      </c>
      <c r="E18" s="420"/>
      <c r="F18" s="420"/>
      <c r="G18" s="391"/>
      <c r="H18" s="422">
        <f t="shared" si="0"/>
        <v>1</v>
      </c>
      <c r="I18" s="392">
        <v>50</v>
      </c>
      <c r="J18" s="107" t="str">
        <f t="shared" si="1"/>
        <v>-</v>
      </c>
      <c r="K18" s="184"/>
      <c r="L18" s="184"/>
      <c r="M18" s="108"/>
      <c r="N18" s="819"/>
      <c r="O18" s="397"/>
      <c r="P18" s="398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List'!$B$3:$M$300,2,FALSE)</f>
        <v>#N/A</v>
      </c>
      <c r="E19" s="420"/>
      <c r="F19" s="420"/>
      <c r="G19" s="401"/>
      <c r="H19" s="422">
        <f t="shared" si="0"/>
        <v>1</v>
      </c>
      <c r="I19" s="392">
        <v>50</v>
      </c>
      <c r="J19" s="107" t="str">
        <f t="shared" si="1"/>
        <v>-</v>
      </c>
      <c r="K19" s="184"/>
      <c r="L19" s="184"/>
      <c r="M19" s="108"/>
      <c r="N19" s="819"/>
      <c r="O19" s="397"/>
      <c r="P19" s="398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List'!$B$3:$M$300,2,FALSE)</f>
        <v>#N/A</v>
      </c>
      <c r="E20" s="420"/>
      <c r="F20" s="420"/>
      <c r="G20" s="401"/>
      <c r="H20" s="422">
        <f t="shared" si="0"/>
        <v>1</v>
      </c>
      <c r="I20" s="392">
        <v>50</v>
      </c>
      <c r="J20" s="107" t="str">
        <f t="shared" si="1"/>
        <v>-</v>
      </c>
      <c r="K20" s="184"/>
      <c r="L20" s="184"/>
      <c r="M20" s="108"/>
      <c r="N20" s="819"/>
      <c r="O20" s="397"/>
      <c r="P20" s="398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List'!$B$3:$M$300,2,FALSE)</f>
        <v>#N/A</v>
      </c>
      <c r="E21" s="420"/>
      <c r="F21" s="420"/>
      <c r="G21" s="401"/>
      <c r="H21" s="422">
        <f t="shared" si="0"/>
        <v>1</v>
      </c>
      <c r="I21" s="392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398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List'!$B$3:$M$300,2,FALSE)</f>
        <v>#N/A</v>
      </c>
      <c r="E22" s="420"/>
      <c r="F22" s="420"/>
      <c r="G22" s="401"/>
      <c r="H22" s="422">
        <f t="shared" si="0"/>
        <v>1</v>
      </c>
      <c r="I22" s="392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398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List'!$B$3:$M$300,2,FALSE)</f>
        <v>#N/A</v>
      </c>
      <c r="E23" s="420"/>
      <c r="F23" s="420"/>
      <c r="G23" s="402"/>
      <c r="H23" s="422">
        <f t="shared" si="0"/>
        <v>1</v>
      </c>
      <c r="I23" s="392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394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404"/>
      <c r="J24" s="107"/>
      <c r="K24" s="107"/>
      <c r="L24" s="107"/>
      <c r="M24" s="108"/>
      <c r="N24" s="819"/>
      <c r="O24" s="397"/>
      <c r="P24" s="394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392"/>
      <c r="J25" s="107"/>
      <c r="K25" s="107"/>
      <c r="L25" s="107"/>
      <c r="M25" s="108"/>
      <c r="N25" s="819"/>
      <c r="O25" s="397"/>
      <c r="P25" s="394"/>
      <c r="Q25" s="399"/>
      <c r="S25" s="396"/>
      <c r="T25" s="396"/>
      <c r="W25" s="400">
        <v>45992</v>
      </c>
    </row>
    <row r="26" spans="1:23" ht="15">
      <c r="A26" s="379"/>
      <c r="B26" s="407"/>
      <c r="C26" s="389"/>
      <c r="D26" s="390" t="e">
        <f>VLOOKUP(C26,'MASTER Name List'!$B$3:$M$300,2,FALSE)</f>
        <v>#N/A</v>
      </c>
      <c r="E26" s="420"/>
      <c r="F26" s="420"/>
      <c r="G26" s="391"/>
      <c r="H26" s="422">
        <f t="shared" ref="H26:H43" si="2">DATEDIF(E26,F26,"M")+1</f>
        <v>1</v>
      </c>
      <c r="I26" s="392">
        <v>50</v>
      </c>
      <c r="J26" s="184"/>
      <c r="K26" s="184"/>
      <c r="L26" s="107" t="str">
        <f>IF($C26="","-",$H26*$I26)</f>
        <v>-</v>
      </c>
      <c r="M26" s="108"/>
      <c r="N26" s="819"/>
      <c r="O26" s="397"/>
      <c r="P26" s="394"/>
      <c r="Q26" s="399"/>
      <c r="S26" s="396"/>
      <c r="T26" s="396"/>
      <c r="W26" s="400">
        <v>46023</v>
      </c>
    </row>
    <row r="27" spans="1:23" ht="15">
      <c r="A27" s="379"/>
      <c r="B27" s="407"/>
      <c r="C27" s="389"/>
      <c r="D27" s="390" t="e">
        <f>VLOOKUP(C27,'MASTER Name List'!$B$3:$M$300,2,FALSE)</f>
        <v>#N/A</v>
      </c>
      <c r="E27" s="420"/>
      <c r="F27" s="420"/>
      <c r="G27" s="391"/>
      <c r="H27" s="422">
        <f t="shared" si="2"/>
        <v>1</v>
      </c>
      <c r="I27" s="392">
        <v>50</v>
      </c>
      <c r="J27" s="184"/>
      <c r="K27" s="184"/>
      <c r="L27" s="107" t="str">
        <f t="shared" ref="L27:L44" si="3">IF($C27="","-",$H27*$I27)</f>
        <v>-</v>
      </c>
      <c r="M27" s="108"/>
      <c r="N27" s="819"/>
      <c r="O27" s="397"/>
      <c r="P27" s="394"/>
      <c r="Q27" s="399"/>
      <c r="S27" s="396"/>
      <c r="T27" s="396"/>
      <c r="W27" s="400">
        <v>46054</v>
      </c>
    </row>
    <row r="28" spans="1:23" ht="15">
      <c r="A28" s="379"/>
      <c r="B28" s="407"/>
      <c r="C28" s="389"/>
      <c r="D28" s="390" t="e">
        <f>VLOOKUP(C28,'MASTER Name List'!$B$3:$M$300,2,FALSE)</f>
        <v>#N/A</v>
      </c>
      <c r="E28" s="420"/>
      <c r="F28" s="420"/>
      <c r="G28" s="391"/>
      <c r="H28" s="422">
        <f t="shared" si="2"/>
        <v>1</v>
      </c>
      <c r="I28" s="392">
        <v>50</v>
      </c>
      <c r="J28" s="184"/>
      <c r="K28" s="184"/>
      <c r="L28" s="107" t="str">
        <f t="shared" si="3"/>
        <v>-</v>
      </c>
      <c r="M28" s="108"/>
      <c r="N28" s="819"/>
      <c r="O28" s="397"/>
      <c r="Q28" s="399"/>
      <c r="S28" s="396"/>
      <c r="T28" s="396"/>
      <c r="W28" s="400">
        <v>46082</v>
      </c>
    </row>
    <row r="29" spans="1:23" ht="15">
      <c r="A29" s="379"/>
      <c r="B29" s="407"/>
      <c r="C29" s="389"/>
      <c r="D29" s="390" t="e">
        <f>VLOOKUP(C29,'MASTER Name List'!$B$3:$M$300,2,FALSE)</f>
        <v>#N/A</v>
      </c>
      <c r="E29" s="420"/>
      <c r="F29" s="420"/>
      <c r="G29" s="391"/>
      <c r="H29" s="422">
        <f t="shared" si="2"/>
        <v>1</v>
      </c>
      <c r="I29" s="392">
        <v>50</v>
      </c>
      <c r="J29" s="184"/>
      <c r="K29" s="184"/>
      <c r="L29" s="107" t="str">
        <f t="shared" si="3"/>
        <v>-</v>
      </c>
      <c r="M29" s="108"/>
      <c r="N29" s="819"/>
      <c r="O29" s="408"/>
      <c r="P29" s="394"/>
      <c r="Q29" s="399"/>
      <c r="S29" s="396"/>
      <c r="T29" s="396"/>
      <c r="W29" s="400">
        <v>46113</v>
      </c>
    </row>
    <row r="30" spans="1:23" ht="15">
      <c r="A30" s="379"/>
      <c r="B30" s="407"/>
      <c r="C30" s="389"/>
      <c r="D30" s="390" t="e">
        <f>VLOOKUP(C30,'MASTER Name List'!$B$3:$M$300,2,FALSE)</f>
        <v>#N/A</v>
      </c>
      <c r="E30" s="420"/>
      <c r="F30" s="420"/>
      <c r="G30" s="391"/>
      <c r="H30" s="422">
        <f t="shared" si="2"/>
        <v>1</v>
      </c>
      <c r="I30" s="392">
        <v>50</v>
      </c>
      <c r="J30" s="184"/>
      <c r="K30" s="184"/>
      <c r="L30" s="107" t="str">
        <f t="shared" si="3"/>
        <v>-</v>
      </c>
      <c r="M30" s="108"/>
      <c r="N30" s="819"/>
      <c r="O30" s="397"/>
      <c r="P30" s="394"/>
      <c r="Q30" s="399"/>
      <c r="S30" s="396"/>
      <c r="T30" s="396"/>
      <c r="W30" s="400">
        <v>46143</v>
      </c>
    </row>
    <row r="31" spans="1:23" ht="15">
      <c r="A31" s="379"/>
      <c r="B31" s="407"/>
      <c r="C31" s="389"/>
      <c r="D31" s="390" t="e">
        <f>VLOOKUP(C31,'MASTER Name List'!$B$3:$M$300,2,FALSE)</f>
        <v>#N/A</v>
      </c>
      <c r="E31" s="420"/>
      <c r="F31" s="420"/>
      <c r="G31" s="391"/>
      <c r="H31" s="422">
        <f t="shared" si="2"/>
        <v>1</v>
      </c>
      <c r="I31" s="392">
        <v>50</v>
      </c>
      <c r="J31" s="184"/>
      <c r="K31" s="184"/>
      <c r="L31" s="107" t="str">
        <f t="shared" si="3"/>
        <v>-</v>
      </c>
      <c r="M31" s="108"/>
      <c r="N31" s="819"/>
      <c r="O31" s="397"/>
      <c r="P31" s="394"/>
      <c r="Q31" s="399"/>
      <c r="S31" s="396"/>
      <c r="T31" s="396"/>
      <c r="W31" s="400">
        <v>46174</v>
      </c>
    </row>
    <row r="32" spans="1:23" ht="15">
      <c r="A32" s="379"/>
      <c r="B32" s="407"/>
      <c r="C32" s="389"/>
      <c r="D32" s="390" t="e">
        <f>VLOOKUP(C32,'MASTER Name List'!$B$3:$M$300,2,FALSE)</f>
        <v>#N/A</v>
      </c>
      <c r="E32" s="420"/>
      <c r="F32" s="420"/>
      <c r="G32" s="391"/>
      <c r="H32" s="422">
        <f t="shared" si="2"/>
        <v>1</v>
      </c>
      <c r="I32" s="392">
        <v>50</v>
      </c>
      <c r="J32" s="184"/>
      <c r="K32" s="184"/>
      <c r="L32" s="107" t="str">
        <f t="shared" si="3"/>
        <v>-</v>
      </c>
      <c r="M32" s="108"/>
      <c r="N32" s="819"/>
      <c r="O32" s="397"/>
      <c r="P32" s="394"/>
      <c r="Q32" s="399"/>
      <c r="S32" s="396"/>
      <c r="T32" s="396"/>
      <c r="W32" s="400">
        <v>46204</v>
      </c>
    </row>
    <row r="33" spans="1:23" ht="15">
      <c r="A33" s="379"/>
      <c r="B33" s="407"/>
      <c r="C33" s="389"/>
      <c r="D33" s="390" t="e">
        <f>VLOOKUP(C33,'MASTER Name List'!$B$3:$M$300,2,FALSE)</f>
        <v>#N/A</v>
      </c>
      <c r="E33" s="420"/>
      <c r="F33" s="420"/>
      <c r="G33" s="391"/>
      <c r="H33" s="422">
        <f t="shared" si="2"/>
        <v>1</v>
      </c>
      <c r="I33" s="392">
        <v>50</v>
      </c>
      <c r="J33" s="184"/>
      <c r="K33" s="184"/>
      <c r="L33" s="107" t="str">
        <f t="shared" si="3"/>
        <v>-</v>
      </c>
      <c r="M33" s="108"/>
      <c r="N33" s="819"/>
      <c r="O33" s="397"/>
      <c r="Q33" s="399"/>
      <c r="S33" s="396"/>
      <c r="T33" s="396"/>
      <c r="W33" s="400">
        <v>46235</v>
      </c>
    </row>
    <row r="34" spans="1:23" ht="15">
      <c r="A34" s="379"/>
      <c r="B34" s="407"/>
      <c r="C34" s="389"/>
      <c r="D34" s="390" t="e">
        <f>VLOOKUP(C34,'MASTER Name List'!$B$3:$M$300,2,FALSE)</f>
        <v>#N/A</v>
      </c>
      <c r="E34" s="420"/>
      <c r="F34" s="420"/>
      <c r="G34" s="391"/>
      <c r="H34" s="422">
        <f t="shared" si="2"/>
        <v>1</v>
      </c>
      <c r="I34" s="392">
        <v>50</v>
      </c>
      <c r="J34" s="184"/>
      <c r="K34" s="184"/>
      <c r="L34" s="107" t="str">
        <f t="shared" si="3"/>
        <v>-</v>
      </c>
      <c r="M34" s="108"/>
      <c r="N34" s="819"/>
      <c r="O34" s="397"/>
      <c r="P34" s="397"/>
      <c r="Q34" s="409"/>
      <c r="S34" s="396"/>
      <c r="T34" s="396"/>
      <c r="W34" s="400">
        <v>46266</v>
      </c>
    </row>
    <row r="35" spans="1:23" ht="15">
      <c r="A35" s="379"/>
      <c r="B35" s="407"/>
      <c r="C35" s="389"/>
      <c r="D35" s="390" t="e">
        <f>VLOOKUP(C35,'MASTER Name List'!$B$3:$M$300,2,FALSE)</f>
        <v>#N/A</v>
      </c>
      <c r="E35" s="420"/>
      <c r="F35" s="420"/>
      <c r="G35" s="391"/>
      <c r="H35" s="422">
        <f t="shared" si="2"/>
        <v>1</v>
      </c>
      <c r="I35" s="392">
        <v>50</v>
      </c>
      <c r="J35" s="184"/>
      <c r="K35" s="184"/>
      <c r="L35" s="107" t="str">
        <f t="shared" si="3"/>
        <v>-</v>
      </c>
      <c r="M35" s="108"/>
      <c r="N35" s="819"/>
      <c r="O35" s="397"/>
      <c r="P35" s="394"/>
      <c r="Q35" s="409"/>
      <c r="S35" s="396"/>
      <c r="T35" s="396"/>
      <c r="W35" s="400">
        <v>46296</v>
      </c>
    </row>
    <row r="36" spans="1:23" ht="15">
      <c r="A36" s="379"/>
      <c r="B36" s="407"/>
      <c r="C36" s="389"/>
      <c r="D36" s="390" t="e">
        <f>VLOOKUP(C36,'MASTER Name List'!$B$3:$M$300,2,FALSE)</f>
        <v>#N/A</v>
      </c>
      <c r="E36" s="420"/>
      <c r="F36" s="420"/>
      <c r="G36" s="391"/>
      <c r="H36" s="422">
        <f t="shared" si="2"/>
        <v>1</v>
      </c>
      <c r="I36" s="392">
        <v>50</v>
      </c>
      <c r="J36" s="184"/>
      <c r="K36" s="184"/>
      <c r="L36" s="107" t="str">
        <f t="shared" si="3"/>
        <v>-</v>
      </c>
      <c r="M36" s="108"/>
      <c r="N36" s="819"/>
      <c r="O36" s="397"/>
      <c r="P36" s="394"/>
      <c r="Q36" s="409"/>
      <c r="S36" s="396"/>
      <c r="T36" s="396"/>
      <c r="W36" s="400">
        <v>46327</v>
      </c>
    </row>
    <row r="37" spans="1:23" ht="15">
      <c r="A37" s="379"/>
      <c r="B37" s="407"/>
      <c r="C37" s="389"/>
      <c r="D37" s="390" t="e">
        <f>VLOOKUP(C37,'MASTER Name List'!$B$3:$M$300,2,FALSE)</f>
        <v>#N/A</v>
      </c>
      <c r="E37" s="420"/>
      <c r="F37" s="420"/>
      <c r="G37" s="391"/>
      <c r="H37" s="422">
        <f t="shared" si="2"/>
        <v>1</v>
      </c>
      <c r="I37" s="392">
        <v>50</v>
      </c>
      <c r="J37" s="184"/>
      <c r="K37" s="184"/>
      <c r="L37" s="107" t="str">
        <f t="shared" si="3"/>
        <v>-</v>
      </c>
      <c r="M37" s="108"/>
      <c r="N37" s="819"/>
      <c r="O37" s="397"/>
      <c r="P37" s="394"/>
      <c r="Q37" s="409"/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List'!$B$3:$M$300,2,FALSE)</f>
        <v>#N/A</v>
      </c>
      <c r="E38" s="420"/>
      <c r="F38" s="420"/>
      <c r="G38" s="391"/>
      <c r="H38" s="422">
        <f t="shared" si="2"/>
        <v>1</v>
      </c>
      <c r="I38" s="392">
        <v>50</v>
      </c>
      <c r="J38" s="184"/>
      <c r="K38" s="184"/>
      <c r="L38" s="107" t="str">
        <f t="shared" si="3"/>
        <v>-</v>
      </c>
      <c r="M38" s="108"/>
      <c r="N38" s="819"/>
      <c r="O38" s="397"/>
      <c r="P38" s="394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List'!$B$3:$M$300,2,FALSE)</f>
        <v>#N/A</v>
      </c>
      <c r="E39" s="420"/>
      <c r="F39" s="420"/>
      <c r="G39" s="391"/>
      <c r="H39" s="422">
        <f t="shared" si="2"/>
        <v>1</v>
      </c>
      <c r="I39" s="392">
        <v>50</v>
      </c>
      <c r="J39" s="184"/>
      <c r="K39" s="184"/>
      <c r="L39" s="107" t="str">
        <f t="shared" si="3"/>
        <v>-</v>
      </c>
      <c r="M39" s="108"/>
      <c r="N39" s="819"/>
      <c r="O39" s="397"/>
      <c r="P39" s="394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List'!$B$3:$M$300,2,FALSE)</f>
        <v>#N/A</v>
      </c>
      <c r="E40" s="420"/>
      <c r="F40" s="420"/>
      <c r="G40" s="391"/>
      <c r="H40" s="422">
        <f t="shared" si="2"/>
        <v>1</v>
      </c>
      <c r="I40" s="392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394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List'!$B$3:$M$300,2,FALSE)</f>
        <v>#N/A</v>
      </c>
      <c r="E41" s="420"/>
      <c r="F41" s="420"/>
      <c r="G41" s="391"/>
      <c r="H41" s="422">
        <f t="shared" si="2"/>
        <v>1</v>
      </c>
      <c r="I41" s="392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394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List'!$B$3:$M$300,2,FALSE)</f>
        <v>#N/A</v>
      </c>
      <c r="E42" s="420"/>
      <c r="F42" s="420"/>
      <c r="G42" s="391"/>
      <c r="H42" s="422">
        <f t="shared" si="2"/>
        <v>1</v>
      </c>
      <c r="I42" s="392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394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List'!$B$3:$M$300,2,FALSE)</f>
        <v>#N/A</v>
      </c>
      <c r="E43" s="420"/>
      <c r="F43" s="420"/>
      <c r="G43" s="391"/>
      <c r="H43" s="422">
        <f t="shared" si="2"/>
        <v>1</v>
      </c>
      <c r="I43" s="392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394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404"/>
      <c r="J44" s="184"/>
      <c r="K44" s="184"/>
      <c r="L44" s="107" t="str">
        <f t="shared" si="3"/>
        <v>-</v>
      </c>
      <c r="M44" s="108"/>
      <c r="N44" s="819"/>
      <c r="O44" s="397"/>
      <c r="P44" s="410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416"/>
      <c r="J45" s="124"/>
      <c r="K45" s="124"/>
      <c r="L45" s="124"/>
      <c r="M45" s="125"/>
      <c r="N45" s="417"/>
      <c r="O45" s="417"/>
      <c r="P45" s="417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0</v>
      </c>
      <c r="K47" s="130">
        <f>SUM(K8:K46)</f>
        <v>0</v>
      </c>
      <c r="L47" s="130">
        <f>SUM(L8:L46)</f>
        <v>0</v>
      </c>
      <c r="M47" s="131"/>
      <c r="N47" s="132">
        <f>SUM(N8:N46)</f>
        <v>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365"/>
      <c r="J49" s="419"/>
      <c r="K49" s="419"/>
      <c r="L49" s="419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mergeCells count="3">
    <mergeCell ref="E5:G5"/>
    <mergeCell ref="E6:G6"/>
    <mergeCell ref="J6:L6"/>
  </mergeCells>
  <phoneticPr fontId="77" type="noConversion"/>
  <dataValidations count="1">
    <dataValidation type="list" allowBlank="1" showInputMessage="1" showErrorMessage="1" sqref="E9:F23 E26:F43" xr:uid="{92657EAE-E3AF-41EB-8A9A-59A5DADCFE86}">
      <formula1>$W$10:$W$90</formula1>
    </dataValidation>
  </dataValidation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F9A5-8174-4355-B6A1-754D0DD239EE}">
  <sheetPr>
    <tabColor rgb="FF00B0F0"/>
  </sheetPr>
  <dimension ref="A4:W61"/>
  <sheetViews>
    <sheetView tabSelected="1" zoomScale="110" zoomScaleNormal="110" workbookViewId="0">
      <pane ySplit="8" topLeftCell="A15" activePane="bottomLeft" state="frozen"/>
      <selection pane="bottomLeft" activeCell="O15" sqref="O15"/>
    </sheetView>
  </sheetViews>
  <sheetFormatPr defaultColWidth="9.33203125" defaultRowHeight="14.4"/>
  <cols>
    <col min="1" max="1" width="12" style="363" customWidth="1"/>
    <col min="2" max="2" width="14.6640625" style="363" customWidth="1"/>
    <col min="3" max="3" width="10.33203125" style="363" customWidth="1"/>
    <col min="4" max="4" width="16" style="363" customWidth="1"/>
    <col min="5" max="5" width="11.88671875" style="363" bestFit="1" customWidth="1"/>
    <col min="6" max="6" width="10.33203125" style="363" bestFit="1" customWidth="1"/>
    <col min="7" max="7" width="13" style="364" customWidth="1"/>
    <col min="8" max="8" width="6.33203125" style="363" bestFit="1" customWidth="1"/>
    <col min="9" max="9" width="9.77734375" style="911" customWidth="1"/>
    <col min="10" max="10" width="11.6640625" style="363" customWidth="1"/>
    <col min="11" max="12" width="8.5546875" style="363" customWidth="1"/>
    <col min="13" max="13" width="5.5546875" style="363" bestFit="1" customWidth="1"/>
    <col min="14" max="14" width="17.6640625" style="363" customWidth="1"/>
    <col min="15" max="15" width="14.33203125" style="363" customWidth="1"/>
    <col min="16" max="16" width="12.5546875" style="917" customWidth="1"/>
    <col min="17" max="17" width="9.33203125" style="366"/>
    <col min="18" max="19" width="9.33203125" style="367"/>
    <col min="20" max="20" width="10.6640625" style="367" customWidth="1"/>
    <col min="21" max="16384" width="9.33203125" style="367"/>
  </cols>
  <sheetData>
    <row r="4" spans="1:23" ht="15">
      <c r="N4" s="58" t="s">
        <v>1824</v>
      </c>
    </row>
    <row r="5" spans="1:23" ht="16.2">
      <c r="A5" s="4" t="s">
        <v>0</v>
      </c>
      <c r="B5" s="367"/>
      <c r="C5" s="367"/>
      <c r="D5" s="367"/>
      <c r="E5" s="895" t="s">
        <v>2</v>
      </c>
      <c r="F5" s="895"/>
      <c r="G5" s="895"/>
      <c r="H5" s="367"/>
      <c r="I5" s="912"/>
      <c r="J5" s="367"/>
      <c r="K5" s="367"/>
      <c r="L5" s="367"/>
      <c r="M5" s="367"/>
      <c r="N5" s="372"/>
      <c r="O5" s="369"/>
      <c r="P5" s="918"/>
    </row>
    <row r="6" spans="1:23" ht="30" customHeight="1">
      <c r="E6" s="895" t="s">
        <v>4</v>
      </c>
      <c r="F6" s="895"/>
      <c r="G6" s="895"/>
      <c r="J6" s="896" t="s">
        <v>5</v>
      </c>
      <c r="K6" s="897"/>
      <c r="L6" s="898"/>
      <c r="M6" s="370"/>
      <c r="N6" s="371" t="s">
        <v>444</v>
      </c>
      <c r="O6" s="372"/>
    </row>
    <row r="7" spans="1:23" ht="60" customHeight="1">
      <c r="A7" s="373" t="s">
        <v>445</v>
      </c>
      <c r="B7" s="373" t="s">
        <v>446</v>
      </c>
      <c r="C7" s="373" t="s">
        <v>447</v>
      </c>
      <c r="D7" s="373" t="s">
        <v>448</v>
      </c>
      <c r="E7" s="5" t="s">
        <v>10</v>
      </c>
      <c r="F7" s="6" t="s">
        <v>11</v>
      </c>
      <c r="G7" s="6" t="s">
        <v>12</v>
      </c>
      <c r="H7" s="374" t="s">
        <v>449</v>
      </c>
      <c r="I7" s="375" t="s">
        <v>450</v>
      </c>
      <c r="J7" s="376" t="s">
        <v>463</v>
      </c>
      <c r="K7" s="376" t="s">
        <v>464</v>
      </c>
      <c r="L7" s="426" t="s">
        <v>15</v>
      </c>
      <c r="M7" s="373" t="s">
        <v>465</v>
      </c>
      <c r="N7" s="373" t="s">
        <v>466</v>
      </c>
      <c r="O7" s="373" t="s">
        <v>467</v>
      </c>
      <c r="P7" s="373" t="s">
        <v>18</v>
      </c>
      <c r="Q7" s="378"/>
      <c r="T7" s="363"/>
    </row>
    <row r="8" spans="1:23" ht="15">
      <c r="A8" s="379"/>
      <c r="B8" s="380"/>
      <c r="C8" s="381"/>
      <c r="D8" s="382"/>
      <c r="E8" s="382"/>
      <c r="F8" s="382"/>
      <c r="G8" s="383"/>
      <c r="H8" s="384"/>
      <c r="I8" s="913"/>
      <c r="J8" s="99" t="s">
        <v>468</v>
      </c>
      <c r="K8" s="99" t="s">
        <v>468</v>
      </c>
      <c r="L8" s="99"/>
      <c r="M8" s="100"/>
      <c r="N8" s="386"/>
      <c r="O8" s="386"/>
      <c r="P8" s="919"/>
      <c r="Q8" s="388"/>
    </row>
    <row r="9" spans="1:23" ht="15">
      <c r="A9" s="379"/>
      <c r="B9" s="177"/>
      <c r="C9" s="389"/>
      <c r="D9" s="390" t="e">
        <f>VLOOKUP(C9,'MASTER Name List'!$B$3:$M$300,2,FALSE)</f>
        <v>#N/A</v>
      </c>
      <c r="E9" s="420"/>
      <c r="F9" s="420"/>
      <c r="G9" s="391"/>
      <c r="H9" s="422">
        <f t="shared" ref="H9:H23" si="0">DATEDIF(E9,F9,"M")+1</f>
        <v>1</v>
      </c>
      <c r="I9" s="914">
        <v>50</v>
      </c>
      <c r="J9" s="107" t="str">
        <f>IF($C9="","-",$H9*$I9)</f>
        <v>-</v>
      </c>
      <c r="K9" s="184"/>
      <c r="L9" s="184"/>
      <c r="M9" s="108"/>
      <c r="N9" s="819"/>
      <c r="O9" s="393"/>
      <c r="P9" s="920"/>
      <c r="Q9" s="395"/>
      <c r="S9" s="396"/>
      <c r="T9" s="396"/>
    </row>
    <row r="10" spans="1:23" ht="15">
      <c r="A10" s="379"/>
      <c r="B10" s="177"/>
      <c r="C10" s="389"/>
      <c r="D10" s="390" t="e">
        <f>VLOOKUP(C10,'MASTER Name List'!$B$3:$M$300,2,FALSE)</f>
        <v>#N/A</v>
      </c>
      <c r="E10" s="420"/>
      <c r="F10" s="420"/>
      <c r="G10" s="391"/>
      <c r="H10" s="422">
        <f t="shared" si="0"/>
        <v>1</v>
      </c>
      <c r="I10" s="914">
        <v>50</v>
      </c>
      <c r="J10" s="107" t="str">
        <f t="shared" ref="J10:J23" si="1">IF($C10="","-",$H10*$I10)</f>
        <v>-</v>
      </c>
      <c r="K10" s="184"/>
      <c r="L10" s="184"/>
      <c r="M10" s="108"/>
      <c r="N10" s="398"/>
      <c r="O10" s="397"/>
      <c r="P10" s="921"/>
      <c r="Q10" s="399"/>
      <c r="S10" s="396"/>
      <c r="T10" s="396"/>
      <c r="W10" s="240">
        <v>45536</v>
      </c>
    </row>
    <row r="11" spans="1:23" ht="15">
      <c r="A11" s="379"/>
      <c r="B11" s="177"/>
      <c r="C11" s="389"/>
      <c r="D11" s="390" t="e">
        <f>VLOOKUP(C11,'MASTER Name List'!$B$3:$M$300,2,FALSE)</f>
        <v>#N/A</v>
      </c>
      <c r="E11" s="420"/>
      <c r="F11" s="420"/>
      <c r="G11" s="391"/>
      <c r="H11" s="422">
        <f t="shared" si="0"/>
        <v>1</v>
      </c>
      <c r="I11" s="914">
        <v>50</v>
      </c>
      <c r="J11" s="107" t="str">
        <f t="shared" si="1"/>
        <v>-</v>
      </c>
      <c r="K11" s="184"/>
      <c r="L11" s="184"/>
      <c r="M11" s="108"/>
      <c r="O11" s="397"/>
      <c r="P11" s="921"/>
      <c r="Q11" s="399"/>
      <c r="S11" s="396"/>
      <c r="T11" s="396"/>
      <c r="W11" s="240">
        <v>45566</v>
      </c>
    </row>
    <row r="12" spans="1:23" ht="15">
      <c r="A12" s="379"/>
      <c r="B12" s="177"/>
      <c r="C12" s="389"/>
      <c r="D12" s="390" t="e">
        <f>VLOOKUP(C12,'MASTER Name List'!$B$3:$M$300,2,FALSE)</f>
        <v>#N/A</v>
      </c>
      <c r="E12" s="420"/>
      <c r="F12" s="420"/>
      <c r="G12" s="391"/>
      <c r="H12" s="422">
        <f t="shared" si="0"/>
        <v>1</v>
      </c>
      <c r="I12" s="914">
        <v>50</v>
      </c>
      <c r="J12" s="107" t="str">
        <f t="shared" si="1"/>
        <v>-</v>
      </c>
      <c r="K12" s="184"/>
      <c r="L12" s="184"/>
      <c r="M12" s="108"/>
      <c r="N12" s="819">
        <f>SUMIF(M:M,"1",J:J)</f>
        <v>0</v>
      </c>
      <c r="O12" s="397"/>
      <c r="P12" s="921"/>
      <c r="Q12" s="399"/>
      <c r="S12" s="396"/>
      <c r="T12" s="396"/>
      <c r="W12" s="240">
        <v>45597</v>
      </c>
    </row>
    <row r="13" spans="1:23" ht="15">
      <c r="A13" s="379"/>
      <c r="B13" s="177"/>
      <c r="C13" s="389"/>
      <c r="D13" s="390" t="e">
        <f>VLOOKUP(C13,'MASTER Name List'!$B$3:$M$300,2,FALSE)</f>
        <v>#N/A</v>
      </c>
      <c r="E13" s="420"/>
      <c r="F13" s="420"/>
      <c r="G13" s="391"/>
      <c r="H13" s="422">
        <f t="shared" si="0"/>
        <v>1</v>
      </c>
      <c r="I13" s="914">
        <v>50</v>
      </c>
      <c r="J13" s="107" t="str">
        <f t="shared" si="1"/>
        <v>-</v>
      </c>
      <c r="K13" s="184"/>
      <c r="L13" s="184"/>
      <c r="M13" s="108"/>
      <c r="N13" s="819"/>
      <c r="O13" s="397"/>
      <c r="P13" s="921"/>
      <c r="Q13" s="399"/>
      <c r="S13" s="396"/>
      <c r="T13" s="396"/>
      <c r="W13" s="240">
        <v>45627</v>
      </c>
    </row>
    <row r="14" spans="1:23" ht="15">
      <c r="A14" s="379"/>
      <c r="B14" s="177"/>
      <c r="C14" s="389"/>
      <c r="D14" s="390" t="e">
        <f>VLOOKUP(C14,'MASTER Name List'!$B$3:$M$300,2,FALSE)</f>
        <v>#N/A</v>
      </c>
      <c r="E14" s="420"/>
      <c r="F14" s="420"/>
      <c r="G14" s="391"/>
      <c r="H14" s="422">
        <f t="shared" si="0"/>
        <v>1</v>
      </c>
      <c r="I14" s="914">
        <v>50</v>
      </c>
      <c r="J14" s="107" t="str">
        <f t="shared" si="1"/>
        <v>-</v>
      </c>
      <c r="K14" s="184"/>
      <c r="L14" s="184"/>
      <c r="M14" s="108"/>
      <c r="N14" s="819"/>
      <c r="O14" s="397"/>
      <c r="P14" s="921"/>
      <c r="Q14" s="399"/>
      <c r="S14" s="396"/>
      <c r="T14" s="396"/>
      <c r="W14" s="400">
        <v>45658</v>
      </c>
    </row>
    <row r="15" spans="1:23" ht="15">
      <c r="A15" s="379"/>
      <c r="B15" s="177"/>
      <c r="C15" s="389"/>
      <c r="D15" s="390" t="e">
        <f>VLOOKUP(C15,'MASTER Name List'!$B$3:$M$300,2,FALSE)</f>
        <v>#N/A</v>
      </c>
      <c r="E15" s="420"/>
      <c r="F15" s="420"/>
      <c r="G15" s="391"/>
      <c r="H15" s="422">
        <f t="shared" si="0"/>
        <v>1</v>
      </c>
      <c r="I15" s="914">
        <v>50</v>
      </c>
      <c r="J15" s="107" t="str">
        <f t="shared" si="1"/>
        <v>-</v>
      </c>
      <c r="K15" s="184"/>
      <c r="L15" s="184"/>
      <c r="M15" s="108"/>
      <c r="N15" s="819"/>
      <c r="O15" s="397"/>
      <c r="P15" s="921"/>
      <c r="Q15" s="399"/>
      <c r="S15" s="396"/>
      <c r="T15" s="396"/>
      <c r="W15" s="400">
        <v>45689</v>
      </c>
    </row>
    <row r="16" spans="1:23" ht="15">
      <c r="A16" s="379"/>
      <c r="B16" s="177"/>
      <c r="C16" s="389"/>
      <c r="D16" s="390" t="e">
        <f>VLOOKUP(C16,'MASTER Name List'!$B$3:$M$300,2,FALSE)</f>
        <v>#N/A</v>
      </c>
      <c r="E16" s="420"/>
      <c r="F16" s="420"/>
      <c r="G16" s="391"/>
      <c r="H16" s="422">
        <f t="shared" si="0"/>
        <v>1</v>
      </c>
      <c r="I16" s="914">
        <v>50</v>
      </c>
      <c r="J16" s="107" t="str">
        <f t="shared" si="1"/>
        <v>-</v>
      </c>
      <c r="K16" s="184"/>
      <c r="L16" s="184"/>
      <c r="M16" s="108"/>
      <c r="N16" s="819"/>
      <c r="O16" s="397"/>
      <c r="P16" s="921"/>
      <c r="Q16" s="399"/>
      <c r="S16" s="396"/>
      <c r="T16" s="396"/>
      <c r="W16" s="400">
        <v>45717</v>
      </c>
    </row>
    <row r="17" spans="1:23" ht="15">
      <c r="A17" s="379"/>
      <c r="B17" s="177"/>
      <c r="C17" s="389"/>
      <c r="D17" s="390" t="e">
        <f>VLOOKUP(C17,'MASTER Name List'!$B$3:$M$300,2,FALSE)</f>
        <v>#N/A</v>
      </c>
      <c r="E17" s="420"/>
      <c r="F17" s="420"/>
      <c r="G17" s="391"/>
      <c r="H17" s="422">
        <f t="shared" si="0"/>
        <v>1</v>
      </c>
      <c r="I17" s="914">
        <v>50</v>
      </c>
      <c r="J17" s="107" t="str">
        <f t="shared" si="1"/>
        <v>-</v>
      </c>
      <c r="K17" s="184"/>
      <c r="L17" s="184"/>
      <c r="M17" s="108"/>
      <c r="N17" s="819"/>
      <c r="O17" s="397"/>
      <c r="P17" s="921"/>
      <c r="Q17" s="399"/>
      <c r="S17" s="396"/>
      <c r="T17" s="396"/>
      <c r="W17" s="400">
        <v>45748</v>
      </c>
    </row>
    <row r="18" spans="1:23" ht="15">
      <c r="A18" s="379"/>
      <c r="B18" s="177"/>
      <c r="C18" s="389"/>
      <c r="D18" s="390" t="e">
        <f>VLOOKUP(C18,'MASTER Name List'!$B$3:$M$300,2,FALSE)</f>
        <v>#N/A</v>
      </c>
      <c r="E18" s="420"/>
      <c r="F18" s="420"/>
      <c r="G18" s="391"/>
      <c r="H18" s="422">
        <f t="shared" si="0"/>
        <v>1</v>
      </c>
      <c r="I18" s="914">
        <v>50</v>
      </c>
      <c r="J18" s="107" t="str">
        <f t="shared" si="1"/>
        <v>-</v>
      </c>
      <c r="K18" s="184"/>
      <c r="L18" s="184"/>
      <c r="M18" s="108"/>
      <c r="N18" s="819"/>
      <c r="O18" s="397"/>
      <c r="P18" s="921"/>
      <c r="Q18" s="399"/>
      <c r="S18" s="396"/>
      <c r="T18" s="396"/>
      <c r="W18" s="400">
        <v>45778</v>
      </c>
    </row>
    <row r="19" spans="1:23" ht="15">
      <c r="A19" s="379"/>
      <c r="B19" s="177"/>
      <c r="C19" s="389"/>
      <c r="D19" s="390" t="e">
        <f>VLOOKUP(C19,'MASTER Name List'!$B$3:$M$300,2,FALSE)</f>
        <v>#N/A</v>
      </c>
      <c r="E19" s="420"/>
      <c r="F19" s="420"/>
      <c r="G19" s="401"/>
      <c r="H19" s="422">
        <f t="shared" si="0"/>
        <v>1</v>
      </c>
      <c r="I19" s="914">
        <v>50</v>
      </c>
      <c r="J19" s="107" t="str">
        <f t="shared" si="1"/>
        <v>-</v>
      </c>
      <c r="K19" s="184"/>
      <c r="L19" s="184"/>
      <c r="M19" s="108"/>
      <c r="N19" s="819"/>
      <c r="O19" s="397"/>
      <c r="P19" s="921"/>
      <c r="Q19" s="399"/>
      <c r="S19" s="396"/>
      <c r="T19" s="396"/>
      <c r="W19" s="400">
        <v>45809</v>
      </c>
    </row>
    <row r="20" spans="1:23" ht="15">
      <c r="A20" s="379"/>
      <c r="B20" s="177"/>
      <c r="C20" s="389"/>
      <c r="D20" s="390" t="e">
        <f>VLOOKUP(C20,'MASTER Name List'!$B$3:$M$300,2,FALSE)</f>
        <v>#N/A</v>
      </c>
      <c r="E20" s="420"/>
      <c r="F20" s="420"/>
      <c r="G20" s="401"/>
      <c r="H20" s="422">
        <f t="shared" si="0"/>
        <v>1</v>
      </c>
      <c r="I20" s="914">
        <v>50</v>
      </c>
      <c r="J20" s="107" t="str">
        <f t="shared" si="1"/>
        <v>-</v>
      </c>
      <c r="K20" s="184"/>
      <c r="L20" s="184"/>
      <c r="M20" s="108"/>
      <c r="N20" s="819"/>
      <c r="O20" s="397"/>
      <c r="P20" s="921"/>
      <c r="Q20" s="399"/>
      <c r="S20" s="396"/>
      <c r="T20" s="396"/>
      <c r="W20" s="400">
        <v>45839</v>
      </c>
    </row>
    <row r="21" spans="1:23" ht="15">
      <c r="A21" s="379"/>
      <c r="B21" s="177"/>
      <c r="C21" s="389"/>
      <c r="D21" s="390" t="e">
        <f>VLOOKUP(C21,'MASTER Name List'!$B$3:$M$300,2,FALSE)</f>
        <v>#N/A</v>
      </c>
      <c r="E21" s="420"/>
      <c r="F21" s="420"/>
      <c r="G21" s="401"/>
      <c r="H21" s="422">
        <f t="shared" si="0"/>
        <v>1</v>
      </c>
      <c r="I21" s="914">
        <v>50</v>
      </c>
      <c r="J21" s="107" t="str">
        <f t="shared" si="1"/>
        <v>-</v>
      </c>
      <c r="K21" s="184"/>
      <c r="L21" s="184"/>
      <c r="M21" s="108"/>
      <c r="N21" s="819"/>
      <c r="O21" s="397"/>
      <c r="P21" s="921"/>
      <c r="Q21" s="399"/>
      <c r="S21" s="396"/>
      <c r="T21" s="396"/>
      <c r="W21" s="400">
        <v>45870</v>
      </c>
    </row>
    <row r="22" spans="1:23" ht="15">
      <c r="A22" s="379"/>
      <c r="B22" s="177"/>
      <c r="C22" s="389"/>
      <c r="D22" s="390" t="e">
        <f>VLOOKUP(C22,'MASTER Name List'!$B$3:$M$300,2,FALSE)</f>
        <v>#N/A</v>
      </c>
      <c r="E22" s="420"/>
      <c r="F22" s="420"/>
      <c r="G22" s="401"/>
      <c r="H22" s="422">
        <f t="shared" si="0"/>
        <v>1</v>
      </c>
      <c r="I22" s="914">
        <v>50</v>
      </c>
      <c r="J22" s="107" t="str">
        <f t="shared" si="1"/>
        <v>-</v>
      </c>
      <c r="K22" s="184"/>
      <c r="L22" s="184"/>
      <c r="M22" s="108"/>
      <c r="N22" s="819"/>
      <c r="O22" s="397"/>
      <c r="P22" s="921"/>
      <c r="Q22" s="399"/>
      <c r="S22" s="396"/>
      <c r="T22" s="396"/>
      <c r="W22" s="400">
        <v>45901</v>
      </c>
    </row>
    <row r="23" spans="1:23" ht="15">
      <c r="A23" s="379"/>
      <c r="B23" s="177"/>
      <c r="C23" s="389"/>
      <c r="D23" s="390" t="e">
        <f>VLOOKUP(C23,'MASTER Name List'!$B$3:$M$300,2,FALSE)</f>
        <v>#N/A</v>
      </c>
      <c r="E23" s="420"/>
      <c r="F23" s="420"/>
      <c r="G23" s="402"/>
      <c r="H23" s="422">
        <f t="shared" si="0"/>
        <v>1</v>
      </c>
      <c r="I23" s="914">
        <v>50</v>
      </c>
      <c r="J23" s="107" t="str">
        <f t="shared" si="1"/>
        <v>-</v>
      </c>
      <c r="K23" s="184"/>
      <c r="L23" s="184"/>
      <c r="M23" s="108"/>
      <c r="N23" s="819"/>
      <c r="O23" s="397"/>
      <c r="P23" s="920"/>
      <c r="Q23" s="399"/>
      <c r="S23" s="396"/>
      <c r="T23" s="396"/>
      <c r="W23" s="400">
        <v>45931</v>
      </c>
    </row>
    <row r="24" spans="1:23" ht="15">
      <c r="A24" s="379"/>
      <c r="B24" s="177"/>
      <c r="C24" s="389"/>
      <c r="D24" s="390"/>
      <c r="E24" s="420"/>
      <c r="F24" s="420"/>
      <c r="G24" s="402"/>
      <c r="H24" s="403"/>
      <c r="I24" s="915"/>
      <c r="J24" s="107"/>
      <c r="K24" s="107"/>
      <c r="L24" s="107"/>
      <c r="M24" s="108"/>
      <c r="N24" s="819"/>
      <c r="O24" s="397"/>
      <c r="P24" s="920"/>
      <c r="Q24" s="399"/>
      <c r="S24" s="396"/>
      <c r="T24" s="396"/>
      <c r="W24" s="400">
        <v>45962</v>
      </c>
    </row>
    <row r="25" spans="1:23" ht="15">
      <c r="A25" s="379"/>
      <c r="B25" s="405" t="s">
        <v>487</v>
      </c>
      <c r="C25" s="389"/>
      <c r="D25" s="390"/>
      <c r="E25" s="420"/>
      <c r="F25" s="420"/>
      <c r="G25" s="391"/>
      <c r="H25" s="406"/>
      <c r="I25" s="914"/>
      <c r="J25" s="107"/>
      <c r="K25" s="107"/>
      <c r="L25" s="107"/>
      <c r="M25" s="108"/>
      <c r="N25" s="819"/>
      <c r="O25" s="397"/>
      <c r="P25" s="920"/>
      <c r="Q25" s="399"/>
      <c r="S25" s="396"/>
      <c r="T25" s="396"/>
      <c r="W25" s="400">
        <v>45992</v>
      </c>
    </row>
    <row r="26" spans="1:23" ht="15">
      <c r="A26" s="379"/>
      <c r="B26" s="407"/>
      <c r="C26" s="389"/>
      <c r="D26" s="390" t="e">
        <f>VLOOKUP(C26,'MASTER Name List'!$B$3:$M$300,2,FALSE)</f>
        <v>#N/A</v>
      </c>
      <c r="E26" s="420"/>
      <c r="F26" s="420"/>
      <c r="G26" s="391"/>
      <c r="H26" s="422">
        <f t="shared" ref="H26:H43" si="2">DATEDIF(E26,F26,"M")+1</f>
        <v>1</v>
      </c>
      <c r="I26" s="914">
        <v>50</v>
      </c>
      <c r="J26" s="184"/>
      <c r="K26" s="184"/>
      <c r="L26" s="107" t="str">
        <f>IF($C26="","-",$H26*$I26)</f>
        <v>-</v>
      </c>
      <c r="M26" s="108"/>
      <c r="N26" s="819"/>
      <c r="O26" s="397"/>
      <c r="P26" s="920"/>
      <c r="Q26" s="399"/>
      <c r="S26" s="396"/>
      <c r="T26" s="396"/>
      <c r="W26" s="400">
        <v>46023</v>
      </c>
    </row>
    <row r="27" spans="1:23" ht="15">
      <c r="A27" s="379"/>
      <c r="B27" s="407"/>
      <c r="C27" s="389"/>
      <c r="D27" s="390" t="e">
        <f>VLOOKUP(C27,'MASTER Name List'!$B$3:$M$300,2,FALSE)</f>
        <v>#N/A</v>
      </c>
      <c r="E27" s="420"/>
      <c r="F27" s="420"/>
      <c r="G27" s="391"/>
      <c r="H27" s="422">
        <f t="shared" si="2"/>
        <v>1</v>
      </c>
      <c r="I27" s="914">
        <v>50</v>
      </c>
      <c r="J27" s="184"/>
      <c r="K27" s="184"/>
      <c r="L27" s="107" t="str">
        <f t="shared" ref="L27:L44" si="3">IF($C27="","-",$H27*$I27)</f>
        <v>-</v>
      </c>
      <c r="M27" s="108"/>
      <c r="N27" s="819"/>
      <c r="O27" s="397"/>
      <c r="P27" s="920"/>
      <c r="Q27" s="399"/>
      <c r="S27" s="396"/>
      <c r="T27" s="396"/>
      <c r="W27" s="400">
        <v>46054</v>
      </c>
    </row>
    <row r="28" spans="1:23" ht="15">
      <c r="A28" s="379"/>
      <c r="B28" s="407"/>
      <c r="C28" s="389"/>
      <c r="D28" s="390" t="e">
        <f>VLOOKUP(C28,'MASTER Name List'!$B$3:$M$300,2,FALSE)</f>
        <v>#N/A</v>
      </c>
      <c r="E28" s="420"/>
      <c r="F28" s="420"/>
      <c r="G28" s="391"/>
      <c r="H28" s="422">
        <f t="shared" si="2"/>
        <v>1</v>
      </c>
      <c r="I28" s="914">
        <v>50</v>
      </c>
      <c r="J28" s="184"/>
      <c r="K28" s="184"/>
      <c r="L28" s="107" t="str">
        <f t="shared" si="3"/>
        <v>-</v>
      </c>
      <c r="M28" s="108"/>
      <c r="N28" s="819"/>
      <c r="O28" s="397"/>
      <c r="Q28" s="399"/>
      <c r="S28" s="396"/>
      <c r="T28" s="396"/>
      <c r="W28" s="400">
        <v>46082</v>
      </c>
    </row>
    <row r="29" spans="1:23" ht="15">
      <c r="A29" s="379"/>
      <c r="B29" s="407"/>
      <c r="C29" s="389"/>
      <c r="D29" s="390" t="e">
        <f>VLOOKUP(C29,'MASTER Name List'!$B$3:$M$300,2,FALSE)</f>
        <v>#N/A</v>
      </c>
      <c r="E29" s="420"/>
      <c r="F29" s="420"/>
      <c r="G29" s="391"/>
      <c r="H29" s="422">
        <f t="shared" si="2"/>
        <v>1</v>
      </c>
      <c r="I29" s="914">
        <v>50</v>
      </c>
      <c r="J29" s="184"/>
      <c r="K29" s="184"/>
      <c r="L29" s="107" t="str">
        <f t="shared" si="3"/>
        <v>-</v>
      </c>
      <c r="M29" s="108"/>
      <c r="N29" s="819"/>
      <c r="O29" s="408"/>
      <c r="P29" s="920"/>
      <c r="Q29" s="399"/>
      <c r="S29" s="396"/>
      <c r="T29" s="396"/>
      <c r="W29" s="400">
        <v>46113</v>
      </c>
    </row>
    <row r="30" spans="1:23" ht="15">
      <c r="A30" s="379"/>
      <c r="B30" s="407"/>
      <c r="C30" s="389"/>
      <c r="D30" s="390" t="e">
        <f>VLOOKUP(C30,'MASTER Name List'!$B$3:$M$300,2,FALSE)</f>
        <v>#N/A</v>
      </c>
      <c r="E30" s="420"/>
      <c r="F30" s="420"/>
      <c r="G30" s="391"/>
      <c r="H30" s="422">
        <f t="shared" si="2"/>
        <v>1</v>
      </c>
      <c r="I30" s="914">
        <v>50</v>
      </c>
      <c r="J30" s="184"/>
      <c r="K30" s="184"/>
      <c r="L30" s="107" t="str">
        <f t="shared" si="3"/>
        <v>-</v>
      </c>
      <c r="M30" s="108"/>
      <c r="N30" s="819"/>
      <c r="O30" s="397"/>
      <c r="P30" s="920"/>
      <c r="Q30" s="399"/>
      <c r="S30" s="396"/>
      <c r="T30" s="396"/>
      <c r="W30" s="400">
        <v>46143</v>
      </c>
    </row>
    <row r="31" spans="1:23" ht="15">
      <c r="A31" s="379"/>
      <c r="B31" s="407"/>
      <c r="C31" s="389"/>
      <c r="D31" s="390" t="e">
        <f>VLOOKUP(C31,'MASTER Name List'!$B$3:$M$300,2,FALSE)</f>
        <v>#N/A</v>
      </c>
      <c r="E31" s="420"/>
      <c r="F31" s="420"/>
      <c r="G31" s="391"/>
      <c r="H31" s="422">
        <f t="shared" si="2"/>
        <v>1</v>
      </c>
      <c r="I31" s="914">
        <v>50</v>
      </c>
      <c r="J31" s="184"/>
      <c r="K31" s="184"/>
      <c r="L31" s="107" t="str">
        <f t="shared" si="3"/>
        <v>-</v>
      </c>
      <c r="M31" s="108"/>
      <c r="N31" s="819"/>
      <c r="O31" s="397"/>
      <c r="P31" s="920"/>
      <c r="Q31" s="399"/>
      <c r="S31" s="396"/>
      <c r="T31" s="396"/>
      <c r="W31" s="400">
        <v>46174</v>
      </c>
    </row>
    <row r="32" spans="1:23" ht="15">
      <c r="A32" s="379"/>
      <c r="B32" s="407"/>
      <c r="C32" s="389"/>
      <c r="D32" s="390" t="e">
        <f>VLOOKUP(C32,'MASTER Name List'!$B$3:$M$300,2,FALSE)</f>
        <v>#N/A</v>
      </c>
      <c r="E32" s="420"/>
      <c r="F32" s="420"/>
      <c r="G32" s="391"/>
      <c r="H32" s="422">
        <f t="shared" si="2"/>
        <v>1</v>
      </c>
      <c r="I32" s="914">
        <v>50</v>
      </c>
      <c r="J32" s="184"/>
      <c r="K32" s="184"/>
      <c r="L32" s="107" t="str">
        <f t="shared" si="3"/>
        <v>-</v>
      </c>
      <c r="M32" s="108"/>
      <c r="N32" s="819"/>
      <c r="O32" s="397"/>
      <c r="P32" s="920"/>
      <c r="Q32" s="399"/>
      <c r="S32" s="396"/>
      <c r="T32" s="396"/>
      <c r="W32" s="400">
        <v>46204</v>
      </c>
    </row>
    <row r="33" spans="1:23" ht="15">
      <c r="A33" s="379"/>
      <c r="B33" s="407"/>
      <c r="C33" s="389"/>
      <c r="D33" s="390" t="e">
        <f>VLOOKUP(C33,'MASTER Name List'!$B$3:$M$300,2,FALSE)</f>
        <v>#N/A</v>
      </c>
      <c r="E33" s="420"/>
      <c r="F33" s="420"/>
      <c r="G33" s="391"/>
      <c r="H33" s="422">
        <f t="shared" si="2"/>
        <v>1</v>
      </c>
      <c r="I33" s="914">
        <v>50</v>
      </c>
      <c r="J33" s="184"/>
      <c r="K33" s="184"/>
      <c r="L33" s="107" t="str">
        <f t="shared" si="3"/>
        <v>-</v>
      </c>
      <c r="M33" s="108"/>
      <c r="N33" s="819"/>
      <c r="O33" s="397"/>
      <c r="Q33" s="399"/>
      <c r="S33" s="396"/>
      <c r="T33" s="396"/>
      <c r="W33" s="400">
        <v>46235</v>
      </c>
    </row>
    <row r="34" spans="1:23" ht="15">
      <c r="A34" s="379"/>
      <c r="B34" s="407"/>
      <c r="C34" s="389"/>
      <c r="D34" s="390" t="e">
        <f>VLOOKUP(C34,'MASTER Name List'!$B$3:$M$300,2,FALSE)</f>
        <v>#N/A</v>
      </c>
      <c r="E34" s="420"/>
      <c r="F34" s="420"/>
      <c r="G34" s="391"/>
      <c r="H34" s="422">
        <f t="shared" si="2"/>
        <v>1</v>
      </c>
      <c r="I34" s="914">
        <v>50</v>
      </c>
      <c r="J34" s="184"/>
      <c r="K34" s="184"/>
      <c r="L34" s="107" t="str">
        <f t="shared" si="3"/>
        <v>-</v>
      </c>
      <c r="M34" s="108"/>
      <c r="N34" s="819"/>
      <c r="O34" s="397"/>
      <c r="P34" s="922"/>
      <c r="Q34" s="409"/>
      <c r="S34" s="396"/>
      <c r="T34" s="396"/>
      <c r="W34" s="400">
        <v>46266</v>
      </c>
    </row>
    <row r="35" spans="1:23" ht="15">
      <c r="A35" s="379"/>
      <c r="B35" s="407"/>
      <c r="C35" s="389"/>
      <c r="D35" s="390" t="e">
        <f>VLOOKUP(C35,'MASTER Name List'!$B$3:$M$300,2,FALSE)</f>
        <v>#N/A</v>
      </c>
      <c r="E35" s="420"/>
      <c r="F35" s="420"/>
      <c r="G35" s="391"/>
      <c r="H35" s="422">
        <f t="shared" si="2"/>
        <v>1</v>
      </c>
      <c r="I35" s="914">
        <v>50</v>
      </c>
      <c r="J35" s="184"/>
      <c r="K35" s="184"/>
      <c r="L35" s="107" t="str">
        <f t="shared" si="3"/>
        <v>-</v>
      </c>
      <c r="M35" s="108"/>
      <c r="N35" s="819"/>
      <c r="O35" s="397"/>
      <c r="P35" s="920"/>
      <c r="Q35" s="409"/>
      <c r="S35" s="396"/>
      <c r="T35" s="396"/>
      <c r="W35" s="400">
        <v>46296</v>
      </c>
    </row>
    <row r="36" spans="1:23" ht="15">
      <c r="A36" s="379"/>
      <c r="B36" s="407"/>
      <c r="C36" s="389"/>
      <c r="D36" s="390" t="e">
        <f>VLOOKUP(C36,'MASTER Name List'!$B$3:$M$300,2,FALSE)</f>
        <v>#N/A</v>
      </c>
      <c r="E36" s="420"/>
      <c r="F36" s="420"/>
      <c r="G36" s="391"/>
      <c r="H36" s="422">
        <f t="shared" si="2"/>
        <v>1</v>
      </c>
      <c r="I36" s="914">
        <v>50</v>
      </c>
      <c r="J36" s="184"/>
      <c r="K36" s="184"/>
      <c r="L36" s="107" t="str">
        <f t="shared" si="3"/>
        <v>-</v>
      </c>
      <c r="M36" s="108"/>
      <c r="N36" s="819"/>
      <c r="O36" s="397"/>
      <c r="P36" s="920"/>
      <c r="Q36" s="409"/>
      <c r="S36" s="396"/>
      <c r="T36" s="396"/>
      <c r="W36" s="400">
        <v>46327</v>
      </c>
    </row>
    <row r="37" spans="1:23" ht="15">
      <c r="A37" s="379"/>
      <c r="B37" s="407"/>
      <c r="C37" s="389"/>
      <c r="D37" s="390" t="e">
        <f>VLOOKUP(C37,'MASTER Name List'!$B$3:$M$300,2,FALSE)</f>
        <v>#N/A</v>
      </c>
      <c r="E37" s="420"/>
      <c r="F37" s="420"/>
      <c r="G37" s="391"/>
      <c r="H37" s="422">
        <f t="shared" si="2"/>
        <v>1</v>
      </c>
      <c r="I37" s="914">
        <v>50</v>
      </c>
      <c r="J37" s="184"/>
      <c r="K37" s="184"/>
      <c r="L37" s="107" t="str">
        <f t="shared" si="3"/>
        <v>-</v>
      </c>
      <c r="M37" s="108"/>
      <c r="N37" s="819"/>
      <c r="O37" s="397"/>
      <c r="P37" s="920"/>
      <c r="Q37" s="409"/>
      <c r="S37" s="396"/>
      <c r="T37" s="396"/>
      <c r="W37" s="400">
        <v>46357</v>
      </c>
    </row>
    <row r="38" spans="1:23" ht="15">
      <c r="A38" s="379"/>
      <c r="B38" s="407"/>
      <c r="C38" s="389"/>
      <c r="D38" s="390" t="e">
        <f>VLOOKUP(C38,'MASTER Name List'!$B$3:$M$300,2,FALSE)</f>
        <v>#N/A</v>
      </c>
      <c r="E38" s="420"/>
      <c r="F38" s="420"/>
      <c r="G38" s="391"/>
      <c r="H38" s="422">
        <f t="shared" si="2"/>
        <v>1</v>
      </c>
      <c r="I38" s="914">
        <v>50</v>
      </c>
      <c r="J38" s="184"/>
      <c r="K38" s="184"/>
      <c r="L38" s="107" t="str">
        <f t="shared" si="3"/>
        <v>-</v>
      </c>
      <c r="M38" s="108"/>
      <c r="N38" s="819"/>
      <c r="O38" s="397"/>
      <c r="P38" s="920"/>
      <c r="Q38" s="409"/>
      <c r="S38" s="396"/>
      <c r="T38" s="396"/>
      <c r="W38" s="400">
        <v>46388</v>
      </c>
    </row>
    <row r="39" spans="1:23" ht="15">
      <c r="A39" s="379"/>
      <c r="B39" s="407"/>
      <c r="C39" s="389"/>
      <c r="D39" s="390" t="e">
        <f>VLOOKUP(C39,'MASTER Name List'!$B$3:$M$300,2,FALSE)</f>
        <v>#N/A</v>
      </c>
      <c r="E39" s="420"/>
      <c r="F39" s="420"/>
      <c r="G39" s="391"/>
      <c r="H39" s="422">
        <f t="shared" si="2"/>
        <v>1</v>
      </c>
      <c r="I39" s="914">
        <v>50</v>
      </c>
      <c r="J39" s="184"/>
      <c r="K39" s="184"/>
      <c r="L39" s="107" t="str">
        <f t="shared" si="3"/>
        <v>-</v>
      </c>
      <c r="M39" s="108"/>
      <c r="N39" s="819"/>
      <c r="O39" s="397"/>
      <c r="P39" s="920"/>
      <c r="Q39" s="409"/>
      <c r="S39" s="396"/>
      <c r="T39" s="396"/>
      <c r="W39" s="400">
        <v>46419</v>
      </c>
    </row>
    <row r="40" spans="1:23" ht="15">
      <c r="A40" s="379"/>
      <c r="B40" s="407"/>
      <c r="C40" s="389"/>
      <c r="D40" s="390" t="e">
        <f>VLOOKUP(C40,'MASTER Name List'!$B$3:$M$300,2,FALSE)</f>
        <v>#N/A</v>
      </c>
      <c r="E40" s="420"/>
      <c r="F40" s="420"/>
      <c r="G40" s="391"/>
      <c r="H40" s="422">
        <f t="shared" si="2"/>
        <v>1</v>
      </c>
      <c r="I40" s="914">
        <v>50</v>
      </c>
      <c r="J40" s="184"/>
      <c r="K40" s="184"/>
      <c r="L40" s="107" t="str">
        <f t="shared" si="3"/>
        <v>-</v>
      </c>
      <c r="M40" s="108"/>
      <c r="N40" s="819"/>
      <c r="O40" s="397"/>
      <c r="P40" s="920"/>
      <c r="Q40" s="409"/>
      <c r="S40" s="396"/>
      <c r="T40" s="396"/>
      <c r="W40" s="400">
        <v>46447</v>
      </c>
    </row>
    <row r="41" spans="1:23" ht="15">
      <c r="A41" s="379"/>
      <c r="B41" s="407"/>
      <c r="C41" s="389"/>
      <c r="D41" s="390" t="e">
        <f>VLOOKUP(C41,'MASTER Name List'!$B$3:$M$300,2,FALSE)</f>
        <v>#N/A</v>
      </c>
      <c r="E41" s="420"/>
      <c r="F41" s="420"/>
      <c r="G41" s="391"/>
      <c r="H41" s="422">
        <f t="shared" si="2"/>
        <v>1</v>
      </c>
      <c r="I41" s="914">
        <v>50</v>
      </c>
      <c r="J41" s="184"/>
      <c r="K41" s="184"/>
      <c r="L41" s="107" t="str">
        <f t="shared" si="3"/>
        <v>-</v>
      </c>
      <c r="M41" s="108"/>
      <c r="N41" s="819"/>
      <c r="O41" s="397"/>
      <c r="P41" s="920"/>
      <c r="Q41" s="409"/>
      <c r="S41" s="396"/>
      <c r="T41" s="396"/>
      <c r="W41" s="400">
        <v>46478</v>
      </c>
    </row>
    <row r="42" spans="1:23" ht="15">
      <c r="A42" s="379"/>
      <c r="B42" s="407"/>
      <c r="C42" s="389"/>
      <c r="D42" s="390" t="e">
        <f>VLOOKUP(C42,'MASTER Name List'!$B$3:$M$300,2,FALSE)</f>
        <v>#N/A</v>
      </c>
      <c r="E42" s="420"/>
      <c r="F42" s="420"/>
      <c r="G42" s="391"/>
      <c r="H42" s="422">
        <f t="shared" si="2"/>
        <v>1</v>
      </c>
      <c r="I42" s="914">
        <v>50</v>
      </c>
      <c r="J42" s="184"/>
      <c r="K42" s="184"/>
      <c r="L42" s="107" t="str">
        <f t="shared" si="3"/>
        <v>-</v>
      </c>
      <c r="M42" s="108"/>
      <c r="N42" s="819"/>
      <c r="O42" s="397"/>
      <c r="P42" s="920"/>
      <c r="Q42" s="409"/>
      <c r="S42" s="396"/>
      <c r="T42" s="396"/>
      <c r="W42" s="400">
        <v>46508</v>
      </c>
    </row>
    <row r="43" spans="1:23" ht="15">
      <c r="A43" s="379"/>
      <c r="B43" s="407"/>
      <c r="C43" s="389"/>
      <c r="D43" s="390" t="e">
        <f>VLOOKUP(C43,'MASTER Name List'!$B$3:$M$300,2,FALSE)</f>
        <v>#N/A</v>
      </c>
      <c r="E43" s="420"/>
      <c r="F43" s="420"/>
      <c r="G43" s="391"/>
      <c r="H43" s="422">
        <f t="shared" si="2"/>
        <v>1</v>
      </c>
      <c r="I43" s="914">
        <v>50</v>
      </c>
      <c r="J43" s="184"/>
      <c r="K43" s="184"/>
      <c r="L43" s="107" t="str">
        <f t="shared" si="3"/>
        <v>-</v>
      </c>
      <c r="M43" s="108"/>
      <c r="N43" s="819"/>
      <c r="O43" s="397"/>
      <c r="P43" s="920"/>
      <c r="Q43" s="409"/>
      <c r="S43" s="396"/>
      <c r="T43" s="396"/>
      <c r="W43" s="400">
        <v>46539</v>
      </c>
    </row>
    <row r="44" spans="1:23" ht="15">
      <c r="A44" s="379"/>
      <c r="B44" s="389"/>
      <c r="C44" s="389"/>
      <c r="D44" s="390"/>
      <c r="E44" s="420"/>
      <c r="F44" s="420"/>
      <c r="G44" s="402"/>
      <c r="H44" s="403"/>
      <c r="I44" s="915"/>
      <c r="J44" s="184"/>
      <c r="K44" s="184"/>
      <c r="L44" s="107" t="str">
        <f t="shared" si="3"/>
        <v>-</v>
      </c>
      <c r="M44" s="108"/>
      <c r="N44" s="819"/>
      <c r="O44" s="397"/>
      <c r="P44" s="923"/>
      <c r="Q44" s="409"/>
      <c r="S44" s="396"/>
      <c r="T44" s="396"/>
      <c r="W44" s="400">
        <v>46569</v>
      </c>
    </row>
    <row r="45" spans="1:23" ht="15">
      <c r="A45" s="379"/>
      <c r="B45" s="411"/>
      <c r="C45" s="412"/>
      <c r="D45" s="413"/>
      <c r="E45" s="421"/>
      <c r="F45" s="421"/>
      <c r="G45" s="414"/>
      <c r="H45" s="415"/>
      <c r="I45" s="916"/>
      <c r="J45" s="124"/>
      <c r="K45" s="124"/>
      <c r="L45" s="124"/>
      <c r="M45" s="125"/>
      <c r="N45" s="417"/>
      <c r="O45" s="417"/>
      <c r="P45" s="924"/>
      <c r="W45" s="400">
        <v>46600</v>
      </c>
    </row>
    <row r="46" spans="1:23" ht="15">
      <c r="B46" s="418"/>
      <c r="C46" s="418"/>
      <c r="J46" s="128"/>
      <c r="K46" s="128"/>
      <c r="L46" s="128"/>
      <c r="M46" s="129"/>
      <c r="W46" s="400">
        <v>46631</v>
      </c>
    </row>
    <row r="47" spans="1:23" ht="15.6" thickBot="1">
      <c r="B47" s="418"/>
      <c r="C47" s="418"/>
      <c r="J47" s="130">
        <f>SUM(J8:J46)</f>
        <v>0</v>
      </c>
      <c r="K47" s="130">
        <f>SUM(K8:K46)</f>
        <v>0</v>
      </c>
      <c r="L47" s="130">
        <f>SUM(L8:L46)</f>
        <v>0</v>
      </c>
      <c r="M47" s="131"/>
      <c r="N47" s="132">
        <f>SUM(N8:N46)</f>
        <v>0</v>
      </c>
      <c r="W47" s="400">
        <v>46661</v>
      </c>
    </row>
    <row r="48" spans="1:23" ht="15.6" thickTop="1">
      <c r="J48" s="133"/>
      <c r="K48" s="133"/>
      <c r="L48" s="133"/>
      <c r="M48" s="129"/>
      <c r="W48" s="400">
        <v>46692</v>
      </c>
    </row>
    <row r="49" spans="7:23" s="363" customFormat="1" ht="15">
      <c r="G49" s="364"/>
      <c r="I49" s="911"/>
      <c r="J49" s="419"/>
      <c r="K49" s="419"/>
      <c r="L49" s="419"/>
      <c r="P49" s="917"/>
      <c r="Q49" s="366"/>
      <c r="W49" s="400">
        <v>46722</v>
      </c>
    </row>
    <row r="50" spans="7:23" ht="15">
      <c r="W50" s="400">
        <v>46753</v>
      </c>
    </row>
    <row r="51" spans="7:23" ht="15">
      <c r="W51" s="400">
        <v>46784</v>
      </c>
    </row>
    <row r="52" spans="7:23" ht="15">
      <c r="W52" s="400">
        <v>46813</v>
      </c>
    </row>
    <row r="53" spans="7:23" ht="15">
      <c r="W53" s="400">
        <v>46844</v>
      </c>
    </row>
    <row r="54" spans="7:23" ht="15">
      <c r="W54" s="400">
        <v>46874</v>
      </c>
    </row>
    <row r="55" spans="7:23" ht="15">
      <c r="W55" s="400">
        <v>46905</v>
      </c>
    </row>
    <row r="56" spans="7:23" ht="15">
      <c r="W56" s="400">
        <v>46935</v>
      </c>
    </row>
    <row r="57" spans="7:23" ht="15">
      <c r="W57" s="400">
        <v>46966</v>
      </c>
    </row>
    <row r="58" spans="7:23" ht="15">
      <c r="W58" s="400">
        <v>46997</v>
      </c>
    </row>
    <row r="59" spans="7:23" ht="15">
      <c r="W59" s="400">
        <v>47027</v>
      </c>
    </row>
    <row r="60" spans="7:23" ht="15">
      <c r="W60" s="400">
        <v>47058</v>
      </c>
    </row>
    <row r="61" spans="7:23" ht="15">
      <c r="W61" s="400">
        <v>47088</v>
      </c>
    </row>
  </sheetData>
  <mergeCells count="3">
    <mergeCell ref="E5:G5"/>
    <mergeCell ref="E6:G6"/>
    <mergeCell ref="J6:L6"/>
  </mergeCells>
  <phoneticPr fontId="77" type="noConversion"/>
  <dataValidations count="1">
    <dataValidation type="list" allowBlank="1" showInputMessage="1" showErrorMessage="1" sqref="E9:F23 E26:F43" xr:uid="{B65BC347-87B6-4385-8CCF-7795E8F18094}">
      <formula1>$W$10:$W$39</formula1>
    </dataValidation>
  </dataValidation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3536-64B6-451E-B3C2-79B74781E31D}">
  <dimension ref="A2:AA205"/>
  <sheetViews>
    <sheetView topLeftCell="A103" zoomScale="110" zoomScaleNormal="110" workbookViewId="0">
      <selection activeCell="C119" sqref="C119"/>
    </sheetView>
  </sheetViews>
  <sheetFormatPr defaultRowHeight="14.4"/>
  <cols>
    <col min="1" max="1" width="5" customWidth="1"/>
    <col min="2" max="2" width="8.109375" bestFit="1" customWidth="1"/>
    <col min="3" max="3" width="19" bestFit="1" customWidth="1"/>
    <col min="4" max="4" width="25.6640625" style="77" customWidth="1"/>
    <col min="5" max="5" width="0" hidden="1" customWidth="1"/>
    <col min="6" max="6" width="16.33203125" style="43" hidden="1" customWidth="1"/>
    <col min="7" max="12" width="8.88671875" hidden="1" customWidth="1"/>
    <col min="13" max="13" width="15.33203125" style="446" hidden="1" customWidth="1"/>
    <col min="18" max="18" width="12.88671875" bestFit="1" customWidth="1"/>
  </cols>
  <sheetData>
    <row r="2" spans="1:14" ht="25.8">
      <c r="A2" s="27"/>
      <c r="B2" s="135"/>
      <c r="C2" s="637">
        <v>50</v>
      </c>
      <c r="D2" s="836"/>
      <c r="E2" s="136"/>
      <c r="F2" s="136"/>
      <c r="G2" s="25"/>
      <c r="H2" s="25"/>
      <c r="I2" s="25"/>
      <c r="J2" s="137"/>
      <c r="K2" s="25"/>
      <c r="L2" s="25"/>
      <c r="M2" s="438"/>
    </row>
    <row r="3" spans="1:14">
      <c r="A3" s="138" t="s">
        <v>977</v>
      </c>
      <c r="B3" s="138" t="s">
        <v>978</v>
      </c>
      <c r="C3" s="638" t="s">
        <v>979</v>
      </c>
      <c r="D3" s="837" t="s">
        <v>980</v>
      </c>
      <c r="E3" s="138" t="s">
        <v>981</v>
      </c>
      <c r="F3" s="138" t="s">
        <v>982</v>
      </c>
      <c r="G3" s="138" t="s">
        <v>983</v>
      </c>
      <c r="H3" s="138" t="s">
        <v>984</v>
      </c>
      <c r="I3" s="138" t="s">
        <v>985</v>
      </c>
      <c r="J3" s="139" t="s">
        <v>986</v>
      </c>
      <c r="K3" s="138" t="s">
        <v>987</v>
      </c>
      <c r="L3" s="138" t="s">
        <v>988</v>
      </c>
      <c r="M3" s="439" t="s">
        <v>989</v>
      </c>
    </row>
    <row r="4" spans="1:14">
      <c r="A4" s="27">
        <v>1</v>
      </c>
      <c r="B4" s="169">
        <v>3</v>
      </c>
      <c r="C4" s="170" t="s">
        <v>990</v>
      </c>
      <c r="D4" s="838" t="str">
        <f>C4</f>
        <v>Anna Justina</v>
      </c>
      <c r="E4" s="141" t="s">
        <v>991</v>
      </c>
      <c r="F4" s="141" t="s">
        <v>992</v>
      </c>
      <c r="G4" s="141"/>
      <c r="H4" s="141"/>
      <c r="I4" s="141"/>
      <c r="J4" s="142"/>
      <c r="K4" s="141"/>
      <c r="L4" s="141"/>
      <c r="M4" s="440" t="s">
        <v>993</v>
      </c>
    </row>
    <row r="5" spans="1:14">
      <c r="A5" s="27">
        <v>2</v>
      </c>
      <c r="B5" s="169">
        <v>4</v>
      </c>
      <c r="C5" s="170" t="s">
        <v>66</v>
      </c>
      <c r="D5" s="839" t="s">
        <v>994</v>
      </c>
      <c r="E5" s="141" t="s">
        <v>991</v>
      </c>
      <c r="F5" s="144" t="s">
        <v>995</v>
      </c>
      <c r="G5" s="141"/>
      <c r="H5" s="141"/>
      <c r="I5" s="141"/>
      <c r="J5" s="142"/>
      <c r="K5" s="141"/>
      <c r="L5" s="141"/>
      <c r="M5" s="440" t="s">
        <v>996</v>
      </c>
    </row>
    <row r="6" spans="1:14">
      <c r="A6" s="27" t="s">
        <v>997</v>
      </c>
      <c r="B6" s="169">
        <v>5</v>
      </c>
      <c r="C6" s="170" t="s">
        <v>998</v>
      </c>
      <c r="D6" s="838" t="s">
        <v>999</v>
      </c>
      <c r="E6" s="141" t="s">
        <v>991</v>
      </c>
      <c r="F6" s="141" t="s">
        <v>1000</v>
      </c>
      <c r="G6" s="141"/>
      <c r="H6" s="141"/>
      <c r="I6" s="141"/>
      <c r="J6" s="142"/>
      <c r="K6" s="141"/>
      <c r="L6" s="141"/>
      <c r="M6" s="440" t="s">
        <v>1001</v>
      </c>
    </row>
    <row r="7" spans="1:14" ht="15">
      <c r="A7" s="27">
        <v>4</v>
      </c>
      <c r="B7" s="169">
        <v>6</v>
      </c>
      <c r="C7" s="170" t="s">
        <v>337</v>
      </c>
      <c r="D7" s="838" t="s">
        <v>1002</v>
      </c>
      <c r="E7" s="141" t="s">
        <v>991</v>
      </c>
      <c r="F7" s="141" t="s">
        <v>1003</v>
      </c>
      <c r="G7" s="141"/>
      <c r="H7" s="141"/>
      <c r="I7" s="141"/>
      <c r="J7" s="142"/>
      <c r="K7" s="141"/>
      <c r="L7" s="141"/>
      <c r="M7" s="440" t="s">
        <v>1004</v>
      </c>
      <c r="N7" s="639" t="s">
        <v>1005</v>
      </c>
    </row>
    <row r="8" spans="1:14">
      <c r="A8" s="27">
        <v>5</v>
      </c>
      <c r="B8" s="169">
        <v>10</v>
      </c>
      <c r="C8" s="170" t="s">
        <v>1006</v>
      </c>
      <c r="D8" s="838" t="s">
        <v>1007</v>
      </c>
      <c r="E8" s="141" t="s">
        <v>991</v>
      </c>
      <c r="F8" s="141" t="s">
        <v>1008</v>
      </c>
      <c r="G8" s="141"/>
      <c r="H8" s="141"/>
      <c r="I8" s="141"/>
      <c r="J8" s="142"/>
      <c r="K8" s="141"/>
      <c r="L8" s="141"/>
      <c r="M8" s="440" t="s">
        <v>1009</v>
      </c>
    </row>
    <row r="9" spans="1:14">
      <c r="A9" s="27">
        <v>6</v>
      </c>
      <c r="B9" s="169">
        <v>11</v>
      </c>
      <c r="C9" s="170" t="s">
        <v>112</v>
      </c>
      <c r="D9" s="838" t="s">
        <v>1010</v>
      </c>
      <c r="E9" s="141" t="s">
        <v>991</v>
      </c>
      <c r="F9" s="141" t="s">
        <v>1011</v>
      </c>
      <c r="G9" s="141"/>
      <c r="H9" s="141"/>
      <c r="I9" s="141"/>
      <c r="J9" s="142"/>
      <c r="K9" s="141"/>
      <c r="L9" s="141"/>
      <c r="M9" s="440" t="s">
        <v>1012</v>
      </c>
    </row>
    <row r="10" spans="1:14">
      <c r="A10" s="27" t="s">
        <v>997</v>
      </c>
      <c r="B10" s="169">
        <v>12</v>
      </c>
      <c r="C10" s="170" t="s">
        <v>1013</v>
      </c>
      <c r="D10" s="838" t="s">
        <v>1014</v>
      </c>
      <c r="E10" s="141" t="s">
        <v>991</v>
      </c>
      <c r="F10" s="141" t="s">
        <v>1015</v>
      </c>
      <c r="G10" s="141"/>
      <c r="H10" s="141"/>
      <c r="I10" s="141"/>
      <c r="J10" s="142"/>
      <c r="K10" s="141"/>
      <c r="L10" s="141"/>
      <c r="M10" s="440" t="s">
        <v>1016</v>
      </c>
    </row>
    <row r="11" spans="1:14">
      <c r="A11" s="27">
        <v>8</v>
      </c>
      <c r="B11" s="169">
        <v>13</v>
      </c>
      <c r="C11" s="170" t="s">
        <v>199</v>
      </c>
      <c r="D11" s="838" t="s">
        <v>200</v>
      </c>
      <c r="E11" s="141" t="s">
        <v>991</v>
      </c>
      <c r="F11" s="141" t="s">
        <v>1017</v>
      </c>
      <c r="G11" s="141"/>
      <c r="H11" s="141"/>
      <c r="I11" s="141"/>
      <c r="J11" s="142"/>
      <c r="K11" s="141"/>
      <c r="L11" s="141"/>
      <c r="M11" s="440" t="s">
        <v>1018</v>
      </c>
    </row>
    <row r="12" spans="1:14">
      <c r="A12" s="27">
        <v>9</v>
      </c>
      <c r="B12" s="169">
        <v>14</v>
      </c>
      <c r="C12" s="170" t="s">
        <v>397</v>
      </c>
      <c r="D12" s="839" t="s">
        <v>399</v>
      </c>
      <c r="E12" s="141" t="s">
        <v>991</v>
      </c>
      <c r="F12" s="144" t="s">
        <v>1019</v>
      </c>
      <c r="G12" s="141"/>
      <c r="H12" s="141"/>
      <c r="I12" s="141"/>
      <c r="J12" s="142"/>
      <c r="K12" s="141"/>
      <c r="L12" s="141"/>
      <c r="M12" s="440" t="s">
        <v>1020</v>
      </c>
    </row>
    <row r="13" spans="1:14">
      <c r="A13" s="27">
        <v>10</v>
      </c>
      <c r="B13" s="169">
        <v>17</v>
      </c>
      <c r="C13" s="170" t="s">
        <v>356</v>
      </c>
      <c r="D13" s="838" t="s">
        <v>357</v>
      </c>
      <c r="E13" s="141" t="s">
        <v>991</v>
      </c>
      <c r="F13" s="141" t="s">
        <v>1021</v>
      </c>
      <c r="G13" s="141"/>
      <c r="H13" s="141"/>
      <c r="I13" s="141"/>
      <c r="J13" s="142"/>
      <c r="K13" s="141"/>
      <c r="L13" s="141"/>
      <c r="M13" s="440" t="s">
        <v>1022</v>
      </c>
    </row>
    <row r="14" spans="1:14">
      <c r="A14" s="27">
        <v>11</v>
      </c>
      <c r="B14" s="682">
        <v>18</v>
      </c>
      <c r="C14" s="683" t="s">
        <v>1023</v>
      </c>
      <c r="D14" s="840" t="s">
        <v>1024</v>
      </c>
      <c r="E14" s="684" t="s">
        <v>991</v>
      </c>
      <c r="F14" s="684" t="s">
        <v>1025</v>
      </c>
      <c r="G14" s="684"/>
      <c r="H14" s="684"/>
      <c r="I14" s="684"/>
      <c r="J14" s="685"/>
      <c r="K14" s="684"/>
      <c r="L14" s="684"/>
      <c r="M14" s="686" t="s">
        <v>1026</v>
      </c>
      <c r="N14" s="448" t="s">
        <v>1027</v>
      </c>
    </row>
    <row r="15" spans="1:14">
      <c r="A15" s="27">
        <v>12</v>
      </c>
      <c r="B15" s="169">
        <v>19</v>
      </c>
      <c r="C15" s="170" t="s">
        <v>44</v>
      </c>
      <c r="D15" s="838" t="s">
        <v>1028</v>
      </c>
      <c r="E15" s="141" t="s">
        <v>991</v>
      </c>
      <c r="F15" s="141" t="s">
        <v>1029</v>
      </c>
      <c r="G15" s="141"/>
      <c r="H15" s="141"/>
      <c r="I15" s="141"/>
      <c r="J15" s="142"/>
      <c r="K15" s="141"/>
      <c r="L15" s="141"/>
      <c r="M15" s="440" t="s">
        <v>1030</v>
      </c>
    </row>
    <row r="16" spans="1:14">
      <c r="A16" s="27" t="s">
        <v>997</v>
      </c>
      <c r="B16" s="169">
        <v>22</v>
      </c>
      <c r="C16" s="170" t="s">
        <v>1031</v>
      </c>
      <c r="D16" s="838" t="s">
        <v>1032</v>
      </c>
      <c r="E16" s="141" t="s">
        <v>991</v>
      </c>
      <c r="F16" s="141" t="s">
        <v>1033</v>
      </c>
      <c r="G16" s="141"/>
      <c r="H16" s="141"/>
      <c r="I16" s="141"/>
      <c r="J16" s="142"/>
      <c r="K16" s="141"/>
      <c r="L16" s="141"/>
      <c r="M16" s="440" t="s">
        <v>1034</v>
      </c>
    </row>
    <row r="17" spans="1:27">
      <c r="A17" s="27">
        <v>14</v>
      </c>
      <c r="B17" s="169">
        <v>23</v>
      </c>
      <c r="C17" s="678" t="s">
        <v>1035</v>
      </c>
      <c r="D17" s="838" t="s">
        <v>1036</v>
      </c>
      <c r="E17" s="141" t="s">
        <v>991</v>
      </c>
      <c r="F17" s="141" t="s">
        <v>1037</v>
      </c>
      <c r="G17" s="141"/>
      <c r="H17" s="141"/>
      <c r="I17" s="141"/>
      <c r="J17" s="142"/>
      <c r="K17" s="141"/>
      <c r="L17" s="141"/>
      <c r="M17" s="440" t="s">
        <v>1038</v>
      </c>
      <c r="N17" t="s">
        <v>1039</v>
      </c>
    </row>
    <row r="18" spans="1:27">
      <c r="A18" s="27">
        <v>15</v>
      </c>
      <c r="B18" s="682">
        <v>24</v>
      </c>
      <c r="C18" s="683" t="s">
        <v>260</v>
      </c>
      <c r="D18" s="840" t="s">
        <v>349</v>
      </c>
      <c r="E18" s="684" t="s">
        <v>991</v>
      </c>
      <c r="F18" s="684" t="s">
        <v>1040</v>
      </c>
      <c r="G18" s="684"/>
      <c r="H18" s="684"/>
      <c r="I18" s="684"/>
      <c r="J18" s="685"/>
      <c r="K18" s="684"/>
      <c r="L18" s="684"/>
      <c r="M18" s="686" t="s">
        <v>1041</v>
      </c>
      <c r="N18" s="448" t="s">
        <v>1027</v>
      </c>
    </row>
    <row r="19" spans="1:27">
      <c r="A19" s="27">
        <v>16</v>
      </c>
      <c r="B19" s="169">
        <v>25</v>
      </c>
      <c r="C19" s="170" t="s">
        <v>344</v>
      </c>
      <c r="D19" s="838" t="s">
        <v>346</v>
      </c>
      <c r="E19" s="141" t="s">
        <v>991</v>
      </c>
      <c r="F19" s="141" t="s">
        <v>1042</v>
      </c>
      <c r="G19" s="141"/>
      <c r="H19" s="141"/>
      <c r="I19" s="141"/>
      <c r="J19" s="142"/>
      <c r="K19" s="141"/>
      <c r="L19" s="141"/>
      <c r="M19" s="440" t="s">
        <v>1043</v>
      </c>
    </row>
    <row r="20" spans="1:27">
      <c r="A20" s="27" t="s">
        <v>997</v>
      </c>
      <c r="B20" s="169">
        <v>28</v>
      </c>
      <c r="C20" s="170" t="s">
        <v>1044</v>
      </c>
      <c r="D20" s="838" t="s">
        <v>1045</v>
      </c>
      <c r="E20" s="141" t="s">
        <v>991</v>
      </c>
      <c r="F20" s="141" t="s">
        <v>1046</v>
      </c>
      <c r="G20" s="141"/>
      <c r="H20" s="141"/>
      <c r="I20" s="141"/>
      <c r="J20" s="142"/>
      <c r="K20" s="141"/>
      <c r="L20" s="141"/>
      <c r="M20" s="440" t="s">
        <v>1047</v>
      </c>
    </row>
    <row r="21" spans="1:27">
      <c r="A21" s="27">
        <v>18</v>
      </c>
      <c r="B21" s="682">
        <v>29</v>
      </c>
      <c r="C21" s="683" t="s">
        <v>188</v>
      </c>
      <c r="D21" s="840" t="s">
        <v>190</v>
      </c>
      <c r="E21" s="684" t="s">
        <v>991</v>
      </c>
      <c r="F21" s="684" t="s">
        <v>1048</v>
      </c>
      <c r="G21" s="684"/>
      <c r="H21" s="684"/>
      <c r="I21" s="684"/>
      <c r="J21" s="685"/>
      <c r="K21" s="684"/>
      <c r="L21" s="684"/>
      <c r="M21" s="686" t="s">
        <v>1049</v>
      </c>
      <c r="N21" s="448" t="s">
        <v>1027</v>
      </c>
    </row>
    <row r="22" spans="1:27">
      <c r="A22" s="27">
        <v>19</v>
      </c>
      <c r="B22" s="682">
        <v>32</v>
      </c>
      <c r="C22" s="683" t="s">
        <v>1050</v>
      </c>
      <c r="D22" s="840" t="s">
        <v>1051</v>
      </c>
      <c r="E22" s="684" t="s">
        <v>991</v>
      </c>
      <c r="F22" s="684" t="s">
        <v>1052</v>
      </c>
      <c r="G22" s="684"/>
      <c r="H22" s="684"/>
      <c r="I22" s="684"/>
      <c r="J22" s="685"/>
      <c r="K22" s="684"/>
      <c r="L22" s="684"/>
      <c r="M22" s="686" t="s">
        <v>1053</v>
      </c>
      <c r="N22" s="448" t="s">
        <v>1027</v>
      </c>
    </row>
    <row r="23" spans="1:27">
      <c r="A23" s="27">
        <v>20</v>
      </c>
      <c r="B23" s="169">
        <v>33</v>
      </c>
      <c r="C23" s="170" t="s">
        <v>297</v>
      </c>
      <c r="D23" s="838" t="s">
        <v>1054</v>
      </c>
      <c r="E23" s="141" t="s">
        <v>991</v>
      </c>
      <c r="F23" s="141" t="s">
        <v>1055</v>
      </c>
      <c r="G23" s="141"/>
      <c r="H23" s="141"/>
      <c r="I23" s="141"/>
      <c r="J23" s="142"/>
      <c r="K23" s="141"/>
      <c r="L23" s="141"/>
      <c r="M23" s="440" t="s">
        <v>1056</v>
      </c>
    </row>
    <row r="24" spans="1:27">
      <c r="A24" s="27" t="s">
        <v>997</v>
      </c>
      <c r="B24" s="169">
        <v>35</v>
      </c>
      <c r="C24" s="170" t="s">
        <v>1057</v>
      </c>
      <c r="D24" s="838" t="s">
        <v>1058</v>
      </c>
      <c r="E24" s="141" t="s">
        <v>991</v>
      </c>
      <c r="F24" s="141" t="s">
        <v>1059</v>
      </c>
      <c r="G24" s="141"/>
      <c r="H24" s="141"/>
      <c r="I24" s="141"/>
      <c r="J24" s="142"/>
      <c r="K24" s="141"/>
      <c r="L24" s="141"/>
      <c r="M24" s="440" t="s">
        <v>1060</v>
      </c>
    </row>
    <row r="25" spans="1:27">
      <c r="A25" s="27">
        <v>22</v>
      </c>
      <c r="B25" s="169">
        <v>36</v>
      </c>
      <c r="C25" s="170" t="s">
        <v>57</v>
      </c>
      <c r="D25" s="838" t="s">
        <v>1061</v>
      </c>
      <c r="E25" s="141" t="s">
        <v>991</v>
      </c>
      <c r="F25" s="141" t="s">
        <v>1062</v>
      </c>
      <c r="G25" s="141"/>
      <c r="H25" s="141"/>
      <c r="I25" s="141"/>
      <c r="J25" s="142"/>
      <c r="K25" s="141"/>
      <c r="L25" s="141"/>
      <c r="M25" s="440" t="s">
        <v>1063</v>
      </c>
    </row>
    <row r="26" spans="1:27">
      <c r="A26" s="27">
        <v>23</v>
      </c>
      <c r="B26" s="169">
        <v>40</v>
      </c>
      <c r="C26" s="170" t="s">
        <v>1064</v>
      </c>
      <c r="D26" s="839" t="s">
        <v>333</v>
      </c>
      <c r="E26" s="141" t="s">
        <v>991</v>
      </c>
      <c r="F26" s="144" t="s">
        <v>1065</v>
      </c>
      <c r="G26" s="141"/>
      <c r="H26" s="141"/>
      <c r="I26" s="141"/>
      <c r="J26" s="142"/>
      <c r="K26" s="141"/>
      <c r="L26" s="141"/>
      <c r="M26" s="440" t="s">
        <v>1066</v>
      </c>
    </row>
    <row r="27" spans="1:27" ht="15">
      <c r="A27" s="27">
        <v>24</v>
      </c>
      <c r="B27" s="682">
        <v>41</v>
      </c>
      <c r="C27" s="683" t="s">
        <v>1067</v>
      </c>
      <c r="D27" s="841" t="s">
        <v>1068</v>
      </c>
      <c r="E27" s="684" t="s">
        <v>991</v>
      </c>
      <c r="F27" s="687" t="s">
        <v>1069</v>
      </c>
      <c r="G27" s="684"/>
      <c r="H27" s="684"/>
      <c r="I27" s="684"/>
      <c r="J27" s="685"/>
      <c r="K27" s="684"/>
      <c r="L27" s="684"/>
      <c r="M27" s="686" t="s">
        <v>1070</v>
      </c>
      <c r="N27" s="448" t="s">
        <v>1027</v>
      </c>
      <c r="R27" s="76"/>
      <c r="S27" s="76"/>
      <c r="T27" s="76"/>
      <c r="U27" s="76"/>
      <c r="V27" s="76"/>
      <c r="W27" s="449" t="s">
        <v>214</v>
      </c>
      <c r="X27" s="449"/>
      <c r="Y27" s="449"/>
      <c r="Z27" s="449"/>
      <c r="AA27" s="450"/>
    </row>
    <row r="28" spans="1:27" ht="15">
      <c r="A28" s="27">
        <v>25</v>
      </c>
      <c r="B28" s="169">
        <v>42</v>
      </c>
      <c r="C28" s="170" t="s">
        <v>1071</v>
      </c>
      <c r="D28" s="839" t="s">
        <v>1072</v>
      </c>
      <c r="E28" s="141" t="s">
        <v>991</v>
      </c>
      <c r="F28" s="144" t="s">
        <v>1073</v>
      </c>
      <c r="G28" s="141"/>
      <c r="H28" s="141"/>
      <c r="I28" s="141"/>
      <c r="J28" s="142"/>
      <c r="K28" s="141"/>
      <c r="L28" s="141"/>
      <c r="M28" s="440" t="s">
        <v>1074</v>
      </c>
      <c r="R28" s="449" t="s">
        <v>215</v>
      </c>
      <c r="S28" s="449">
        <v>201</v>
      </c>
      <c r="T28" s="449" t="s">
        <v>216</v>
      </c>
      <c r="U28" s="449"/>
      <c r="V28" s="449"/>
      <c r="W28" s="449">
        <v>199</v>
      </c>
      <c r="X28" s="450" t="s">
        <v>217</v>
      </c>
      <c r="Y28" s="449"/>
      <c r="Z28" s="449"/>
      <c r="AA28" s="450"/>
    </row>
    <row r="29" spans="1:27" ht="15">
      <c r="A29" s="27">
        <v>26</v>
      </c>
      <c r="B29" s="169">
        <v>43</v>
      </c>
      <c r="C29" s="170" t="s">
        <v>265</v>
      </c>
      <c r="D29" s="838" t="s">
        <v>1075</v>
      </c>
      <c r="E29" s="141" t="s">
        <v>991</v>
      </c>
      <c r="F29" s="141" t="s">
        <v>1076</v>
      </c>
      <c r="G29" s="141"/>
      <c r="H29" s="141"/>
      <c r="I29" s="141"/>
      <c r="J29" s="142"/>
      <c r="K29" s="141"/>
      <c r="L29" s="141"/>
      <c r="M29" s="440" t="s">
        <v>1077</v>
      </c>
      <c r="R29" s="449" t="s">
        <v>218</v>
      </c>
      <c r="S29" s="449">
        <v>95</v>
      </c>
      <c r="T29" s="449" t="s">
        <v>219</v>
      </c>
      <c r="U29" s="449"/>
      <c r="V29" s="449"/>
      <c r="W29" s="449">
        <v>220</v>
      </c>
      <c r="X29" s="450" t="s">
        <v>220</v>
      </c>
      <c r="Y29" s="449"/>
      <c r="Z29" s="449"/>
      <c r="AA29" s="450"/>
    </row>
    <row r="30" spans="1:27" ht="15">
      <c r="A30" s="27" t="s">
        <v>997</v>
      </c>
      <c r="B30" s="169">
        <v>45</v>
      </c>
      <c r="C30" s="170" t="s">
        <v>1078</v>
      </c>
      <c r="D30" s="838" t="s">
        <v>1079</v>
      </c>
      <c r="E30" s="141" t="s">
        <v>991</v>
      </c>
      <c r="F30" s="141" t="s">
        <v>1080</v>
      </c>
      <c r="G30" s="141"/>
      <c r="H30" s="141"/>
      <c r="I30" s="141"/>
      <c r="J30" s="142"/>
      <c r="K30" s="141"/>
      <c r="L30" s="141"/>
      <c r="M30" s="440" t="s">
        <v>1081</v>
      </c>
      <c r="R30" s="449" t="s">
        <v>221</v>
      </c>
      <c r="S30" s="451">
        <v>196</v>
      </c>
      <c r="T30" s="449" t="s">
        <v>222</v>
      </c>
      <c r="U30" s="449"/>
      <c r="V30" s="449"/>
      <c r="W30" s="449">
        <v>221</v>
      </c>
      <c r="X30" s="450" t="s">
        <v>223</v>
      </c>
      <c r="Y30" s="449"/>
      <c r="Z30" s="449"/>
      <c r="AA30" s="450"/>
    </row>
    <row r="31" spans="1:27" ht="15">
      <c r="A31" s="27">
        <v>28</v>
      </c>
      <c r="B31" s="169">
        <v>48</v>
      </c>
      <c r="C31" s="170" t="s">
        <v>1082</v>
      </c>
      <c r="D31" s="838" t="s">
        <v>694</v>
      </c>
      <c r="E31" s="141" t="s">
        <v>991</v>
      </c>
      <c r="F31" s="141" t="s">
        <v>1083</v>
      </c>
      <c r="G31" s="141"/>
      <c r="H31" s="141"/>
      <c r="I31" s="141"/>
      <c r="J31" s="142"/>
      <c r="K31" s="141"/>
      <c r="L31" s="141"/>
      <c r="M31" s="440" t="s">
        <v>1084</v>
      </c>
      <c r="R31" s="449" t="s">
        <v>224</v>
      </c>
      <c r="S31" s="451">
        <v>200</v>
      </c>
      <c r="T31" s="449" t="s">
        <v>225</v>
      </c>
      <c r="U31" s="449"/>
      <c r="V31" s="449"/>
      <c r="W31" s="449">
        <v>222</v>
      </c>
      <c r="X31" s="450" t="s">
        <v>226</v>
      </c>
      <c r="Y31" s="449"/>
      <c r="Z31" s="449"/>
      <c r="AA31" s="450"/>
    </row>
    <row r="32" spans="1:27" ht="15">
      <c r="A32" s="27">
        <v>29</v>
      </c>
      <c r="B32" s="169">
        <v>50</v>
      </c>
      <c r="C32" s="170" t="s">
        <v>1085</v>
      </c>
      <c r="D32" s="838" t="s">
        <v>611</v>
      </c>
      <c r="E32" s="141" t="s">
        <v>991</v>
      </c>
      <c r="F32" s="141" t="s">
        <v>1086</v>
      </c>
      <c r="G32" s="141"/>
      <c r="H32" s="141"/>
      <c r="I32" s="141"/>
      <c r="J32" s="142"/>
      <c r="K32" s="141"/>
      <c r="L32" s="141"/>
      <c r="M32" s="440" t="s">
        <v>1087</v>
      </c>
      <c r="R32" s="449" t="s">
        <v>227</v>
      </c>
      <c r="S32" s="449">
        <v>218</v>
      </c>
      <c r="T32" s="449" t="s">
        <v>228</v>
      </c>
      <c r="U32" s="449"/>
      <c r="V32" s="449"/>
      <c r="W32" s="449">
        <v>223</v>
      </c>
      <c r="X32" s="450" t="s">
        <v>161</v>
      </c>
      <c r="Y32" s="449"/>
      <c r="Z32" s="449"/>
      <c r="AA32" s="450"/>
    </row>
    <row r="33" spans="1:27" ht="15">
      <c r="A33" s="27">
        <v>30</v>
      </c>
      <c r="B33" s="169">
        <v>52</v>
      </c>
      <c r="C33" s="170" t="s">
        <v>329</v>
      </c>
      <c r="D33" s="838" t="s">
        <v>1088</v>
      </c>
      <c r="E33" s="141" t="s">
        <v>991</v>
      </c>
      <c r="F33" s="141" t="s">
        <v>1089</v>
      </c>
      <c r="G33" s="141"/>
      <c r="H33" s="141"/>
      <c r="I33" s="141"/>
      <c r="J33" s="142"/>
      <c r="K33" s="141"/>
      <c r="L33" s="141"/>
      <c r="M33" s="441" t="s">
        <v>1090</v>
      </c>
      <c r="N33" t="s">
        <v>1091</v>
      </c>
      <c r="R33" s="449" t="s">
        <v>229</v>
      </c>
      <c r="S33" s="449">
        <v>157</v>
      </c>
      <c r="T33" s="449" t="s">
        <v>230</v>
      </c>
      <c r="U33" s="449"/>
      <c r="V33" s="449"/>
      <c r="W33" s="449">
        <v>224</v>
      </c>
      <c r="X33" s="450" t="s">
        <v>181</v>
      </c>
      <c r="Y33" s="449"/>
      <c r="Z33" s="449"/>
      <c r="AA33" s="450"/>
    </row>
    <row r="34" spans="1:27" ht="15">
      <c r="A34" s="27">
        <v>31</v>
      </c>
      <c r="B34" s="169">
        <v>53</v>
      </c>
      <c r="C34" s="170" t="s">
        <v>138</v>
      </c>
      <c r="D34" s="839" t="s">
        <v>139</v>
      </c>
      <c r="E34" s="141" t="s">
        <v>991</v>
      </c>
      <c r="F34" s="144" t="s">
        <v>1092</v>
      </c>
      <c r="G34" s="141"/>
      <c r="H34" s="141"/>
      <c r="I34" s="141"/>
      <c r="J34" s="142"/>
      <c r="K34" s="141"/>
      <c r="L34" s="141"/>
      <c r="M34" s="440" t="s">
        <v>1093</v>
      </c>
      <c r="R34" s="449" t="s">
        <v>231</v>
      </c>
      <c r="S34" s="449">
        <v>143</v>
      </c>
      <c r="T34" s="449" t="s">
        <v>232</v>
      </c>
      <c r="U34" s="449"/>
      <c r="V34" s="449"/>
      <c r="W34" s="449">
        <v>225</v>
      </c>
      <c r="X34" s="450" t="s">
        <v>184</v>
      </c>
      <c r="Y34" s="449"/>
      <c r="Z34" s="449"/>
      <c r="AA34" s="450"/>
    </row>
    <row r="35" spans="1:27" ht="15">
      <c r="A35" s="27">
        <v>32</v>
      </c>
      <c r="B35" s="169">
        <v>54</v>
      </c>
      <c r="C35" s="170" t="s">
        <v>285</v>
      </c>
      <c r="D35" s="838" t="s">
        <v>426</v>
      </c>
      <c r="E35" s="141" t="s">
        <v>991</v>
      </c>
      <c r="F35" s="141" t="s">
        <v>1094</v>
      </c>
      <c r="G35" s="141"/>
      <c r="H35" s="141"/>
      <c r="I35" s="141"/>
      <c r="J35" s="142"/>
      <c r="K35" s="141"/>
      <c r="L35" s="141"/>
      <c r="M35" s="440" t="s">
        <v>1095</v>
      </c>
      <c r="R35" s="449" t="s">
        <v>233</v>
      </c>
      <c r="S35" s="449">
        <v>190</v>
      </c>
      <c r="T35" s="449" t="s">
        <v>234</v>
      </c>
      <c r="U35" s="449"/>
      <c r="V35" s="449"/>
      <c r="W35" s="449">
        <v>226</v>
      </c>
      <c r="X35" s="450" t="s">
        <v>118</v>
      </c>
      <c r="Y35" s="449"/>
      <c r="Z35" s="449"/>
      <c r="AA35" s="450"/>
    </row>
    <row r="36" spans="1:27" ht="15">
      <c r="A36" s="27"/>
      <c r="B36" s="682">
        <v>56</v>
      </c>
      <c r="C36" s="683" t="s">
        <v>238</v>
      </c>
      <c r="D36" s="841" t="s">
        <v>1096</v>
      </c>
      <c r="E36" s="684" t="s">
        <v>991</v>
      </c>
      <c r="F36" s="687" t="s">
        <v>1097</v>
      </c>
      <c r="G36" s="684"/>
      <c r="H36" s="684"/>
      <c r="I36" s="684"/>
      <c r="J36" s="685"/>
      <c r="K36" s="684"/>
      <c r="L36" s="684"/>
      <c r="M36" s="686" t="s">
        <v>1098</v>
      </c>
      <c r="N36" t="s">
        <v>1099</v>
      </c>
      <c r="R36" s="449" t="s">
        <v>235</v>
      </c>
      <c r="S36" s="449">
        <v>179</v>
      </c>
      <c r="T36" s="449" t="s">
        <v>219</v>
      </c>
      <c r="U36" s="449"/>
      <c r="V36" s="449"/>
      <c r="W36" s="449">
        <v>227</v>
      </c>
      <c r="X36" s="450" t="s">
        <v>90</v>
      </c>
      <c r="Y36" s="449"/>
      <c r="Z36" s="449"/>
      <c r="AA36" s="450"/>
    </row>
    <row r="37" spans="1:27" ht="15">
      <c r="A37" s="27">
        <v>34</v>
      </c>
      <c r="B37" s="169">
        <v>61</v>
      </c>
      <c r="C37" s="170" t="s">
        <v>422</v>
      </c>
      <c r="D37" s="838" t="s">
        <v>1100</v>
      </c>
      <c r="E37" s="141" t="s">
        <v>991</v>
      </c>
      <c r="F37" s="141" t="s">
        <v>1101</v>
      </c>
      <c r="G37" s="141"/>
      <c r="H37" s="141"/>
      <c r="I37" s="141"/>
      <c r="J37" s="142"/>
      <c r="K37" s="141"/>
      <c r="L37" s="141"/>
      <c r="M37" s="440" t="s">
        <v>1102</v>
      </c>
      <c r="N37" s="672" t="s">
        <v>1103</v>
      </c>
      <c r="O37" s="671"/>
      <c r="R37" s="449"/>
      <c r="S37" s="449"/>
      <c r="T37" s="449"/>
      <c r="U37" s="449"/>
      <c r="V37" s="449"/>
      <c r="W37" s="449">
        <v>228</v>
      </c>
      <c r="X37" s="450" t="s">
        <v>237</v>
      </c>
      <c r="Y37" s="449"/>
      <c r="Z37" s="449"/>
      <c r="AA37" s="450"/>
    </row>
    <row r="38" spans="1:27" ht="15">
      <c r="A38" s="27">
        <v>35</v>
      </c>
      <c r="B38" s="169">
        <v>62</v>
      </c>
      <c r="C38" s="170" t="s">
        <v>158</v>
      </c>
      <c r="D38" s="839" t="s">
        <v>1104</v>
      </c>
      <c r="E38" s="141" t="s">
        <v>991</v>
      </c>
      <c r="F38" s="144" t="s">
        <v>1105</v>
      </c>
      <c r="G38" s="141"/>
      <c r="H38" s="141"/>
      <c r="I38" s="141"/>
      <c r="J38" s="150"/>
      <c r="K38" s="141"/>
      <c r="L38" s="141"/>
      <c r="M38" s="440" t="s">
        <v>1106</v>
      </c>
      <c r="R38" s="449" t="s">
        <v>238</v>
      </c>
      <c r="S38" s="449">
        <v>56</v>
      </c>
      <c r="T38" s="449" t="s">
        <v>225</v>
      </c>
      <c r="U38" s="449"/>
      <c r="V38" s="449"/>
      <c r="W38" s="449">
        <v>229</v>
      </c>
      <c r="X38" s="450" t="s">
        <v>239</v>
      </c>
      <c r="Y38" s="449"/>
      <c r="Z38" s="449"/>
      <c r="AA38" s="450"/>
    </row>
    <row r="39" spans="1:27" ht="15">
      <c r="A39" s="27" t="s">
        <v>997</v>
      </c>
      <c r="B39" s="169">
        <v>63</v>
      </c>
      <c r="C39" s="170" t="s">
        <v>1107</v>
      </c>
      <c r="D39" s="838" t="s">
        <v>1108</v>
      </c>
      <c r="E39" s="141" t="s">
        <v>991</v>
      </c>
      <c r="F39" s="141" t="s">
        <v>1109</v>
      </c>
      <c r="G39" s="141"/>
      <c r="H39" s="141"/>
      <c r="I39" s="141"/>
      <c r="J39" s="150"/>
      <c r="K39" s="141"/>
      <c r="L39" s="141"/>
      <c r="M39" s="440">
        <v>6593542627</v>
      </c>
      <c r="R39" s="449" t="s">
        <v>240</v>
      </c>
      <c r="S39" s="449">
        <v>75</v>
      </c>
      <c r="T39" s="449" t="s">
        <v>241</v>
      </c>
      <c r="U39" s="449"/>
      <c r="V39" s="449"/>
      <c r="W39" s="449">
        <v>230</v>
      </c>
      <c r="X39" s="192" t="s">
        <v>1110</v>
      </c>
      <c r="Y39" s="449" t="s">
        <v>1111</v>
      </c>
      <c r="Z39" s="449"/>
      <c r="AA39" s="450"/>
    </row>
    <row r="40" spans="1:27" ht="15">
      <c r="A40" s="27">
        <v>37</v>
      </c>
      <c r="B40" s="169">
        <v>64</v>
      </c>
      <c r="C40" s="170" t="s">
        <v>169</v>
      </c>
      <c r="D40" s="838" t="s">
        <v>616</v>
      </c>
      <c r="E40" s="141" t="s">
        <v>991</v>
      </c>
      <c r="F40" s="141" t="s">
        <v>1112</v>
      </c>
      <c r="G40" s="141"/>
      <c r="H40" s="141"/>
      <c r="I40" s="141"/>
      <c r="J40" s="150"/>
      <c r="K40" s="141"/>
      <c r="L40" s="141"/>
      <c r="M40" s="440" t="s">
        <v>1113</v>
      </c>
      <c r="R40" s="449" t="s">
        <v>242</v>
      </c>
      <c r="S40" s="449">
        <v>85</v>
      </c>
      <c r="T40" s="449" t="s">
        <v>243</v>
      </c>
      <c r="U40" s="449"/>
      <c r="V40" s="449"/>
      <c r="W40" s="449">
        <v>231</v>
      </c>
      <c r="X40" s="192" t="s">
        <v>1114</v>
      </c>
      <c r="Y40" s="449" t="s">
        <v>1111</v>
      </c>
      <c r="Z40" s="449"/>
      <c r="AA40" s="450"/>
    </row>
    <row r="41" spans="1:27" ht="15">
      <c r="A41" s="27">
        <v>38</v>
      </c>
      <c r="B41" s="682">
        <v>67</v>
      </c>
      <c r="C41" s="683" t="s">
        <v>1115</v>
      </c>
      <c r="D41" s="840" t="s">
        <v>1116</v>
      </c>
      <c r="E41" s="684" t="s">
        <v>991</v>
      </c>
      <c r="F41" s="684">
        <v>517365301</v>
      </c>
      <c r="G41" s="684"/>
      <c r="H41" s="684"/>
      <c r="I41" s="684"/>
      <c r="J41" s="688"/>
      <c r="K41" s="684"/>
      <c r="L41" s="684"/>
      <c r="M41" s="686" t="s">
        <v>1117</v>
      </c>
      <c r="N41" s="448" t="s">
        <v>1027</v>
      </c>
      <c r="R41" s="449" t="s">
        <v>244</v>
      </c>
      <c r="S41" s="449">
        <v>109</v>
      </c>
      <c r="T41" s="449" t="s">
        <v>245</v>
      </c>
      <c r="U41" s="449"/>
      <c r="V41" s="449"/>
      <c r="W41" s="449">
        <v>232</v>
      </c>
      <c r="X41" s="192" t="s">
        <v>1118</v>
      </c>
      <c r="Y41" s="449" t="s">
        <v>1111</v>
      </c>
      <c r="Z41" s="449"/>
      <c r="AA41" s="452"/>
    </row>
    <row r="42" spans="1:27" ht="15">
      <c r="A42" s="27">
        <v>39</v>
      </c>
      <c r="B42" s="169">
        <v>68</v>
      </c>
      <c r="C42" s="170" t="s">
        <v>209</v>
      </c>
      <c r="D42" s="838" t="s">
        <v>1119</v>
      </c>
      <c r="E42" s="141" t="s">
        <v>991</v>
      </c>
      <c r="F42" s="141" t="s">
        <v>1120</v>
      </c>
      <c r="G42" s="141"/>
      <c r="H42" s="141"/>
      <c r="I42" s="141"/>
      <c r="J42" s="150"/>
      <c r="K42" s="141"/>
      <c r="L42" s="141"/>
      <c r="M42" s="440" t="s">
        <v>1121</v>
      </c>
      <c r="R42" s="449" t="s">
        <v>246</v>
      </c>
      <c r="S42" s="449">
        <v>110</v>
      </c>
      <c r="T42" s="449" t="s">
        <v>245</v>
      </c>
      <c r="U42" s="449"/>
      <c r="V42" s="449"/>
      <c r="W42" s="449">
        <v>233</v>
      </c>
      <c r="X42" s="192" t="s">
        <v>1122</v>
      </c>
      <c r="Y42" s="449" t="s">
        <v>1111</v>
      </c>
      <c r="Z42" s="449"/>
      <c r="AA42" s="452"/>
    </row>
    <row r="43" spans="1:27" ht="15">
      <c r="A43" s="27">
        <v>40</v>
      </c>
      <c r="B43" s="169">
        <v>69</v>
      </c>
      <c r="C43" s="170" t="s">
        <v>108</v>
      </c>
      <c r="D43" s="838" t="s">
        <v>1123</v>
      </c>
      <c r="E43" s="141" t="s">
        <v>991</v>
      </c>
      <c r="F43" s="141" t="s">
        <v>1124</v>
      </c>
      <c r="G43" s="141"/>
      <c r="H43" s="141"/>
      <c r="I43" s="141"/>
      <c r="J43" s="150"/>
      <c r="K43" s="141"/>
      <c r="L43" s="141"/>
      <c r="M43" s="440" t="s">
        <v>1125</v>
      </c>
      <c r="R43" s="449" t="s">
        <v>247</v>
      </c>
      <c r="S43" s="449">
        <v>182</v>
      </c>
      <c r="T43" s="449" t="s">
        <v>219</v>
      </c>
      <c r="U43" s="449"/>
      <c r="V43" s="449"/>
      <c r="W43" s="449">
        <v>234</v>
      </c>
      <c r="X43" s="192" t="s">
        <v>1126</v>
      </c>
      <c r="Y43" s="449" t="s">
        <v>1111</v>
      </c>
      <c r="Z43" s="449"/>
      <c r="AA43" s="452"/>
    </row>
    <row r="44" spans="1:27" ht="15">
      <c r="A44" s="27">
        <v>41</v>
      </c>
      <c r="B44" s="169">
        <v>70</v>
      </c>
      <c r="C44" s="170" t="s">
        <v>766</v>
      </c>
      <c r="D44" s="838" t="s">
        <v>567</v>
      </c>
      <c r="E44" s="141" t="s">
        <v>991</v>
      </c>
      <c r="F44" s="141" t="s">
        <v>1127</v>
      </c>
      <c r="G44" s="141"/>
      <c r="H44" s="141"/>
      <c r="I44" s="141"/>
      <c r="J44" s="150"/>
      <c r="K44" s="141"/>
      <c r="L44" s="141"/>
      <c r="M44" s="440" t="s">
        <v>1128</v>
      </c>
      <c r="R44" s="449" t="s">
        <v>248</v>
      </c>
      <c r="S44" s="449">
        <v>107</v>
      </c>
      <c r="T44" s="449" t="s">
        <v>249</v>
      </c>
      <c r="U44" s="449"/>
      <c r="V44" s="449"/>
      <c r="W44" s="449">
        <v>235</v>
      </c>
      <c r="X44" s="192" t="s">
        <v>1129</v>
      </c>
      <c r="Y44" s="449" t="s">
        <v>1111</v>
      </c>
      <c r="Z44" s="449"/>
      <c r="AA44" s="452"/>
    </row>
    <row r="45" spans="1:27" ht="15">
      <c r="A45" s="27">
        <v>42</v>
      </c>
      <c r="B45" s="682">
        <v>71</v>
      </c>
      <c r="C45" s="683" t="s">
        <v>54</v>
      </c>
      <c r="D45" s="840" t="s">
        <v>1130</v>
      </c>
      <c r="E45" s="684" t="s">
        <v>991</v>
      </c>
      <c r="F45" s="684" t="s">
        <v>1131</v>
      </c>
      <c r="G45" s="684"/>
      <c r="H45" s="684"/>
      <c r="I45" s="684"/>
      <c r="J45" s="688"/>
      <c r="K45" s="684"/>
      <c r="L45" s="684"/>
      <c r="M45" s="686" t="s">
        <v>1132</v>
      </c>
      <c r="N45" s="448" t="s">
        <v>1027</v>
      </c>
      <c r="R45" s="449" t="s">
        <v>250</v>
      </c>
      <c r="S45" s="449">
        <v>203</v>
      </c>
      <c r="T45" s="449" t="s">
        <v>251</v>
      </c>
      <c r="U45" s="449"/>
      <c r="V45" s="449"/>
      <c r="W45" s="449">
        <v>236</v>
      </c>
      <c r="X45" s="192" t="s">
        <v>1133</v>
      </c>
      <c r="Y45" s="449" t="s">
        <v>1111</v>
      </c>
      <c r="Z45" s="449"/>
      <c r="AA45" s="452"/>
    </row>
    <row r="46" spans="1:27" ht="15">
      <c r="A46" s="27">
        <v>43</v>
      </c>
      <c r="B46" s="169">
        <v>72</v>
      </c>
      <c r="C46" s="170" t="s">
        <v>381</v>
      </c>
      <c r="D46" s="838" t="s">
        <v>1134</v>
      </c>
      <c r="E46" s="141" t="s">
        <v>991</v>
      </c>
      <c r="F46" s="141" t="s">
        <v>1135</v>
      </c>
      <c r="G46" s="141"/>
      <c r="H46" s="141"/>
      <c r="I46" s="141"/>
      <c r="J46" s="150"/>
      <c r="K46" s="141"/>
      <c r="L46" s="141"/>
      <c r="M46" s="440" t="s">
        <v>1136</v>
      </c>
      <c r="R46" s="449" t="s">
        <v>252</v>
      </c>
      <c r="S46" s="449">
        <v>158</v>
      </c>
      <c r="T46" s="449" t="s">
        <v>249</v>
      </c>
      <c r="U46" s="449"/>
      <c r="V46" s="449"/>
      <c r="W46" s="449">
        <v>237</v>
      </c>
      <c r="X46" s="192" t="s">
        <v>1137</v>
      </c>
      <c r="Y46" s="449" t="s">
        <v>1111</v>
      </c>
      <c r="Z46" s="449"/>
      <c r="AA46" s="453"/>
    </row>
    <row r="47" spans="1:27" ht="15">
      <c r="A47" s="27">
        <v>44</v>
      </c>
      <c r="B47" s="169">
        <v>73</v>
      </c>
      <c r="C47" s="170" t="s">
        <v>96</v>
      </c>
      <c r="D47" s="838" t="s">
        <v>1138</v>
      </c>
      <c r="E47" s="141" t="s">
        <v>991</v>
      </c>
      <c r="F47" s="141" t="s">
        <v>1139</v>
      </c>
      <c r="G47" s="141"/>
      <c r="H47" s="141"/>
      <c r="I47" s="141"/>
      <c r="J47" s="150"/>
      <c r="K47" s="141"/>
      <c r="L47" s="141"/>
      <c r="M47" s="440" t="s">
        <v>1140</v>
      </c>
      <c r="R47" s="449" t="s">
        <v>253</v>
      </c>
      <c r="S47" s="449">
        <v>147</v>
      </c>
      <c r="T47" s="449" t="s">
        <v>254</v>
      </c>
      <c r="U47" s="449"/>
      <c r="V47" s="449"/>
      <c r="W47" s="449">
        <v>238</v>
      </c>
      <c r="X47" s="192" t="s">
        <v>1141</v>
      </c>
      <c r="Y47" s="449" t="s">
        <v>1142</v>
      </c>
      <c r="Z47" s="449"/>
      <c r="AA47" s="452"/>
    </row>
    <row r="48" spans="1:27" ht="15">
      <c r="A48" s="27">
        <v>45</v>
      </c>
      <c r="B48" s="151">
        <v>74</v>
      </c>
      <c r="C48" s="170" t="s">
        <v>59</v>
      </c>
      <c r="D48" s="842"/>
      <c r="E48" s="141" t="s">
        <v>991</v>
      </c>
      <c r="F48" s="141" t="s">
        <v>1143</v>
      </c>
      <c r="G48" s="141"/>
      <c r="H48" s="141"/>
      <c r="I48" s="141"/>
      <c r="J48" s="150"/>
      <c r="K48" s="141"/>
      <c r="L48" s="141"/>
      <c r="M48" s="440" t="s">
        <v>1144</v>
      </c>
      <c r="R48" s="449" t="s">
        <v>255</v>
      </c>
      <c r="S48" s="449">
        <v>108</v>
      </c>
      <c r="T48" s="449" t="s">
        <v>256</v>
      </c>
      <c r="U48" s="449"/>
      <c r="V48" s="449"/>
      <c r="W48" s="449"/>
      <c r="X48" s="449"/>
      <c r="Y48" s="449"/>
      <c r="Z48" s="449"/>
      <c r="AA48" s="452"/>
    </row>
    <row r="49" spans="1:27" ht="15">
      <c r="A49" s="27">
        <v>46</v>
      </c>
      <c r="B49" s="682">
        <v>75</v>
      </c>
      <c r="C49" s="683" t="s">
        <v>240</v>
      </c>
      <c r="D49" s="840" t="s">
        <v>1145</v>
      </c>
      <c r="E49" s="684" t="s">
        <v>991</v>
      </c>
      <c r="F49" s="684" t="s">
        <v>1146</v>
      </c>
      <c r="G49" s="684"/>
      <c r="H49" s="684"/>
      <c r="I49" s="684"/>
      <c r="J49" s="688"/>
      <c r="K49" s="684"/>
      <c r="L49" s="684"/>
      <c r="M49" s="686" t="s">
        <v>1147</v>
      </c>
      <c r="N49" t="s">
        <v>1148</v>
      </c>
      <c r="R49" s="449" t="s">
        <v>257</v>
      </c>
      <c r="S49" s="449">
        <v>144</v>
      </c>
      <c r="T49" s="449" t="s">
        <v>254</v>
      </c>
      <c r="U49" s="449"/>
      <c r="V49" s="449"/>
      <c r="W49" s="449"/>
      <c r="X49" s="449"/>
      <c r="Y49" s="449"/>
      <c r="Z49" s="449"/>
      <c r="AA49" s="452"/>
    </row>
    <row r="50" spans="1:27" ht="15">
      <c r="A50" s="27">
        <v>47</v>
      </c>
      <c r="B50" s="169">
        <v>78</v>
      </c>
      <c r="C50" s="170" t="s">
        <v>1149</v>
      </c>
      <c r="D50" s="838" t="s">
        <v>1150</v>
      </c>
      <c r="E50" s="141" t="s">
        <v>991</v>
      </c>
      <c r="F50" s="141" t="s">
        <v>1151</v>
      </c>
      <c r="G50" s="141"/>
      <c r="H50" s="141"/>
      <c r="I50" s="141"/>
      <c r="J50" s="150"/>
      <c r="K50" s="141"/>
      <c r="L50" s="141"/>
      <c r="M50" s="440" t="s">
        <v>1152</v>
      </c>
      <c r="R50" s="449" t="s">
        <v>150</v>
      </c>
      <c r="S50" s="449">
        <v>124</v>
      </c>
      <c r="T50" s="449" t="s">
        <v>258</v>
      </c>
      <c r="U50" s="449"/>
      <c r="V50" s="449"/>
      <c r="W50" s="449"/>
      <c r="X50" s="449"/>
      <c r="Y50" s="449"/>
      <c r="Z50" s="449"/>
      <c r="AA50" s="452"/>
    </row>
    <row r="51" spans="1:27" ht="15">
      <c r="A51" s="27">
        <v>48</v>
      </c>
      <c r="B51" s="682">
        <v>79</v>
      </c>
      <c r="C51" s="683" t="s">
        <v>153</v>
      </c>
      <c r="D51" s="840" t="s">
        <v>155</v>
      </c>
      <c r="E51" s="684" t="s">
        <v>991</v>
      </c>
      <c r="F51" s="684" t="s">
        <v>1153</v>
      </c>
      <c r="G51" s="684"/>
      <c r="H51" s="684"/>
      <c r="I51" s="684"/>
      <c r="J51" s="688"/>
      <c r="K51" s="684"/>
      <c r="L51" s="684"/>
      <c r="M51" s="686" t="s">
        <v>1154</v>
      </c>
      <c r="N51" s="448" t="s">
        <v>1027</v>
      </c>
      <c r="R51" s="449" t="s">
        <v>188</v>
      </c>
      <c r="S51" s="640">
        <v>29</v>
      </c>
      <c r="T51" s="449" t="s">
        <v>259</v>
      </c>
      <c r="U51" s="449"/>
      <c r="V51" s="449"/>
      <c r="W51" s="449"/>
      <c r="X51" s="76"/>
      <c r="Y51" s="76"/>
      <c r="Z51" s="76"/>
      <c r="AA51" s="452"/>
    </row>
    <row r="52" spans="1:27" ht="15">
      <c r="A52" s="27">
        <v>49</v>
      </c>
      <c r="B52" s="169">
        <v>80</v>
      </c>
      <c r="C52" s="170" t="s">
        <v>178</v>
      </c>
      <c r="D52" s="838" t="s">
        <v>179</v>
      </c>
      <c r="E52" s="141" t="s">
        <v>991</v>
      </c>
      <c r="F52" s="141" t="s">
        <v>1155</v>
      </c>
      <c r="G52" s="141">
        <v>38</v>
      </c>
      <c r="H52" s="141"/>
      <c r="I52" s="141" t="s">
        <v>1156</v>
      </c>
      <c r="J52" s="150">
        <v>28237</v>
      </c>
      <c r="K52" s="141" t="s">
        <v>1157</v>
      </c>
      <c r="L52" s="141" t="s">
        <v>1158</v>
      </c>
      <c r="M52" s="440" t="s">
        <v>1159</v>
      </c>
      <c r="R52" s="639" t="s">
        <v>260</v>
      </c>
      <c r="S52" s="640">
        <v>24</v>
      </c>
      <c r="T52" s="639" t="s">
        <v>259</v>
      </c>
      <c r="V52" s="639" t="s">
        <v>1160</v>
      </c>
      <c r="W52" s="639"/>
    </row>
    <row r="53" spans="1:27" ht="15">
      <c r="A53" s="27">
        <v>50</v>
      </c>
      <c r="B53" s="682">
        <v>81</v>
      </c>
      <c r="C53" s="683" t="s">
        <v>202</v>
      </c>
      <c r="D53" s="841" t="s">
        <v>1161</v>
      </c>
      <c r="E53" s="684" t="s">
        <v>991</v>
      </c>
      <c r="F53" s="687" t="s">
        <v>1162</v>
      </c>
      <c r="G53" s="684">
        <v>58</v>
      </c>
      <c r="H53" s="684"/>
      <c r="I53" s="684" t="s">
        <v>1156</v>
      </c>
      <c r="J53" s="688">
        <v>21732</v>
      </c>
      <c r="K53" s="684" t="s">
        <v>1157</v>
      </c>
      <c r="L53" s="684" t="s">
        <v>1163</v>
      </c>
      <c r="M53" s="686" t="s">
        <v>1164</v>
      </c>
      <c r="N53" s="448" t="s">
        <v>1027</v>
      </c>
      <c r="R53" s="639" t="s">
        <v>77</v>
      </c>
      <c r="S53" s="449">
        <v>114</v>
      </c>
      <c r="T53" s="449" t="s">
        <v>1165</v>
      </c>
      <c r="U53" s="639"/>
      <c r="V53" s="639" t="s">
        <v>1166</v>
      </c>
    </row>
    <row r="54" spans="1:27" ht="15">
      <c r="A54" s="27" t="s">
        <v>997</v>
      </c>
      <c r="B54" s="169">
        <v>82</v>
      </c>
      <c r="C54" s="170" t="s">
        <v>1167</v>
      </c>
      <c r="D54" s="838" t="s">
        <v>1168</v>
      </c>
      <c r="E54" s="141" t="s">
        <v>991</v>
      </c>
      <c r="F54" s="141" t="s">
        <v>1169</v>
      </c>
      <c r="G54" s="141">
        <v>42</v>
      </c>
      <c r="H54" s="141"/>
      <c r="I54" s="141"/>
      <c r="J54" s="150">
        <v>29045</v>
      </c>
      <c r="K54" s="141" t="s">
        <v>1157</v>
      </c>
      <c r="L54" s="141" t="s">
        <v>1170</v>
      </c>
      <c r="M54" s="440" t="s">
        <v>1171</v>
      </c>
      <c r="R54" s="639" t="s">
        <v>1023</v>
      </c>
      <c r="S54" s="449">
        <v>18</v>
      </c>
      <c r="T54" s="449" t="s">
        <v>1172</v>
      </c>
      <c r="U54" s="639"/>
      <c r="V54" s="639" t="s">
        <v>1173</v>
      </c>
    </row>
    <row r="55" spans="1:27" ht="15">
      <c r="A55" s="27">
        <v>52</v>
      </c>
      <c r="B55" s="682">
        <v>85</v>
      </c>
      <c r="C55" s="683" t="s">
        <v>242</v>
      </c>
      <c r="D55" s="840" t="s">
        <v>1174</v>
      </c>
      <c r="E55" s="684" t="s">
        <v>991</v>
      </c>
      <c r="F55" s="684" t="s">
        <v>1175</v>
      </c>
      <c r="G55" s="684">
        <v>53</v>
      </c>
      <c r="H55" s="684"/>
      <c r="I55" s="684" t="s">
        <v>1156</v>
      </c>
      <c r="J55" s="688">
        <v>23463</v>
      </c>
      <c r="K55" s="684" t="s">
        <v>1157</v>
      </c>
      <c r="L55" s="684" t="s">
        <v>1176</v>
      </c>
      <c r="M55" s="686" t="s">
        <v>1177</v>
      </c>
      <c r="N55" s="448" t="s">
        <v>1178</v>
      </c>
      <c r="R55" s="639" t="s">
        <v>1050</v>
      </c>
      <c r="S55" s="449">
        <v>32</v>
      </c>
      <c r="T55" s="449" t="s">
        <v>259</v>
      </c>
      <c r="U55" s="639"/>
      <c r="V55" s="639" t="s">
        <v>1179</v>
      </c>
    </row>
    <row r="56" spans="1:27" ht="15">
      <c r="A56" s="27">
        <v>53</v>
      </c>
      <c r="B56" s="169">
        <v>86</v>
      </c>
      <c r="C56" s="170" t="s">
        <v>383</v>
      </c>
      <c r="D56" s="838" t="s">
        <v>1180</v>
      </c>
      <c r="E56" s="141" t="s">
        <v>991</v>
      </c>
      <c r="F56" s="141" t="s">
        <v>1181</v>
      </c>
      <c r="G56" s="141">
        <v>45</v>
      </c>
      <c r="H56" s="141"/>
      <c r="I56" s="141" t="s">
        <v>1182</v>
      </c>
      <c r="J56" s="150">
        <v>25799</v>
      </c>
      <c r="K56" s="141" t="s">
        <v>1157</v>
      </c>
      <c r="L56" s="141" t="s">
        <v>1183</v>
      </c>
      <c r="M56" s="701" t="s">
        <v>1184</v>
      </c>
      <c r="N56" t="s">
        <v>1185</v>
      </c>
      <c r="R56" s="639" t="s">
        <v>1067</v>
      </c>
      <c r="S56" s="449">
        <v>41</v>
      </c>
      <c r="T56" s="449" t="s">
        <v>259</v>
      </c>
      <c r="U56" s="639"/>
      <c r="V56" s="639" t="s">
        <v>1179</v>
      </c>
    </row>
    <row r="57" spans="1:27" ht="15">
      <c r="A57" s="27">
        <v>54</v>
      </c>
      <c r="B57" s="169">
        <v>87</v>
      </c>
      <c r="C57" s="170" t="s">
        <v>414</v>
      </c>
      <c r="D57" s="838" t="s">
        <v>416</v>
      </c>
      <c r="E57" s="141" t="s">
        <v>991</v>
      </c>
      <c r="F57" s="141" t="s">
        <v>1186</v>
      </c>
      <c r="G57" s="141">
        <v>49</v>
      </c>
      <c r="H57" s="141"/>
      <c r="I57" s="141" t="s">
        <v>1156</v>
      </c>
      <c r="J57" s="150">
        <v>24210</v>
      </c>
      <c r="K57" s="141" t="s">
        <v>1157</v>
      </c>
      <c r="L57" s="141" t="s">
        <v>1187</v>
      </c>
      <c r="M57" s="440" t="s">
        <v>1188</v>
      </c>
      <c r="R57" s="639" t="s">
        <v>1115</v>
      </c>
      <c r="S57" s="449">
        <v>67</v>
      </c>
      <c r="T57" s="449" t="s">
        <v>259</v>
      </c>
      <c r="U57" s="639"/>
      <c r="V57" s="639" t="s">
        <v>1179</v>
      </c>
    </row>
    <row r="58" spans="1:27" ht="15">
      <c r="A58" s="27">
        <v>55</v>
      </c>
      <c r="B58" s="169">
        <v>90</v>
      </c>
      <c r="C58" s="172" t="s">
        <v>39</v>
      </c>
      <c r="D58" s="843" t="s">
        <v>1189</v>
      </c>
      <c r="E58" s="141" t="s">
        <v>991</v>
      </c>
      <c r="F58" s="154" t="s">
        <v>1190</v>
      </c>
      <c r="G58" s="141">
        <v>48</v>
      </c>
      <c r="H58" s="141"/>
      <c r="I58" s="141" t="s">
        <v>1156</v>
      </c>
      <c r="J58" s="150">
        <v>25488</v>
      </c>
      <c r="K58" s="141" t="s">
        <v>1157</v>
      </c>
      <c r="L58" s="141" t="s">
        <v>1191</v>
      </c>
      <c r="M58" s="440" t="s">
        <v>1192</v>
      </c>
      <c r="R58" s="639" t="s">
        <v>54</v>
      </c>
      <c r="S58" s="449">
        <v>71</v>
      </c>
      <c r="T58" s="449" t="s">
        <v>259</v>
      </c>
      <c r="U58" s="639"/>
      <c r="V58" s="639" t="s">
        <v>1173</v>
      </c>
    </row>
    <row r="59" spans="1:27" ht="15">
      <c r="A59" s="27">
        <v>56</v>
      </c>
      <c r="B59" s="169">
        <v>92</v>
      </c>
      <c r="C59" s="170" t="s">
        <v>280</v>
      </c>
      <c r="D59" s="838" t="s">
        <v>1193</v>
      </c>
      <c r="E59" s="141" t="s">
        <v>991</v>
      </c>
      <c r="F59" s="141" t="s">
        <v>1194</v>
      </c>
      <c r="G59" s="141">
        <v>53</v>
      </c>
      <c r="H59" s="141"/>
      <c r="I59" s="141" t="s">
        <v>1156</v>
      </c>
      <c r="J59" s="150">
        <v>22784</v>
      </c>
      <c r="K59" s="141" t="s">
        <v>1195</v>
      </c>
      <c r="L59" s="141"/>
      <c r="M59" s="440" t="s">
        <v>1196</v>
      </c>
      <c r="R59" s="639" t="s">
        <v>202</v>
      </c>
      <c r="S59" s="449">
        <v>81</v>
      </c>
      <c r="T59" s="449" t="s">
        <v>1165</v>
      </c>
      <c r="V59" s="639" t="s">
        <v>1197</v>
      </c>
    </row>
    <row r="60" spans="1:27" ht="15">
      <c r="A60" s="27">
        <v>57</v>
      </c>
      <c r="B60" s="682">
        <v>93</v>
      </c>
      <c r="C60" s="683" t="s">
        <v>1198</v>
      </c>
      <c r="D60" s="840" t="s">
        <v>1199</v>
      </c>
      <c r="E60" s="684" t="s">
        <v>991</v>
      </c>
      <c r="F60" s="684" t="s">
        <v>1200</v>
      </c>
      <c r="G60" s="684">
        <v>43</v>
      </c>
      <c r="H60" s="684"/>
      <c r="I60" s="684" t="s">
        <v>1156</v>
      </c>
      <c r="J60" s="688">
        <v>26315</v>
      </c>
      <c r="K60" s="684" t="s">
        <v>1201</v>
      </c>
      <c r="L60" s="684"/>
      <c r="M60" s="686" t="s">
        <v>1202</v>
      </c>
      <c r="R60" s="639" t="s">
        <v>153</v>
      </c>
      <c r="S60" s="449">
        <v>79</v>
      </c>
      <c r="T60" s="449" t="s">
        <v>259</v>
      </c>
      <c r="U60" s="639"/>
      <c r="V60" s="639" t="s">
        <v>1203</v>
      </c>
    </row>
    <row r="61" spans="1:27" ht="15">
      <c r="A61" s="27">
        <v>58</v>
      </c>
      <c r="B61" s="169">
        <v>94</v>
      </c>
      <c r="C61" s="170" t="s">
        <v>1204</v>
      </c>
      <c r="D61" s="839" t="s">
        <v>1205</v>
      </c>
      <c r="E61" s="141" t="s">
        <v>991</v>
      </c>
      <c r="F61" s="144" t="s">
        <v>1206</v>
      </c>
      <c r="G61" s="141">
        <v>71</v>
      </c>
      <c r="H61" s="141"/>
      <c r="I61" s="141" t="s">
        <v>1182</v>
      </c>
      <c r="J61" s="150">
        <v>17507</v>
      </c>
      <c r="K61" s="141" t="s">
        <v>1157</v>
      </c>
      <c r="L61" s="141"/>
      <c r="M61" s="440" t="s">
        <v>1207</v>
      </c>
      <c r="R61" s="639" t="s">
        <v>1198</v>
      </c>
      <c r="S61" s="449">
        <v>93</v>
      </c>
      <c r="T61" s="449" t="s">
        <v>259</v>
      </c>
      <c r="U61" s="639"/>
      <c r="V61" s="639" t="s">
        <v>1179</v>
      </c>
    </row>
    <row r="62" spans="1:27" ht="15">
      <c r="A62" s="27">
        <v>59</v>
      </c>
      <c r="B62" s="682">
        <v>95</v>
      </c>
      <c r="C62" s="689" t="s">
        <v>218</v>
      </c>
      <c r="D62" s="844" t="s">
        <v>1208</v>
      </c>
      <c r="E62" s="684" t="s">
        <v>991</v>
      </c>
      <c r="F62" s="690" t="s">
        <v>1209</v>
      </c>
      <c r="G62" s="684">
        <v>54</v>
      </c>
      <c r="H62" s="684"/>
      <c r="I62" s="684" t="s">
        <v>1156</v>
      </c>
      <c r="J62" s="688">
        <v>23159</v>
      </c>
      <c r="K62" s="684" t="s">
        <v>1157</v>
      </c>
      <c r="L62" s="684" t="s">
        <v>1210</v>
      </c>
      <c r="M62" s="686" t="s">
        <v>1211</v>
      </c>
      <c r="N62" s="77" t="s">
        <v>1212</v>
      </c>
      <c r="R62" s="639" t="s">
        <v>1213</v>
      </c>
      <c r="S62" s="449">
        <v>100</v>
      </c>
      <c r="T62" s="449" t="s">
        <v>259</v>
      </c>
      <c r="U62" s="639"/>
      <c r="V62" s="639" t="s">
        <v>1179</v>
      </c>
    </row>
    <row r="63" spans="1:27" ht="15">
      <c r="A63" s="27">
        <v>60</v>
      </c>
      <c r="B63" s="169">
        <v>96</v>
      </c>
      <c r="C63" s="170" t="s">
        <v>295</v>
      </c>
      <c r="D63" s="839" t="s">
        <v>1214</v>
      </c>
      <c r="E63" s="141" t="s">
        <v>991</v>
      </c>
      <c r="F63" s="144" t="s">
        <v>1215</v>
      </c>
      <c r="G63" s="141">
        <v>49</v>
      </c>
      <c r="H63" s="141"/>
      <c r="I63" s="141" t="s">
        <v>1156</v>
      </c>
      <c r="J63" s="150">
        <v>24471</v>
      </c>
      <c r="K63" s="141" t="s">
        <v>1157</v>
      </c>
      <c r="L63" s="141" t="s">
        <v>1216</v>
      </c>
      <c r="M63" s="440" t="s">
        <v>1217</v>
      </c>
      <c r="R63" s="639" t="s">
        <v>1218</v>
      </c>
      <c r="S63" s="449">
        <v>138</v>
      </c>
      <c r="T63" s="639" t="s">
        <v>259</v>
      </c>
      <c r="U63" s="639"/>
      <c r="V63" s="639" t="s">
        <v>1179</v>
      </c>
    </row>
    <row r="64" spans="1:27" ht="15">
      <c r="A64" s="27">
        <v>61</v>
      </c>
      <c r="B64" s="169">
        <v>97</v>
      </c>
      <c r="C64" s="170" t="s">
        <v>52</v>
      </c>
      <c r="D64" s="838" t="s">
        <v>1219</v>
      </c>
      <c r="E64" s="141" t="s">
        <v>991</v>
      </c>
      <c r="F64" s="141" t="s">
        <v>1220</v>
      </c>
      <c r="G64" s="141">
        <v>48</v>
      </c>
      <c r="H64" s="141"/>
      <c r="I64" s="141" t="s">
        <v>1156</v>
      </c>
      <c r="J64" s="150">
        <v>25179</v>
      </c>
      <c r="K64" s="141" t="s">
        <v>1157</v>
      </c>
      <c r="L64" s="141" t="s">
        <v>1221</v>
      </c>
      <c r="M64" s="440" t="s">
        <v>1222</v>
      </c>
      <c r="R64" s="639" t="s">
        <v>1223</v>
      </c>
      <c r="S64" s="449">
        <v>154</v>
      </c>
      <c r="T64" s="639" t="s">
        <v>259</v>
      </c>
      <c r="U64" s="639"/>
      <c r="V64" s="639" t="s">
        <v>1179</v>
      </c>
    </row>
    <row r="65" spans="1:22" ht="15">
      <c r="A65" s="27">
        <v>62</v>
      </c>
      <c r="B65" s="169">
        <v>99</v>
      </c>
      <c r="C65" s="170" t="s">
        <v>86</v>
      </c>
      <c r="D65" s="839" t="s">
        <v>1224</v>
      </c>
      <c r="E65" s="141" t="s">
        <v>991</v>
      </c>
      <c r="F65" s="144" t="s">
        <v>1225</v>
      </c>
      <c r="G65" s="141">
        <v>50</v>
      </c>
      <c r="H65" s="141"/>
      <c r="I65" s="141" t="s">
        <v>1156</v>
      </c>
      <c r="J65" s="150">
        <v>24677</v>
      </c>
      <c r="K65" s="141" t="s">
        <v>1157</v>
      </c>
      <c r="L65" s="141"/>
      <c r="M65" s="442" t="s">
        <v>1226</v>
      </c>
      <c r="N65" s="170" t="s">
        <v>1227</v>
      </c>
      <c r="R65" s="639" t="s">
        <v>278</v>
      </c>
      <c r="S65" s="449">
        <v>199</v>
      </c>
      <c r="T65" s="639" t="s">
        <v>259</v>
      </c>
      <c r="U65" s="639"/>
      <c r="V65" s="639" t="s">
        <v>1228</v>
      </c>
    </row>
    <row r="66" spans="1:22" ht="15">
      <c r="A66" s="27">
        <v>63</v>
      </c>
      <c r="B66" s="682">
        <v>100</v>
      </c>
      <c r="C66" s="683" t="s">
        <v>1213</v>
      </c>
      <c r="D66" s="841" t="s">
        <v>1229</v>
      </c>
      <c r="E66" s="684" t="s">
        <v>991</v>
      </c>
      <c r="F66" s="687" t="s">
        <v>1230</v>
      </c>
      <c r="G66" s="684">
        <v>39</v>
      </c>
      <c r="H66" s="684"/>
      <c r="I66" s="684" t="s">
        <v>1156</v>
      </c>
      <c r="J66" s="688">
        <v>28506</v>
      </c>
      <c r="K66" s="684" t="s">
        <v>1157</v>
      </c>
      <c r="L66" s="684" t="s">
        <v>1231</v>
      </c>
      <c r="M66" s="686" t="s">
        <v>1232</v>
      </c>
      <c r="N66" s="448" t="s">
        <v>1027</v>
      </c>
      <c r="R66" s="639" t="s">
        <v>1233</v>
      </c>
      <c r="S66" s="449">
        <v>207</v>
      </c>
      <c r="T66" s="639" t="s">
        <v>259</v>
      </c>
      <c r="U66" s="639"/>
      <c r="V66" s="639" t="s">
        <v>1179</v>
      </c>
    </row>
    <row r="67" spans="1:22" ht="15">
      <c r="A67" s="27" t="s">
        <v>997</v>
      </c>
      <c r="B67" s="169">
        <v>101</v>
      </c>
      <c r="C67" s="170" t="s">
        <v>1234</v>
      </c>
      <c r="D67" s="839" t="s">
        <v>1235</v>
      </c>
      <c r="E67" s="141" t="s">
        <v>991</v>
      </c>
      <c r="F67" s="144" t="s">
        <v>1236</v>
      </c>
      <c r="G67" s="141">
        <v>38</v>
      </c>
      <c r="H67" s="141"/>
      <c r="I67" s="141" t="s">
        <v>1156</v>
      </c>
      <c r="J67" s="150">
        <v>29563</v>
      </c>
      <c r="K67" s="141" t="s">
        <v>1201</v>
      </c>
      <c r="L67" s="141"/>
      <c r="M67" s="440" t="s">
        <v>1237</v>
      </c>
      <c r="R67" s="639" t="s">
        <v>340</v>
      </c>
      <c r="S67" s="449">
        <v>212</v>
      </c>
      <c r="T67" s="639" t="s">
        <v>259</v>
      </c>
      <c r="U67" s="639"/>
      <c r="V67" s="639" t="s">
        <v>1173</v>
      </c>
    </row>
    <row r="68" spans="1:22" ht="15">
      <c r="A68" s="27">
        <v>65</v>
      </c>
      <c r="B68" s="169">
        <v>102</v>
      </c>
      <c r="C68" s="170" t="s">
        <v>1238</v>
      </c>
      <c r="D68" s="838" t="s">
        <v>760</v>
      </c>
      <c r="E68" s="141" t="s">
        <v>991</v>
      </c>
      <c r="F68" s="141" t="s">
        <v>1239</v>
      </c>
      <c r="G68" s="141">
        <v>61</v>
      </c>
      <c r="H68" s="141"/>
      <c r="I68" s="141" t="s">
        <v>1156</v>
      </c>
      <c r="J68" s="150">
        <v>22077</v>
      </c>
      <c r="K68" s="141" t="s">
        <v>1201</v>
      </c>
      <c r="L68" s="141"/>
      <c r="M68" s="677" t="s">
        <v>1240</v>
      </c>
      <c r="N68" t="s">
        <v>1241</v>
      </c>
      <c r="R68" s="639" t="s">
        <v>1242</v>
      </c>
      <c r="S68" s="449">
        <v>217</v>
      </c>
      <c r="T68" s="639" t="s">
        <v>259</v>
      </c>
      <c r="U68" s="639"/>
      <c r="V68" s="639" t="s">
        <v>1179</v>
      </c>
    </row>
    <row r="69" spans="1:22" ht="15">
      <c r="A69" s="27">
        <v>66</v>
      </c>
      <c r="B69" s="169">
        <v>103</v>
      </c>
      <c r="C69" s="170" t="s">
        <v>764</v>
      </c>
      <c r="D69" s="838" t="s">
        <v>765</v>
      </c>
      <c r="E69" s="141" t="s">
        <v>991</v>
      </c>
      <c r="F69" s="141" t="s">
        <v>1243</v>
      </c>
      <c r="G69" s="141">
        <v>42</v>
      </c>
      <c r="H69" s="141"/>
      <c r="I69" s="141" t="s">
        <v>1156</v>
      </c>
      <c r="J69" s="150">
        <v>27011</v>
      </c>
      <c r="K69" s="141" t="s">
        <v>1157</v>
      </c>
      <c r="L69" s="141" t="s">
        <v>1244</v>
      </c>
      <c r="M69" s="440" t="s">
        <v>1245</v>
      </c>
      <c r="R69" s="639" t="s">
        <v>220</v>
      </c>
      <c r="S69" s="449">
        <v>220</v>
      </c>
      <c r="T69" s="639" t="s">
        <v>259</v>
      </c>
      <c r="U69" s="639"/>
      <c r="V69" s="639" t="s">
        <v>1179</v>
      </c>
    </row>
    <row r="70" spans="1:22">
      <c r="A70" s="27">
        <v>67</v>
      </c>
      <c r="B70" s="169">
        <v>104</v>
      </c>
      <c r="C70" s="170" t="s">
        <v>141</v>
      </c>
      <c r="D70" s="838" t="s">
        <v>142</v>
      </c>
      <c r="E70" s="141" t="s">
        <v>991</v>
      </c>
      <c r="F70" s="141" t="s">
        <v>1246</v>
      </c>
      <c r="G70" s="141">
        <v>49</v>
      </c>
      <c r="H70" s="141"/>
      <c r="I70" s="141" t="s">
        <v>1156</v>
      </c>
      <c r="J70" s="150">
        <v>24229</v>
      </c>
      <c r="K70" s="141" t="s">
        <v>1157</v>
      </c>
      <c r="L70" s="141"/>
      <c r="M70" s="440" t="s">
        <v>1247</v>
      </c>
    </row>
    <row r="71" spans="1:22">
      <c r="A71" s="27">
        <v>68</v>
      </c>
      <c r="B71" s="169">
        <v>106</v>
      </c>
      <c r="C71" s="170" t="s">
        <v>1248</v>
      </c>
      <c r="D71" s="838" t="s">
        <v>1249</v>
      </c>
      <c r="E71" s="141" t="s">
        <v>991</v>
      </c>
      <c r="F71" s="141" t="s">
        <v>1250</v>
      </c>
      <c r="G71" s="141">
        <v>42</v>
      </c>
      <c r="H71" s="141"/>
      <c r="I71" s="141" t="s">
        <v>1156</v>
      </c>
      <c r="J71" s="150">
        <v>27459</v>
      </c>
      <c r="K71" s="141" t="s">
        <v>1157</v>
      </c>
      <c r="L71" s="141" t="s">
        <v>1251</v>
      </c>
      <c r="M71" s="440" t="s">
        <v>1252</v>
      </c>
    </row>
    <row r="72" spans="1:22">
      <c r="A72" s="27">
        <v>69</v>
      </c>
      <c r="B72" s="682">
        <v>107</v>
      </c>
      <c r="C72" s="683" t="s">
        <v>248</v>
      </c>
      <c r="D72" s="840" t="s">
        <v>1253</v>
      </c>
      <c r="E72" s="684" t="s">
        <v>991</v>
      </c>
      <c r="F72" s="684" t="s">
        <v>1254</v>
      </c>
      <c r="G72" s="684">
        <v>38</v>
      </c>
      <c r="H72" s="684"/>
      <c r="I72" s="684" t="s">
        <v>1182</v>
      </c>
      <c r="J72" s="688">
        <v>29066</v>
      </c>
      <c r="K72" s="684" t="s">
        <v>1157</v>
      </c>
      <c r="L72" s="684" t="s">
        <v>761</v>
      </c>
      <c r="M72" s="686" t="s">
        <v>1255</v>
      </c>
      <c r="N72" s="77" t="s">
        <v>1256</v>
      </c>
    </row>
    <row r="73" spans="1:22">
      <c r="A73" s="27">
        <v>70</v>
      </c>
      <c r="B73" s="682">
        <v>108</v>
      </c>
      <c r="C73" s="683" t="s">
        <v>255</v>
      </c>
      <c r="D73" s="840" t="s">
        <v>1257</v>
      </c>
      <c r="E73" s="684" t="s">
        <v>991</v>
      </c>
      <c r="F73" s="684" t="s">
        <v>1258</v>
      </c>
      <c r="G73" s="684">
        <v>55</v>
      </c>
      <c r="H73" s="684"/>
      <c r="I73" s="684" t="s">
        <v>1156</v>
      </c>
      <c r="J73" s="688">
        <v>21973</v>
      </c>
      <c r="K73" s="684" t="s">
        <v>1157</v>
      </c>
      <c r="L73" s="684" t="s">
        <v>1259</v>
      </c>
      <c r="M73" s="686" t="s">
        <v>1260</v>
      </c>
      <c r="N73" s="77" t="s">
        <v>1261</v>
      </c>
    </row>
    <row r="74" spans="1:22">
      <c r="A74" s="27">
        <v>71</v>
      </c>
      <c r="B74" s="682">
        <v>109</v>
      </c>
      <c r="C74" s="683" t="s">
        <v>244</v>
      </c>
      <c r="D74" s="840" t="s">
        <v>1262</v>
      </c>
      <c r="E74" s="684" t="s">
        <v>991</v>
      </c>
      <c r="F74" s="684" t="s">
        <v>1263</v>
      </c>
      <c r="G74" s="684">
        <v>40</v>
      </c>
      <c r="H74" s="684"/>
      <c r="I74" s="684" t="s">
        <v>1156</v>
      </c>
      <c r="J74" s="688">
        <v>27696</v>
      </c>
      <c r="K74" s="684" t="s">
        <v>1157</v>
      </c>
      <c r="L74" s="684" t="s">
        <v>1264</v>
      </c>
      <c r="M74" s="686" t="s">
        <v>1265</v>
      </c>
      <c r="N74" s="77" t="s">
        <v>1266</v>
      </c>
    </row>
    <row r="75" spans="1:22">
      <c r="A75" s="27">
        <v>72</v>
      </c>
      <c r="B75" s="682">
        <v>110</v>
      </c>
      <c r="C75" s="683" t="s">
        <v>246</v>
      </c>
      <c r="D75" s="840" t="s">
        <v>1264</v>
      </c>
      <c r="E75" s="684" t="s">
        <v>991</v>
      </c>
      <c r="F75" s="684" t="s">
        <v>1267</v>
      </c>
      <c r="G75" s="684">
        <v>47</v>
      </c>
      <c r="H75" s="684"/>
      <c r="I75" s="684" t="s">
        <v>1182</v>
      </c>
      <c r="J75" s="688">
        <v>25058</v>
      </c>
      <c r="K75" s="684" t="s">
        <v>1157</v>
      </c>
      <c r="L75" s="684" t="s">
        <v>1262</v>
      </c>
      <c r="M75" s="686" t="s">
        <v>1268</v>
      </c>
      <c r="N75" s="77" t="s">
        <v>1266</v>
      </c>
    </row>
    <row r="76" spans="1:22">
      <c r="A76" s="27" t="s">
        <v>997</v>
      </c>
      <c r="B76" s="169">
        <v>111</v>
      </c>
      <c r="C76" s="170" t="s">
        <v>1269</v>
      </c>
      <c r="D76" s="839" t="s">
        <v>1270</v>
      </c>
      <c r="E76" s="141" t="s">
        <v>991</v>
      </c>
      <c r="F76" s="144" t="s">
        <v>1271</v>
      </c>
      <c r="G76" s="141">
        <v>60</v>
      </c>
      <c r="H76" s="141"/>
      <c r="I76" s="141" t="s">
        <v>1156</v>
      </c>
      <c r="J76" s="150">
        <v>21287</v>
      </c>
      <c r="K76" s="141" t="s">
        <v>1157</v>
      </c>
      <c r="L76" s="141" t="s">
        <v>1272</v>
      </c>
      <c r="M76" s="440" t="s">
        <v>1273</v>
      </c>
    </row>
    <row r="77" spans="1:22">
      <c r="A77" s="27">
        <v>74</v>
      </c>
      <c r="B77" s="682">
        <v>114</v>
      </c>
      <c r="C77" s="683" t="s">
        <v>77</v>
      </c>
      <c r="D77" s="841" t="s">
        <v>741</v>
      </c>
      <c r="E77" s="684" t="s">
        <v>991</v>
      </c>
      <c r="F77" s="687" t="s">
        <v>1274</v>
      </c>
      <c r="G77" s="684">
        <v>44</v>
      </c>
      <c r="H77" s="684"/>
      <c r="I77" s="684"/>
      <c r="J77" s="688">
        <v>28226</v>
      </c>
      <c r="K77" s="684" t="s">
        <v>1157</v>
      </c>
      <c r="L77" s="684" t="s">
        <v>1275</v>
      </c>
      <c r="M77" s="686" t="s">
        <v>1276</v>
      </c>
      <c r="N77" s="448" t="s">
        <v>1027</v>
      </c>
    </row>
    <row r="78" spans="1:22">
      <c r="A78" s="27">
        <v>75</v>
      </c>
      <c r="B78" s="169">
        <v>116</v>
      </c>
      <c r="C78" s="170" t="s">
        <v>132</v>
      </c>
      <c r="D78" s="838" t="s">
        <v>133</v>
      </c>
      <c r="E78" s="141" t="s">
        <v>991</v>
      </c>
      <c r="F78" s="141" t="s">
        <v>1277</v>
      </c>
      <c r="G78" s="141">
        <v>42</v>
      </c>
      <c r="H78" s="141"/>
      <c r="I78" s="141" t="s">
        <v>1156</v>
      </c>
      <c r="J78" s="150">
        <v>27370</v>
      </c>
      <c r="K78" s="141" t="s">
        <v>1157</v>
      </c>
      <c r="L78" s="141" t="s">
        <v>135</v>
      </c>
      <c r="M78" s="440" t="s">
        <v>1278</v>
      </c>
    </row>
    <row r="79" spans="1:22">
      <c r="A79" s="27">
        <v>76</v>
      </c>
      <c r="B79" s="169">
        <v>117</v>
      </c>
      <c r="C79" s="170" t="s">
        <v>135</v>
      </c>
      <c r="D79" s="838" t="s">
        <v>136</v>
      </c>
      <c r="E79" s="141" t="s">
        <v>991</v>
      </c>
      <c r="F79" s="141" t="s">
        <v>1279</v>
      </c>
      <c r="G79" s="141">
        <v>43</v>
      </c>
      <c r="H79" s="141"/>
      <c r="I79" s="141" t="s">
        <v>1182</v>
      </c>
      <c r="J79" s="150">
        <v>27045</v>
      </c>
      <c r="K79" s="141" t="s">
        <v>1157</v>
      </c>
      <c r="L79" s="141" t="s">
        <v>133</v>
      </c>
      <c r="M79" s="440" t="s">
        <v>1280</v>
      </c>
    </row>
    <row r="80" spans="1:22">
      <c r="A80" s="27">
        <v>77</v>
      </c>
      <c r="B80" s="169">
        <v>120</v>
      </c>
      <c r="C80" s="170" t="s">
        <v>88</v>
      </c>
      <c r="D80" s="839" t="s">
        <v>1281</v>
      </c>
      <c r="E80" s="141" t="s">
        <v>991</v>
      </c>
      <c r="F80" s="144" t="s">
        <v>1282</v>
      </c>
      <c r="G80" s="141">
        <v>49</v>
      </c>
      <c r="H80" s="141"/>
      <c r="I80" s="141" t="s">
        <v>1156</v>
      </c>
      <c r="J80" s="150">
        <v>25465</v>
      </c>
      <c r="K80" s="141" t="s">
        <v>1157</v>
      </c>
      <c r="L80" s="141" t="s">
        <v>1283</v>
      </c>
      <c r="M80" s="440" t="s">
        <v>1284</v>
      </c>
    </row>
    <row r="81" spans="1:14">
      <c r="A81" s="27">
        <v>78</v>
      </c>
      <c r="B81" s="169">
        <v>123</v>
      </c>
      <c r="C81" s="170" t="s">
        <v>196</v>
      </c>
      <c r="D81" s="839" t="s">
        <v>803</v>
      </c>
      <c r="E81" s="141" t="s">
        <v>991</v>
      </c>
      <c r="F81" s="144" t="s">
        <v>1285</v>
      </c>
      <c r="G81" s="141">
        <v>36</v>
      </c>
      <c r="H81" s="141"/>
      <c r="I81" s="141" t="s">
        <v>1156</v>
      </c>
      <c r="J81" s="150">
        <v>30204</v>
      </c>
      <c r="K81" s="141" t="s">
        <v>1157</v>
      </c>
      <c r="L81" s="141" t="s">
        <v>1286</v>
      </c>
      <c r="M81" s="440" t="s">
        <v>1287</v>
      </c>
    </row>
    <row r="82" spans="1:14">
      <c r="A82" s="27"/>
      <c r="B82" s="682">
        <v>124</v>
      </c>
      <c r="C82" s="683" t="s">
        <v>150</v>
      </c>
      <c r="D82" s="840" t="s">
        <v>1288</v>
      </c>
      <c r="E82" s="684" t="s">
        <v>991</v>
      </c>
      <c r="F82" s="684" t="s">
        <v>1289</v>
      </c>
      <c r="G82" s="684">
        <v>35</v>
      </c>
      <c r="H82" s="684"/>
      <c r="I82" s="684" t="s">
        <v>1156</v>
      </c>
      <c r="J82" s="688">
        <v>29517</v>
      </c>
      <c r="K82" s="684" t="s">
        <v>1157</v>
      </c>
      <c r="L82" s="684" t="s">
        <v>1290</v>
      </c>
      <c r="M82" s="686" t="s">
        <v>1291</v>
      </c>
      <c r="N82" s="448" t="s">
        <v>1292</v>
      </c>
    </row>
    <row r="83" spans="1:14">
      <c r="A83" s="27">
        <v>79</v>
      </c>
      <c r="B83" s="169">
        <v>126</v>
      </c>
      <c r="C83" s="170" t="s">
        <v>63</v>
      </c>
      <c r="D83" s="838" t="s">
        <v>1293</v>
      </c>
      <c r="E83" s="141" t="s">
        <v>991</v>
      </c>
      <c r="F83" s="725" t="s">
        <v>1294</v>
      </c>
      <c r="G83" s="141">
        <v>58</v>
      </c>
      <c r="H83" s="141"/>
      <c r="I83" s="141" t="s">
        <v>1156</v>
      </c>
      <c r="J83" s="150">
        <v>20942</v>
      </c>
      <c r="K83" s="141" t="s">
        <v>1157</v>
      </c>
      <c r="L83" s="141" t="s">
        <v>1295</v>
      </c>
      <c r="M83" s="440" t="s">
        <v>1296</v>
      </c>
    </row>
    <row r="84" spans="1:14">
      <c r="A84" s="27">
        <v>80</v>
      </c>
      <c r="B84" s="169">
        <v>127</v>
      </c>
      <c r="C84" s="170" t="s">
        <v>114</v>
      </c>
      <c r="D84" s="838" t="s">
        <v>1297</v>
      </c>
      <c r="E84" s="141" t="s">
        <v>991</v>
      </c>
      <c r="F84" s="141" t="s">
        <v>1298</v>
      </c>
      <c r="G84" s="141">
        <v>61</v>
      </c>
      <c r="H84" s="141"/>
      <c r="I84" s="141" t="s">
        <v>1156</v>
      </c>
      <c r="J84" s="150" t="s">
        <v>1298</v>
      </c>
      <c r="K84" s="141" t="s">
        <v>1157</v>
      </c>
      <c r="L84" s="141" t="s">
        <v>1299</v>
      </c>
      <c r="M84" s="440" t="s">
        <v>1300</v>
      </c>
    </row>
    <row r="85" spans="1:14">
      <c r="A85" s="27">
        <v>81</v>
      </c>
      <c r="B85" s="169">
        <v>128</v>
      </c>
      <c r="C85" s="170" t="s">
        <v>1301</v>
      </c>
      <c r="D85" s="838" t="s">
        <v>439</v>
      </c>
      <c r="E85" s="141" t="s">
        <v>991</v>
      </c>
      <c r="F85" s="141" t="s">
        <v>1302</v>
      </c>
      <c r="G85" s="141">
        <v>40</v>
      </c>
      <c r="H85" s="141"/>
      <c r="I85" s="141" t="s">
        <v>1182</v>
      </c>
      <c r="J85" s="150" t="s">
        <v>1303</v>
      </c>
      <c r="K85" s="141" t="s">
        <v>1157</v>
      </c>
      <c r="L85" s="141" t="s">
        <v>1304</v>
      </c>
      <c r="M85" s="440" t="s">
        <v>1305</v>
      </c>
    </row>
    <row r="86" spans="1:14">
      <c r="A86" s="27">
        <v>82</v>
      </c>
      <c r="B86" s="169">
        <v>130</v>
      </c>
      <c r="C86" s="170" t="s">
        <v>1306</v>
      </c>
      <c r="D86" s="838" t="s">
        <v>505</v>
      </c>
      <c r="E86" s="141" t="s">
        <v>991</v>
      </c>
      <c r="F86" s="141" t="s">
        <v>1307</v>
      </c>
      <c r="G86" s="141">
        <v>39</v>
      </c>
      <c r="H86" s="141"/>
      <c r="I86" s="141" t="s">
        <v>1156</v>
      </c>
      <c r="J86" s="150">
        <v>27860</v>
      </c>
      <c r="K86" s="141" t="s">
        <v>1157</v>
      </c>
      <c r="L86" s="141" t="s">
        <v>1308</v>
      </c>
      <c r="M86" s="440" t="s">
        <v>1309</v>
      </c>
    </row>
    <row r="87" spans="1:14">
      <c r="A87" s="27">
        <v>83</v>
      </c>
      <c r="B87" s="169">
        <v>131</v>
      </c>
      <c r="C87" s="170" t="s">
        <v>102</v>
      </c>
      <c r="D87" s="838" t="s">
        <v>1310</v>
      </c>
      <c r="E87" s="141" t="s">
        <v>991</v>
      </c>
      <c r="F87" s="141" t="s">
        <v>1311</v>
      </c>
      <c r="G87" s="141">
        <v>46</v>
      </c>
      <c r="H87" s="141"/>
      <c r="I87" s="141" t="s">
        <v>1156</v>
      </c>
      <c r="J87" s="150">
        <v>25537</v>
      </c>
      <c r="K87" s="141" t="s">
        <v>1157</v>
      </c>
      <c r="L87" s="141" t="s">
        <v>1312</v>
      </c>
      <c r="M87" s="440" t="s">
        <v>1313</v>
      </c>
    </row>
    <row r="88" spans="1:14">
      <c r="A88" s="27">
        <v>84</v>
      </c>
      <c r="B88" s="169">
        <v>132</v>
      </c>
      <c r="C88" s="172" t="s">
        <v>299</v>
      </c>
      <c r="D88" s="845" t="s">
        <v>1314</v>
      </c>
      <c r="E88" s="141" t="s">
        <v>991</v>
      </c>
      <c r="F88" s="156" t="s">
        <v>1315</v>
      </c>
      <c r="G88" s="141">
        <v>28</v>
      </c>
      <c r="H88" s="141"/>
      <c r="I88" s="141" t="s">
        <v>1182</v>
      </c>
      <c r="J88" s="150">
        <v>32508</v>
      </c>
      <c r="K88" s="141" t="s">
        <v>1201</v>
      </c>
      <c r="L88" s="141"/>
      <c r="M88" s="440" t="s">
        <v>1316</v>
      </c>
    </row>
    <row r="89" spans="1:14">
      <c r="A89" s="27">
        <v>85</v>
      </c>
      <c r="B89" s="169">
        <v>134</v>
      </c>
      <c r="C89" s="172" t="s">
        <v>389</v>
      </c>
      <c r="D89" s="843" t="s">
        <v>852</v>
      </c>
      <c r="E89" s="141" t="s">
        <v>991</v>
      </c>
      <c r="F89" s="154" t="s">
        <v>1317</v>
      </c>
      <c r="G89" s="141">
        <v>32</v>
      </c>
      <c r="H89" s="141"/>
      <c r="I89" s="141" t="s">
        <v>1156</v>
      </c>
      <c r="J89" s="150">
        <v>31215</v>
      </c>
      <c r="K89" s="141" t="s">
        <v>1157</v>
      </c>
      <c r="L89" s="141" t="s">
        <v>1318</v>
      </c>
      <c r="M89" s="440" t="s">
        <v>1319</v>
      </c>
    </row>
    <row r="90" spans="1:14">
      <c r="A90" s="27">
        <v>86</v>
      </c>
      <c r="B90" s="169">
        <v>135</v>
      </c>
      <c r="C90" s="172" t="s">
        <v>391</v>
      </c>
      <c r="D90" s="843" t="s">
        <v>853</v>
      </c>
      <c r="E90" s="141" t="s">
        <v>991</v>
      </c>
      <c r="F90" s="154" t="s">
        <v>1320</v>
      </c>
      <c r="G90" s="141">
        <v>32</v>
      </c>
      <c r="H90" s="141"/>
      <c r="I90" s="141" t="s">
        <v>1182</v>
      </c>
      <c r="J90" s="150">
        <v>31266</v>
      </c>
      <c r="K90" s="141" t="s">
        <v>1157</v>
      </c>
      <c r="L90" s="141" t="s">
        <v>852</v>
      </c>
      <c r="M90" s="440" t="s">
        <v>1321</v>
      </c>
    </row>
    <row r="91" spans="1:14">
      <c r="A91" s="27">
        <v>87</v>
      </c>
      <c r="B91" s="169">
        <v>136</v>
      </c>
      <c r="C91" s="170" t="s">
        <v>376</v>
      </c>
      <c r="D91" s="838" t="s">
        <v>1322</v>
      </c>
      <c r="E91" s="141" t="s">
        <v>991</v>
      </c>
      <c r="F91" s="141" t="s">
        <v>1323</v>
      </c>
      <c r="G91" s="141">
        <v>64</v>
      </c>
      <c r="H91" s="141"/>
      <c r="I91" s="141" t="s">
        <v>1156</v>
      </c>
      <c r="J91" s="150">
        <v>19326</v>
      </c>
      <c r="K91" s="141" t="s">
        <v>1201</v>
      </c>
      <c r="L91" s="141"/>
      <c r="M91" s="440" t="s">
        <v>1324</v>
      </c>
    </row>
    <row r="92" spans="1:14">
      <c r="A92" s="27">
        <v>88</v>
      </c>
      <c r="B92" s="169">
        <v>137</v>
      </c>
      <c r="C92" s="170" t="s">
        <v>165</v>
      </c>
      <c r="D92" s="838" t="s">
        <v>606</v>
      </c>
      <c r="E92" s="141" t="s">
        <v>991</v>
      </c>
      <c r="F92" s="141" t="s">
        <v>1325</v>
      </c>
      <c r="G92" s="141">
        <v>53</v>
      </c>
      <c r="H92" s="141"/>
      <c r="I92" s="141" t="s">
        <v>1156</v>
      </c>
      <c r="J92" s="150">
        <v>23359</v>
      </c>
      <c r="K92" s="141" t="s">
        <v>1201</v>
      </c>
      <c r="L92" s="141"/>
      <c r="M92" s="440" t="s">
        <v>1326</v>
      </c>
    </row>
    <row r="93" spans="1:14">
      <c r="A93" s="27">
        <v>89</v>
      </c>
      <c r="B93" s="682">
        <v>138</v>
      </c>
      <c r="C93" s="683" t="s">
        <v>1218</v>
      </c>
      <c r="D93" s="840" t="s">
        <v>1327</v>
      </c>
      <c r="E93" s="684" t="s">
        <v>991</v>
      </c>
      <c r="F93" s="684" t="s">
        <v>1328</v>
      </c>
      <c r="G93" s="684">
        <v>59</v>
      </c>
      <c r="H93" s="684"/>
      <c r="I93" s="684" t="s">
        <v>1156</v>
      </c>
      <c r="J93" s="688">
        <v>20907</v>
      </c>
      <c r="K93" s="684" t="s">
        <v>1157</v>
      </c>
      <c r="L93" s="684" t="s">
        <v>1329</v>
      </c>
      <c r="M93" s="686" t="s">
        <v>1330</v>
      </c>
    </row>
    <row r="94" spans="1:14">
      <c r="A94" s="27">
        <v>90</v>
      </c>
      <c r="B94" s="169">
        <v>139</v>
      </c>
      <c r="C94" s="170" t="s">
        <v>419</v>
      </c>
      <c r="D94" s="838" t="s">
        <v>420</v>
      </c>
      <c r="E94" s="141" t="s">
        <v>991</v>
      </c>
      <c r="F94" s="141" t="s">
        <v>1331</v>
      </c>
      <c r="G94" s="141">
        <v>33</v>
      </c>
      <c r="H94" s="141"/>
      <c r="I94" s="141" t="s">
        <v>1156</v>
      </c>
      <c r="J94" s="150">
        <v>30384</v>
      </c>
      <c r="K94" s="141" t="s">
        <v>1201</v>
      </c>
      <c r="L94" s="141"/>
      <c r="M94" s="440" t="s">
        <v>1332</v>
      </c>
    </row>
    <row r="95" spans="1:14">
      <c r="A95" s="27" t="s">
        <v>997</v>
      </c>
      <c r="B95" s="151">
        <v>141</v>
      </c>
      <c r="C95" s="170" t="s">
        <v>1333</v>
      </c>
      <c r="D95" s="839" t="s">
        <v>1334</v>
      </c>
      <c r="E95" s="141" t="s">
        <v>991</v>
      </c>
      <c r="F95" s="144" t="s">
        <v>1335</v>
      </c>
      <c r="G95" s="141">
        <v>45</v>
      </c>
      <c r="H95" s="141"/>
      <c r="I95" s="141" t="s">
        <v>1156</v>
      </c>
      <c r="J95" s="150">
        <v>25758</v>
      </c>
      <c r="K95" s="141" t="s">
        <v>1157</v>
      </c>
      <c r="L95" s="141" t="s">
        <v>1336</v>
      </c>
      <c r="M95" s="440" t="s">
        <v>1337</v>
      </c>
    </row>
    <row r="96" spans="1:14">
      <c r="A96" s="27" t="s">
        <v>997</v>
      </c>
      <c r="B96" s="151">
        <v>142</v>
      </c>
      <c r="C96" s="170" t="s">
        <v>1338</v>
      </c>
      <c r="D96" s="839" t="s">
        <v>1339</v>
      </c>
      <c r="E96" s="141" t="s">
        <v>991</v>
      </c>
      <c r="F96" s="144" t="s">
        <v>1340</v>
      </c>
      <c r="G96" s="141">
        <v>43</v>
      </c>
      <c r="H96" s="141"/>
      <c r="I96" s="141" t="s">
        <v>1182</v>
      </c>
      <c r="J96" s="150">
        <v>26990</v>
      </c>
      <c r="K96" s="141" t="s">
        <v>1157</v>
      </c>
      <c r="L96" s="141" t="s">
        <v>1341</v>
      </c>
      <c r="M96" s="440" t="s">
        <v>1342</v>
      </c>
    </row>
    <row r="97" spans="1:14">
      <c r="A97" s="27">
        <v>93</v>
      </c>
      <c r="B97" s="151">
        <v>143</v>
      </c>
      <c r="C97" s="170" t="s">
        <v>231</v>
      </c>
      <c r="D97" s="838" t="s">
        <v>1343</v>
      </c>
      <c r="E97" s="141" t="s">
        <v>991</v>
      </c>
      <c r="F97" s="141" t="s">
        <v>1344</v>
      </c>
      <c r="G97" s="141">
        <v>25</v>
      </c>
      <c r="H97" s="141"/>
      <c r="I97" s="141" t="s">
        <v>1156</v>
      </c>
      <c r="J97" s="150">
        <v>33210</v>
      </c>
      <c r="K97" s="141" t="s">
        <v>1201</v>
      </c>
      <c r="L97" s="141"/>
      <c r="M97" s="440" t="s">
        <v>1345</v>
      </c>
    </row>
    <row r="98" spans="1:14">
      <c r="A98" s="27">
        <v>94</v>
      </c>
      <c r="B98" s="151">
        <v>144</v>
      </c>
      <c r="C98" s="170" t="s">
        <v>257</v>
      </c>
      <c r="D98" s="839" t="s">
        <v>1346</v>
      </c>
      <c r="E98" s="141" t="s">
        <v>991</v>
      </c>
      <c r="F98" s="144" t="s">
        <v>1347</v>
      </c>
      <c r="G98" s="141">
        <v>46</v>
      </c>
      <c r="H98" s="141"/>
      <c r="I98" s="141" t="s">
        <v>1156</v>
      </c>
      <c r="J98" s="150">
        <v>26302</v>
      </c>
      <c r="K98" s="141" t="s">
        <v>1157</v>
      </c>
      <c r="L98" s="141" t="s">
        <v>1348</v>
      </c>
      <c r="M98" s="440" t="s">
        <v>1349</v>
      </c>
    </row>
    <row r="99" spans="1:14">
      <c r="A99" s="27">
        <v>95</v>
      </c>
      <c r="B99" s="151">
        <v>145</v>
      </c>
      <c r="C99" s="170" t="s">
        <v>429</v>
      </c>
      <c r="D99" s="838" t="s">
        <v>431</v>
      </c>
      <c r="E99" s="141" t="s">
        <v>991</v>
      </c>
      <c r="F99" s="141" t="s">
        <v>1350</v>
      </c>
      <c r="G99" s="141">
        <v>21</v>
      </c>
      <c r="H99" s="141"/>
      <c r="I99" s="141" t="s">
        <v>1182</v>
      </c>
      <c r="J99" s="150">
        <v>34485</v>
      </c>
      <c r="K99" s="141" t="s">
        <v>1201</v>
      </c>
      <c r="L99" s="141"/>
      <c r="M99" s="440" t="s">
        <v>1351</v>
      </c>
    </row>
    <row r="100" spans="1:14">
      <c r="A100" s="27">
        <v>96</v>
      </c>
      <c r="B100" s="682">
        <v>147</v>
      </c>
      <c r="C100" s="683" t="s">
        <v>253</v>
      </c>
      <c r="D100" s="840" t="s">
        <v>1352</v>
      </c>
      <c r="E100" s="684" t="s">
        <v>991</v>
      </c>
      <c r="F100" s="684" t="s">
        <v>1353</v>
      </c>
      <c r="G100" s="684">
        <v>45</v>
      </c>
      <c r="H100" s="684"/>
      <c r="I100" s="684" t="s">
        <v>1182</v>
      </c>
      <c r="J100" s="688">
        <v>26141</v>
      </c>
      <c r="K100" s="684" t="s">
        <v>1201</v>
      </c>
      <c r="L100" s="684"/>
      <c r="M100" s="686" t="s">
        <v>1354</v>
      </c>
      <c r="N100" s="77" t="s">
        <v>1355</v>
      </c>
    </row>
    <row r="101" spans="1:14">
      <c r="A101" s="27">
        <v>97</v>
      </c>
      <c r="B101" s="151">
        <v>148</v>
      </c>
      <c r="C101" s="170" t="s">
        <v>305</v>
      </c>
      <c r="D101" s="838" t="s">
        <v>1356</v>
      </c>
      <c r="E101" s="141" t="s">
        <v>991</v>
      </c>
      <c r="F101" s="141" t="s">
        <v>1357</v>
      </c>
      <c r="G101" s="141">
        <v>48</v>
      </c>
      <c r="H101" s="141"/>
      <c r="I101" s="141" t="s">
        <v>1156</v>
      </c>
      <c r="J101" s="150">
        <v>25148</v>
      </c>
      <c r="K101" s="141" t="s">
        <v>1157</v>
      </c>
      <c r="L101" s="141" t="s">
        <v>1358</v>
      </c>
      <c r="M101" s="440" t="s">
        <v>1359</v>
      </c>
    </row>
    <row r="102" spans="1:14">
      <c r="A102" s="27">
        <v>98</v>
      </c>
      <c r="B102" s="151">
        <v>149</v>
      </c>
      <c r="C102" s="170" t="s">
        <v>1360</v>
      </c>
      <c r="D102" s="838" t="s">
        <v>1361</v>
      </c>
      <c r="E102" s="141" t="s">
        <v>991</v>
      </c>
      <c r="F102" s="141" t="s">
        <v>1362</v>
      </c>
      <c r="G102" s="141">
        <v>54</v>
      </c>
      <c r="H102" s="141"/>
      <c r="I102" s="141" t="s">
        <v>1182</v>
      </c>
      <c r="J102" s="150">
        <v>22777</v>
      </c>
      <c r="K102" s="141" t="s">
        <v>1157</v>
      </c>
      <c r="L102" s="141" t="s">
        <v>1363</v>
      </c>
      <c r="M102" s="440" t="s">
        <v>1364</v>
      </c>
    </row>
    <row r="103" spans="1:14">
      <c r="A103" s="27">
        <v>99</v>
      </c>
      <c r="B103" s="151">
        <v>150</v>
      </c>
      <c r="C103" s="170" t="s">
        <v>1363</v>
      </c>
      <c r="D103" s="838" t="s">
        <v>1365</v>
      </c>
      <c r="E103" s="141" t="s">
        <v>991</v>
      </c>
      <c r="F103" s="141" t="s">
        <v>1366</v>
      </c>
      <c r="G103" s="141">
        <v>53</v>
      </c>
      <c r="H103" s="141"/>
      <c r="I103" s="141" t="s">
        <v>1156</v>
      </c>
      <c r="J103" s="150" t="s">
        <v>1366</v>
      </c>
      <c r="K103" s="141" t="s">
        <v>1157</v>
      </c>
      <c r="L103" s="141" t="s">
        <v>1360</v>
      </c>
      <c r="M103" s="440" t="s">
        <v>1364</v>
      </c>
    </row>
    <row r="104" spans="1:14">
      <c r="A104" s="27">
        <v>100</v>
      </c>
      <c r="B104" s="151">
        <v>151</v>
      </c>
      <c r="C104" s="170" t="s">
        <v>1367</v>
      </c>
      <c r="D104" s="839" t="s">
        <v>1368</v>
      </c>
      <c r="E104" s="141" t="s">
        <v>991</v>
      </c>
      <c r="F104" s="144" t="s">
        <v>1369</v>
      </c>
      <c r="G104" s="141">
        <v>44</v>
      </c>
      <c r="H104" s="141"/>
      <c r="I104" s="141" t="s">
        <v>1182</v>
      </c>
      <c r="J104" s="150" t="s">
        <v>1369</v>
      </c>
      <c r="K104" s="141" t="s">
        <v>1157</v>
      </c>
      <c r="L104" s="141" t="s">
        <v>1370</v>
      </c>
      <c r="M104" s="440" t="s">
        <v>1371</v>
      </c>
    </row>
    <row r="105" spans="1:14">
      <c r="A105" s="27">
        <v>101</v>
      </c>
      <c r="B105" s="151">
        <v>152</v>
      </c>
      <c r="C105" s="170" t="s">
        <v>1372</v>
      </c>
      <c r="D105" s="838" t="s">
        <v>1373</v>
      </c>
      <c r="E105" s="141" t="s">
        <v>991</v>
      </c>
      <c r="F105" s="141" t="s">
        <v>1374</v>
      </c>
      <c r="G105" s="141">
        <v>65</v>
      </c>
      <c r="H105" s="141"/>
      <c r="I105" s="141" t="s">
        <v>1182</v>
      </c>
      <c r="J105" s="150">
        <v>18524</v>
      </c>
      <c r="K105" s="141"/>
      <c r="L105" s="141" t="s">
        <v>1375</v>
      </c>
      <c r="M105" s="440" t="s">
        <v>1376</v>
      </c>
    </row>
    <row r="106" spans="1:14">
      <c r="A106" s="27">
        <v>102</v>
      </c>
      <c r="B106" s="682">
        <v>154</v>
      </c>
      <c r="C106" s="683" t="s">
        <v>1223</v>
      </c>
      <c r="D106" s="840" t="s">
        <v>1377</v>
      </c>
      <c r="E106" s="684" t="s">
        <v>991</v>
      </c>
      <c r="F106" s="684" t="s">
        <v>1378</v>
      </c>
      <c r="G106" s="684">
        <v>39</v>
      </c>
      <c r="H106" s="684"/>
      <c r="I106" s="684" t="s">
        <v>1182</v>
      </c>
      <c r="J106" s="688">
        <v>28499</v>
      </c>
      <c r="K106" s="684"/>
      <c r="L106" s="684"/>
      <c r="M106" s="686" t="s">
        <v>1379</v>
      </c>
    </row>
    <row r="107" spans="1:14">
      <c r="A107" s="27">
        <v>103</v>
      </c>
      <c r="B107" s="151">
        <v>155</v>
      </c>
      <c r="C107" s="170" t="s">
        <v>172</v>
      </c>
      <c r="D107" s="838" t="s">
        <v>546</v>
      </c>
      <c r="E107" s="141" t="s">
        <v>991</v>
      </c>
      <c r="F107" s="141" t="s">
        <v>1380</v>
      </c>
      <c r="G107" s="141">
        <v>68</v>
      </c>
      <c r="H107" s="141"/>
      <c r="I107" s="141" t="s">
        <v>1156</v>
      </c>
      <c r="J107" s="150" t="s">
        <v>1381</v>
      </c>
      <c r="K107" s="141" t="s">
        <v>1157</v>
      </c>
      <c r="L107" s="141"/>
      <c r="M107" s="440" t="s">
        <v>1382</v>
      </c>
    </row>
    <row r="108" spans="1:14">
      <c r="A108" s="27"/>
      <c r="B108" s="682">
        <v>157</v>
      </c>
      <c r="C108" s="683" t="s">
        <v>1383</v>
      </c>
      <c r="D108" s="841" t="s">
        <v>1384</v>
      </c>
      <c r="E108" s="684" t="s">
        <v>991</v>
      </c>
      <c r="F108" s="687" t="s">
        <v>1385</v>
      </c>
      <c r="G108" s="684">
        <v>50</v>
      </c>
      <c r="H108" s="684"/>
      <c r="I108" s="684" t="s">
        <v>1156</v>
      </c>
      <c r="J108" s="688">
        <v>24570</v>
      </c>
      <c r="K108" s="684" t="s">
        <v>1157</v>
      </c>
      <c r="L108" s="684" t="s">
        <v>1386</v>
      </c>
      <c r="M108" s="686" t="s">
        <v>1387</v>
      </c>
      <c r="N108" s="448" t="s">
        <v>1388</v>
      </c>
    </row>
    <row r="109" spans="1:14">
      <c r="A109" s="27"/>
      <c r="B109" s="682">
        <v>158</v>
      </c>
      <c r="C109" s="683" t="s">
        <v>1389</v>
      </c>
      <c r="D109" s="840" t="s">
        <v>1390</v>
      </c>
      <c r="E109" s="684" t="s">
        <v>991</v>
      </c>
      <c r="F109" s="684" t="s">
        <v>1391</v>
      </c>
      <c r="G109" s="684">
        <v>49</v>
      </c>
      <c r="H109" s="684"/>
      <c r="I109" s="684" t="s">
        <v>1182</v>
      </c>
      <c r="J109" s="688">
        <v>24524</v>
      </c>
      <c r="K109" s="684" t="s">
        <v>1157</v>
      </c>
      <c r="L109" s="684" t="s">
        <v>1392</v>
      </c>
      <c r="M109" s="686" t="s">
        <v>1393</v>
      </c>
      <c r="N109" s="448" t="s">
        <v>1256</v>
      </c>
    </row>
    <row r="110" spans="1:14">
      <c r="A110" s="27"/>
      <c r="B110" s="151">
        <v>160</v>
      </c>
      <c r="C110" s="170" t="s">
        <v>319</v>
      </c>
      <c r="D110" s="838" t="s">
        <v>1394</v>
      </c>
      <c r="E110" s="141" t="s">
        <v>991</v>
      </c>
      <c r="F110" s="141" t="s">
        <v>1395</v>
      </c>
      <c r="G110" s="141">
        <v>37</v>
      </c>
      <c r="H110" s="141"/>
      <c r="I110" s="141" t="s">
        <v>1156</v>
      </c>
      <c r="J110" s="150" t="s">
        <v>1396</v>
      </c>
      <c r="K110" s="141" t="s">
        <v>1157</v>
      </c>
      <c r="L110" s="141" t="s">
        <v>1397</v>
      </c>
      <c r="M110" s="440" t="s">
        <v>1398</v>
      </c>
    </row>
    <row r="111" spans="1:14">
      <c r="A111" s="27"/>
      <c r="B111" s="682">
        <v>161</v>
      </c>
      <c r="C111" s="683" t="s">
        <v>1399</v>
      </c>
      <c r="D111" s="840" t="s">
        <v>1400</v>
      </c>
      <c r="E111" s="684" t="s">
        <v>991</v>
      </c>
      <c r="F111" s="684" t="s">
        <v>1401</v>
      </c>
      <c r="G111" s="684">
        <v>55</v>
      </c>
      <c r="H111" s="684"/>
      <c r="I111" s="684" t="s">
        <v>1156</v>
      </c>
      <c r="J111" s="688">
        <v>22088</v>
      </c>
      <c r="K111" s="684"/>
      <c r="L111" s="684"/>
      <c r="M111" s="686" t="s">
        <v>1402</v>
      </c>
    </row>
    <row r="112" spans="1:14">
      <c r="A112" s="27">
        <v>108</v>
      </c>
      <c r="B112" s="151">
        <v>162</v>
      </c>
      <c r="C112" s="170" t="s">
        <v>123</v>
      </c>
      <c r="D112" s="839" t="s">
        <v>126</v>
      </c>
      <c r="E112" s="141" t="s">
        <v>991</v>
      </c>
      <c r="F112" s="144" t="s">
        <v>1403</v>
      </c>
      <c r="G112" s="141">
        <v>43</v>
      </c>
      <c r="H112" s="158">
        <f ca="1">(TODAY()-J112)/365</f>
        <v>51.558904109589044</v>
      </c>
      <c r="I112" s="141" t="s">
        <v>1156</v>
      </c>
      <c r="J112" s="150">
        <v>27404</v>
      </c>
      <c r="K112" s="141" t="s">
        <v>1157</v>
      </c>
      <c r="L112" s="141"/>
      <c r="M112" s="440" t="s">
        <v>1404</v>
      </c>
    </row>
    <row r="113" spans="1:14">
      <c r="A113" s="27">
        <v>109</v>
      </c>
      <c r="B113" s="682">
        <v>163</v>
      </c>
      <c r="C113" s="683" t="s">
        <v>1405</v>
      </c>
      <c r="D113" s="841" t="s">
        <v>1406</v>
      </c>
      <c r="E113" s="684" t="s">
        <v>991</v>
      </c>
      <c r="F113" s="687" t="s">
        <v>1407</v>
      </c>
      <c r="G113" s="684">
        <v>69</v>
      </c>
      <c r="H113" s="691">
        <f ca="1">(TODAY()-J113)/365</f>
        <v>78.413698630136992</v>
      </c>
      <c r="I113" s="684" t="s">
        <v>1156</v>
      </c>
      <c r="J113" s="688">
        <v>17602</v>
      </c>
      <c r="K113" s="684" t="s">
        <v>1408</v>
      </c>
      <c r="L113" s="684"/>
      <c r="M113" s="686" t="s">
        <v>1409</v>
      </c>
      <c r="N113" s="448" t="s">
        <v>1410</v>
      </c>
    </row>
    <row r="114" spans="1:14">
      <c r="A114" s="27">
        <v>110</v>
      </c>
      <c r="B114" s="151">
        <v>164</v>
      </c>
      <c r="C114" s="170" t="s">
        <v>316</v>
      </c>
      <c r="D114" s="839"/>
      <c r="E114" s="141" t="s">
        <v>991</v>
      </c>
      <c r="F114" s="144" t="s">
        <v>1411</v>
      </c>
      <c r="G114" s="141">
        <v>37</v>
      </c>
      <c r="H114" s="158">
        <f t="shared" ref="H114:H169" ca="1" si="0">(TODAY()-J114)/365</f>
        <v>45.208219178082189</v>
      </c>
      <c r="I114" s="141" t="s">
        <v>1156</v>
      </c>
      <c r="J114" s="150">
        <v>29722</v>
      </c>
      <c r="K114" s="141" t="s">
        <v>1157</v>
      </c>
      <c r="L114" s="141" t="s">
        <v>1110</v>
      </c>
      <c r="M114" s="440" t="s">
        <v>1412</v>
      </c>
      <c r="N114" t="s">
        <v>1413</v>
      </c>
    </row>
    <row r="115" spans="1:14">
      <c r="A115" s="27">
        <v>111</v>
      </c>
      <c r="B115" s="151">
        <v>167</v>
      </c>
      <c r="C115" s="170" t="s">
        <v>282</v>
      </c>
      <c r="D115" s="839" t="s">
        <v>1414</v>
      </c>
      <c r="E115" s="141" t="s">
        <v>991</v>
      </c>
      <c r="F115" s="144" t="s">
        <v>1415</v>
      </c>
      <c r="G115" s="141">
        <v>19</v>
      </c>
      <c r="H115" s="158">
        <f t="shared" ca="1" si="0"/>
        <v>26.945205479452056</v>
      </c>
      <c r="I115" s="141" t="s">
        <v>1156</v>
      </c>
      <c r="J115" s="150">
        <v>36388</v>
      </c>
      <c r="K115" s="141" t="s">
        <v>1201</v>
      </c>
      <c r="L115" s="141"/>
      <c r="M115" s="440" t="s">
        <v>1196</v>
      </c>
    </row>
    <row r="116" spans="1:14">
      <c r="A116" s="27">
        <v>112</v>
      </c>
      <c r="B116" s="151">
        <v>168</v>
      </c>
      <c r="C116" s="170" t="s">
        <v>292</v>
      </c>
      <c r="D116" s="839" t="s">
        <v>1416</v>
      </c>
      <c r="E116" s="141" t="s">
        <v>991</v>
      </c>
      <c r="F116" s="144" t="s">
        <v>1417</v>
      </c>
      <c r="G116" s="141">
        <v>61</v>
      </c>
      <c r="H116" s="158">
        <f t="shared" ca="1" si="0"/>
        <v>68.873972602739727</v>
      </c>
      <c r="I116" s="141" t="s">
        <v>1156</v>
      </c>
      <c r="J116" s="150">
        <v>21084</v>
      </c>
      <c r="K116" s="141" t="s">
        <v>1157</v>
      </c>
      <c r="L116" s="141" t="s">
        <v>1418</v>
      </c>
      <c r="M116" s="440" t="s">
        <v>1419</v>
      </c>
    </row>
    <row r="117" spans="1:14">
      <c r="A117" s="27">
        <v>113</v>
      </c>
      <c r="B117" s="151">
        <v>169</v>
      </c>
      <c r="C117" s="170" t="s">
        <v>1420</v>
      </c>
      <c r="D117" s="76"/>
      <c r="E117" s="141" t="s">
        <v>991</v>
      </c>
      <c r="F117" s="144" t="s">
        <v>1421</v>
      </c>
      <c r="G117" s="141">
        <v>43</v>
      </c>
      <c r="H117" s="158">
        <f t="shared" ca="1" si="0"/>
        <v>50.605479452054794</v>
      </c>
      <c r="I117" s="141" t="s">
        <v>1156</v>
      </c>
      <c r="J117" s="150">
        <v>27752</v>
      </c>
      <c r="K117" s="141" t="s">
        <v>1157</v>
      </c>
      <c r="L117" s="141" t="s">
        <v>1422</v>
      </c>
      <c r="M117" s="440" t="s">
        <v>1423</v>
      </c>
    </row>
    <row r="118" spans="1:14">
      <c r="A118" s="27">
        <v>114</v>
      </c>
      <c r="B118" s="151">
        <v>170</v>
      </c>
      <c r="C118" s="170" t="s">
        <v>120</v>
      </c>
      <c r="D118" s="839" t="s">
        <v>1424</v>
      </c>
      <c r="E118" s="141" t="s">
        <v>991</v>
      </c>
      <c r="F118" s="144" t="s">
        <v>1425</v>
      </c>
      <c r="G118" s="141">
        <v>47</v>
      </c>
      <c r="H118" s="158">
        <f t="shared" ca="1" si="0"/>
        <v>54.591780821917808</v>
      </c>
      <c r="I118" s="141" t="s">
        <v>1156</v>
      </c>
      <c r="J118" s="150">
        <v>26297</v>
      </c>
      <c r="K118" s="141" t="s">
        <v>1157</v>
      </c>
      <c r="L118" s="141" t="s">
        <v>1426</v>
      </c>
      <c r="M118" s="440" t="s">
        <v>1427</v>
      </c>
    </row>
    <row r="119" spans="1:14">
      <c r="A119" s="27">
        <v>115</v>
      </c>
      <c r="B119" s="151">
        <v>172</v>
      </c>
      <c r="C119" s="170" t="s">
        <v>193</v>
      </c>
      <c r="D119" s="839" t="s">
        <v>194</v>
      </c>
      <c r="E119" s="141" t="s">
        <v>991</v>
      </c>
      <c r="F119" s="144" t="s">
        <v>1428</v>
      </c>
      <c r="G119" s="141">
        <v>33</v>
      </c>
      <c r="H119" s="158">
        <f t="shared" ca="1" si="0"/>
        <v>40.224657534246575</v>
      </c>
      <c r="I119" s="141" t="s">
        <v>1156</v>
      </c>
      <c r="J119" s="150">
        <v>31541</v>
      </c>
      <c r="K119" s="141" t="s">
        <v>1157</v>
      </c>
      <c r="L119" s="141" t="s">
        <v>1429</v>
      </c>
      <c r="M119" s="440" t="s">
        <v>1430</v>
      </c>
    </row>
    <row r="120" spans="1:14">
      <c r="A120" s="27">
        <v>116</v>
      </c>
      <c r="B120" s="151">
        <v>173</v>
      </c>
      <c r="C120" s="170" t="s">
        <v>1431</v>
      </c>
      <c r="D120" s="839" t="s">
        <v>1432</v>
      </c>
      <c r="E120" s="141" t="s">
        <v>991</v>
      </c>
      <c r="F120" s="144" t="s">
        <v>1433</v>
      </c>
      <c r="G120" s="141">
        <v>55</v>
      </c>
      <c r="H120" s="158">
        <f t="shared" ca="1" si="0"/>
        <v>61.61643835616438</v>
      </c>
      <c r="I120" s="141" t="s">
        <v>1156</v>
      </c>
      <c r="J120" s="150">
        <v>23733</v>
      </c>
      <c r="K120" s="141" t="s">
        <v>1157</v>
      </c>
      <c r="L120" s="141" t="s">
        <v>1434</v>
      </c>
      <c r="M120" s="440" t="s">
        <v>1435</v>
      </c>
    </row>
    <row r="121" spans="1:14">
      <c r="A121" s="27">
        <v>117</v>
      </c>
      <c r="B121" s="151">
        <v>174</v>
      </c>
      <c r="C121" s="170" t="s">
        <v>1436</v>
      </c>
      <c r="D121" s="839" t="s">
        <v>850</v>
      </c>
      <c r="E121" s="141" t="s">
        <v>991</v>
      </c>
      <c r="F121" s="144" t="s">
        <v>1437</v>
      </c>
      <c r="G121" s="141">
        <v>48</v>
      </c>
      <c r="H121" s="158">
        <f t="shared" ca="1" si="0"/>
        <v>55.698630136986303</v>
      </c>
      <c r="I121" s="141" t="s">
        <v>1156</v>
      </c>
      <c r="J121" s="150">
        <v>25893</v>
      </c>
      <c r="K121" s="141" t="s">
        <v>1157</v>
      </c>
      <c r="L121" s="141" t="s">
        <v>1438</v>
      </c>
      <c r="M121" s="440" t="s">
        <v>1439</v>
      </c>
    </row>
    <row r="122" spans="1:14">
      <c r="A122" s="27">
        <v>118</v>
      </c>
      <c r="B122" s="682">
        <v>175</v>
      </c>
      <c r="C122" s="683" t="s">
        <v>147</v>
      </c>
      <c r="D122" s="841" t="s">
        <v>148</v>
      </c>
      <c r="E122" s="684" t="s">
        <v>991</v>
      </c>
      <c r="F122" s="687" t="s">
        <v>1440</v>
      </c>
      <c r="G122" s="684">
        <v>45</v>
      </c>
      <c r="H122" s="691">
        <f t="shared" ca="1" si="0"/>
        <v>52.046575342465751</v>
      </c>
      <c r="I122" s="684" t="s">
        <v>1182</v>
      </c>
      <c r="J122" s="688">
        <v>27226</v>
      </c>
      <c r="K122" s="684" t="s">
        <v>1157</v>
      </c>
      <c r="L122" s="832"/>
      <c r="M122" s="686" t="s">
        <v>1441</v>
      </c>
      <c r="N122" s="833" t="s">
        <v>1687</v>
      </c>
    </row>
    <row r="123" spans="1:14">
      <c r="A123" s="27">
        <v>119</v>
      </c>
      <c r="B123" s="151">
        <v>176</v>
      </c>
      <c r="C123" s="170" t="s">
        <v>144</v>
      </c>
      <c r="D123" s="839" t="s">
        <v>1442</v>
      </c>
      <c r="E123" s="141" t="s">
        <v>991</v>
      </c>
      <c r="F123" s="144" t="s">
        <v>1443</v>
      </c>
      <c r="G123" s="141">
        <v>44</v>
      </c>
      <c r="H123" s="158">
        <f t="shared" ca="1" si="0"/>
        <v>52.419178082191777</v>
      </c>
      <c r="I123" s="141" t="s">
        <v>1156</v>
      </c>
      <c r="J123" s="150">
        <v>27090</v>
      </c>
      <c r="K123" s="141" t="s">
        <v>1157</v>
      </c>
      <c r="L123" s="141" t="s">
        <v>1444</v>
      </c>
      <c r="M123" s="440" t="s">
        <v>1445</v>
      </c>
    </row>
    <row r="124" spans="1:14">
      <c r="A124" s="27">
        <v>120</v>
      </c>
      <c r="B124" s="151">
        <v>177</v>
      </c>
      <c r="C124" s="170" t="s">
        <v>36</v>
      </c>
      <c r="D124" s="839" t="s">
        <v>1446</v>
      </c>
      <c r="E124" s="141" t="s">
        <v>991</v>
      </c>
      <c r="F124" s="144" t="s">
        <v>1447</v>
      </c>
      <c r="G124" s="141">
        <v>54</v>
      </c>
      <c r="H124" s="158">
        <f t="shared" ca="1" si="0"/>
        <v>60.224657534246575</v>
      </c>
      <c r="I124" s="141" t="s">
        <v>1156</v>
      </c>
      <c r="J124" s="150">
        <v>24241</v>
      </c>
      <c r="K124" s="141" t="s">
        <v>1201</v>
      </c>
      <c r="L124" s="141"/>
      <c r="M124" s="440" t="s">
        <v>1448</v>
      </c>
    </row>
    <row r="125" spans="1:14">
      <c r="A125" s="27">
        <v>121</v>
      </c>
      <c r="B125" s="151">
        <v>178</v>
      </c>
      <c r="C125" s="170" t="s">
        <v>1449</v>
      </c>
      <c r="D125" s="839" t="s">
        <v>1450</v>
      </c>
      <c r="E125" s="141" t="s">
        <v>991</v>
      </c>
      <c r="F125" s="144" t="s">
        <v>1451</v>
      </c>
      <c r="G125" s="141">
        <v>48</v>
      </c>
      <c r="H125" s="158">
        <f t="shared" ca="1" si="0"/>
        <v>56.301369863013697</v>
      </c>
      <c r="I125" s="141" t="s">
        <v>1156</v>
      </c>
      <c r="J125" s="150">
        <v>25673</v>
      </c>
      <c r="K125" s="141" t="s">
        <v>1201</v>
      </c>
      <c r="L125" s="141"/>
      <c r="M125" s="440" t="s">
        <v>1452</v>
      </c>
    </row>
    <row r="126" spans="1:14">
      <c r="A126" s="27">
        <v>122</v>
      </c>
      <c r="B126" s="682">
        <v>179</v>
      </c>
      <c r="C126" s="683" t="s">
        <v>235</v>
      </c>
      <c r="D126" s="841" t="s">
        <v>1453</v>
      </c>
      <c r="E126" s="684" t="s">
        <v>991</v>
      </c>
      <c r="F126" s="687" t="s">
        <v>1454</v>
      </c>
      <c r="G126" s="684">
        <v>70</v>
      </c>
      <c r="H126" s="691">
        <f t="shared" ca="1" si="0"/>
        <v>76.983561643835614</v>
      </c>
      <c r="I126" s="684" t="s">
        <v>1156</v>
      </c>
      <c r="J126" s="688">
        <v>18124</v>
      </c>
      <c r="K126" s="684"/>
      <c r="L126" s="684"/>
      <c r="M126" s="686" t="s">
        <v>1455</v>
      </c>
      <c r="N126" s="77" t="s">
        <v>1212</v>
      </c>
    </row>
    <row r="127" spans="1:14">
      <c r="A127" s="27">
        <v>123</v>
      </c>
      <c r="B127" s="140">
        <v>180</v>
      </c>
      <c r="C127" s="170" t="s">
        <v>379</v>
      </c>
      <c r="D127" s="839" t="s">
        <v>1456</v>
      </c>
      <c r="E127" s="141" t="s">
        <v>991</v>
      </c>
      <c r="F127" s="144" t="s">
        <v>1457</v>
      </c>
      <c r="G127" s="141">
        <v>16</v>
      </c>
      <c r="H127" s="158">
        <f t="shared" ca="1" si="0"/>
        <v>23.476712328767125</v>
      </c>
      <c r="I127" s="141" t="s">
        <v>1182</v>
      </c>
      <c r="J127" s="150">
        <v>37654</v>
      </c>
      <c r="K127" s="141" t="s">
        <v>1201</v>
      </c>
      <c r="L127" s="141"/>
      <c r="M127" s="440" t="s">
        <v>1458</v>
      </c>
    </row>
    <row r="128" spans="1:14">
      <c r="A128" s="27">
        <v>124</v>
      </c>
      <c r="B128" s="140">
        <v>181</v>
      </c>
      <c r="C128" s="170" t="s">
        <v>94</v>
      </c>
      <c r="D128" s="839" t="s">
        <v>1459</v>
      </c>
      <c r="E128" s="141" t="s">
        <v>991</v>
      </c>
      <c r="F128" s="144" t="s">
        <v>1460</v>
      </c>
      <c r="G128" s="141">
        <v>50</v>
      </c>
      <c r="H128" s="158">
        <f t="shared" ca="1" si="0"/>
        <v>57.62191780821918</v>
      </c>
      <c r="I128" s="141" t="s">
        <v>1156</v>
      </c>
      <c r="J128" s="150">
        <v>25191</v>
      </c>
      <c r="K128" s="141"/>
      <c r="L128" s="141"/>
      <c r="M128" s="440" t="s">
        <v>1461</v>
      </c>
    </row>
    <row r="129" spans="1:14">
      <c r="A129" s="27">
        <v>125</v>
      </c>
      <c r="B129" s="682">
        <v>182</v>
      </c>
      <c r="C129" s="683" t="s">
        <v>247</v>
      </c>
      <c r="D129" s="841" t="s">
        <v>1462</v>
      </c>
      <c r="E129" s="684" t="s">
        <v>991</v>
      </c>
      <c r="F129" s="687" t="s">
        <v>1463</v>
      </c>
      <c r="G129" s="684">
        <v>35</v>
      </c>
      <c r="H129" s="691">
        <f t="shared" ca="1" si="0"/>
        <v>41.868493150684934</v>
      </c>
      <c r="I129" s="684" t="s">
        <v>1156</v>
      </c>
      <c r="J129" s="688">
        <v>30941</v>
      </c>
      <c r="K129" s="684" t="s">
        <v>1157</v>
      </c>
      <c r="L129" s="684" t="s">
        <v>1464</v>
      </c>
      <c r="M129" s="686" t="s">
        <v>1465</v>
      </c>
      <c r="N129" s="77" t="s">
        <v>1212</v>
      </c>
    </row>
    <row r="130" spans="1:14">
      <c r="A130" s="27">
        <v>126</v>
      </c>
      <c r="B130" s="140">
        <v>183</v>
      </c>
      <c r="C130" s="170" t="s">
        <v>271</v>
      </c>
      <c r="D130" s="846" t="s">
        <v>1693</v>
      </c>
      <c r="E130" s="141" t="s">
        <v>991</v>
      </c>
      <c r="F130" s="835" t="s">
        <v>1694</v>
      </c>
      <c r="G130" s="141">
        <v>40</v>
      </c>
      <c r="H130" s="158">
        <f t="shared" ca="1" si="0"/>
        <v>47.041095890410958</v>
      </c>
      <c r="I130" s="141" t="s">
        <v>1156</v>
      </c>
      <c r="J130" s="150">
        <v>29053</v>
      </c>
      <c r="K130" s="141" t="s">
        <v>1157</v>
      </c>
      <c r="L130" s="141" t="s">
        <v>1468</v>
      </c>
      <c r="M130" s="440" t="s">
        <v>1469</v>
      </c>
    </row>
    <row r="131" spans="1:14" ht="28.8">
      <c r="A131" s="27">
        <v>127</v>
      </c>
      <c r="B131" s="140">
        <v>184</v>
      </c>
      <c r="C131" s="170" t="s">
        <v>288</v>
      </c>
      <c r="D131" s="839"/>
      <c r="E131" s="141" t="s">
        <v>991</v>
      </c>
      <c r="F131" s="144" t="s">
        <v>1470</v>
      </c>
      <c r="G131" s="141">
        <v>50</v>
      </c>
      <c r="H131" s="158">
        <f t="shared" ca="1" si="0"/>
        <v>57.334246575342469</v>
      </c>
      <c r="I131" s="141" t="s">
        <v>1156</v>
      </c>
      <c r="J131" s="150">
        <v>25296</v>
      </c>
      <c r="K131" s="141" t="s">
        <v>1157</v>
      </c>
      <c r="L131" s="141" t="s">
        <v>1471</v>
      </c>
      <c r="M131" s="443" t="s">
        <v>1472</v>
      </c>
    </row>
    <row r="132" spans="1:14">
      <c r="A132" s="27">
        <v>128</v>
      </c>
      <c r="B132" s="140">
        <v>185</v>
      </c>
      <c r="C132" s="170" t="s">
        <v>99</v>
      </c>
      <c r="D132" s="839" t="s">
        <v>1473</v>
      </c>
      <c r="E132" s="141" t="s">
        <v>991</v>
      </c>
      <c r="F132" s="160">
        <v>1910089</v>
      </c>
      <c r="G132" s="141">
        <v>50</v>
      </c>
      <c r="H132" s="158"/>
      <c r="I132" s="141" t="s">
        <v>1156</v>
      </c>
      <c r="J132" s="141" t="s">
        <v>1474</v>
      </c>
      <c r="K132" s="141" t="s">
        <v>1157</v>
      </c>
      <c r="L132" s="141" t="s">
        <v>1475</v>
      </c>
      <c r="M132" s="440" t="s">
        <v>1476</v>
      </c>
    </row>
    <row r="133" spans="1:14">
      <c r="A133" s="27">
        <v>129</v>
      </c>
      <c r="B133" s="140">
        <v>186</v>
      </c>
      <c r="C133" s="170" t="s">
        <v>73</v>
      </c>
      <c r="D133" s="839" t="s">
        <v>1477</v>
      </c>
      <c r="E133" s="141" t="s">
        <v>991</v>
      </c>
      <c r="F133" s="144" t="s">
        <v>1478</v>
      </c>
      <c r="G133" s="141">
        <v>56</v>
      </c>
      <c r="H133" s="158">
        <f t="shared" ca="1" si="0"/>
        <v>63.364383561643834</v>
      </c>
      <c r="I133" s="141" t="s">
        <v>1156</v>
      </c>
      <c r="J133" s="150">
        <v>23095</v>
      </c>
      <c r="K133" s="141" t="s">
        <v>1157</v>
      </c>
      <c r="L133" s="141" t="s">
        <v>1479</v>
      </c>
      <c r="M133" s="440" t="s">
        <v>1480</v>
      </c>
    </row>
    <row r="134" spans="1:14">
      <c r="A134" s="27">
        <v>130</v>
      </c>
      <c r="B134" s="140">
        <v>187</v>
      </c>
      <c r="C134" s="170" t="s">
        <v>1481</v>
      </c>
      <c r="D134" s="839" t="s">
        <v>1482</v>
      </c>
      <c r="E134" s="141" t="s">
        <v>991</v>
      </c>
      <c r="F134" s="144" t="s">
        <v>1483</v>
      </c>
      <c r="G134" s="141">
        <v>64</v>
      </c>
      <c r="H134" s="158">
        <f t="shared" ca="1" si="0"/>
        <v>71.671232876712324</v>
      </c>
      <c r="I134" s="141" t="s">
        <v>1156</v>
      </c>
      <c r="J134" s="150">
        <v>20063</v>
      </c>
      <c r="K134" s="141" t="s">
        <v>1157</v>
      </c>
      <c r="L134" s="141" t="s">
        <v>96</v>
      </c>
      <c r="M134" s="440" t="s">
        <v>1484</v>
      </c>
    </row>
    <row r="135" spans="1:14">
      <c r="A135" s="27">
        <v>131</v>
      </c>
      <c r="B135" s="140">
        <v>188</v>
      </c>
      <c r="C135" s="170" t="s">
        <v>175</v>
      </c>
      <c r="D135" s="839" t="s">
        <v>1485</v>
      </c>
      <c r="E135" s="141" t="s">
        <v>991</v>
      </c>
      <c r="F135" s="144" t="s">
        <v>1486</v>
      </c>
      <c r="G135" s="141">
        <v>43</v>
      </c>
      <c r="H135" s="158">
        <f t="shared" ca="1" si="0"/>
        <v>50.783561643835618</v>
      </c>
      <c r="I135" s="141" t="s">
        <v>1156</v>
      </c>
      <c r="J135" s="150">
        <v>27687</v>
      </c>
      <c r="K135" s="141" t="s">
        <v>1157</v>
      </c>
      <c r="L135" s="141" t="s">
        <v>1487</v>
      </c>
      <c r="M135" s="440" t="s">
        <v>1488</v>
      </c>
    </row>
    <row r="136" spans="1:14">
      <c r="A136" s="27">
        <v>132</v>
      </c>
      <c r="B136" s="140">
        <v>189</v>
      </c>
      <c r="C136" s="170" t="s">
        <v>48</v>
      </c>
      <c r="D136" s="839" t="s">
        <v>1489</v>
      </c>
      <c r="E136" s="141" t="s">
        <v>991</v>
      </c>
      <c r="F136" s="144" t="s">
        <v>1490</v>
      </c>
      <c r="G136" s="141">
        <v>64</v>
      </c>
      <c r="H136" s="158">
        <f t="shared" ca="1" si="0"/>
        <v>71.246575342465746</v>
      </c>
      <c r="I136" s="141" t="s">
        <v>1156</v>
      </c>
      <c r="J136" s="150">
        <v>20218</v>
      </c>
      <c r="K136" s="141" t="s">
        <v>1195</v>
      </c>
      <c r="L136" s="141"/>
      <c r="M136" s="440" t="s">
        <v>1491</v>
      </c>
    </row>
    <row r="137" spans="1:14">
      <c r="A137" s="27">
        <v>133</v>
      </c>
      <c r="B137" s="682">
        <v>190</v>
      </c>
      <c r="C137" s="683" t="s">
        <v>233</v>
      </c>
      <c r="D137" s="841" t="s">
        <v>1492</v>
      </c>
      <c r="E137" s="684" t="s">
        <v>991</v>
      </c>
      <c r="F137" s="687" t="s">
        <v>1493</v>
      </c>
      <c r="G137" s="684">
        <v>41</v>
      </c>
      <c r="H137" s="691">
        <f t="shared" ca="1" si="0"/>
        <v>47.704109589041096</v>
      </c>
      <c r="I137" s="684" t="s">
        <v>1156</v>
      </c>
      <c r="J137" s="688">
        <v>28811</v>
      </c>
      <c r="K137" s="684" t="s">
        <v>1157</v>
      </c>
      <c r="L137" s="684" t="s">
        <v>1494</v>
      </c>
      <c r="M137" s="686" t="s">
        <v>1495</v>
      </c>
      <c r="N137" s="77" t="s">
        <v>1496</v>
      </c>
    </row>
    <row r="138" spans="1:14">
      <c r="A138" s="27">
        <v>134</v>
      </c>
      <c r="B138" s="140">
        <v>191</v>
      </c>
      <c r="C138" s="170" t="s">
        <v>116</v>
      </c>
      <c r="D138" s="839" t="s">
        <v>1497</v>
      </c>
      <c r="E138" s="141" t="s">
        <v>991</v>
      </c>
      <c r="F138" s="144" t="s">
        <v>1498</v>
      </c>
      <c r="G138" s="141">
        <v>24</v>
      </c>
      <c r="H138" s="158">
        <f t="shared" ca="1" si="0"/>
        <v>30.80821917808219</v>
      </c>
      <c r="I138" s="141" t="s">
        <v>1156</v>
      </c>
      <c r="J138" s="150">
        <v>34978</v>
      </c>
      <c r="K138" s="141" t="s">
        <v>1201</v>
      </c>
      <c r="L138" s="141"/>
      <c r="M138" s="440" t="s">
        <v>1499</v>
      </c>
    </row>
    <row r="139" spans="1:14">
      <c r="A139" s="27">
        <v>135</v>
      </c>
      <c r="B139" s="140">
        <v>192</v>
      </c>
      <c r="C139" s="170" t="s">
        <v>42</v>
      </c>
      <c r="D139" s="839" t="s">
        <v>1500</v>
      </c>
      <c r="E139" s="141" t="s">
        <v>991</v>
      </c>
      <c r="F139" s="144" t="s">
        <v>1501</v>
      </c>
      <c r="G139" s="141">
        <v>26</v>
      </c>
      <c r="H139" s="158">
        <f t="shared" ca="1" si="0"/>
        <v>33.4</v>
      </c>
      <c r="I139" s="141" t="s">
        <v>1182</v>
      </c>
      <c r="J139" s="150">
        <v>34032</v>
      </c>
      <c r="K139" s="141" t="s">
        <v>1201</v>
      </c>
      <c r="L139" s="141"/>
      <c r="M139" s="440" t="s">
        <v>1502</v>
      </c>
    </row>
    <row r="140" spans="1:14">
      <c r="A140" s="27">
        <v>136</v>
      </c>
      <c r="B140" s="140">
        <v>193</v>
      </c>
      <c r="C140" s="170" t="s">
        <v>761</v>
      </c>
      <c r="D140" s="839" t="s">
        <v>1503</v>
      </c>
      <c r="E140" s="141" t="s">
        <v>991</v>
      </c>
      <c r="F140" s="144" t="s">
        <v>1504</v>
      </c>
      <c r="G140" s="141">
        <v>40</v>
      </c>
      <c r="H140" s="158">
        <f t="shared" ca="1" si="0"/>
        <v>47.172602739726024</v>
      </c>
      <c r="I140" s="141" t="s">
        <v>1156</v>
      </c>
      <c r="J140" s="150">
        <v>29005</v>
      </c>
      <c r="K140" s="141" t="s">
        <v>1157</v>
      </c>
      <c r="L140" s="141" t="s">
        <v>1253</v>
      </c>
      <c r="M140" s="440" t="s">
        <v>1255</v>
      </c>
    </row>
    <row r="141" spans="1:14">
      <c r="A141" s="27">
        <v>137</v>
      </c>
      <c r="B141" s="140">
        <v>194</v>
      </c>
      <c r="C141" s="170" t="s">
        <v>1505</v>
      </c>
      <c r="D141" s="839" t="s">
        <v>1506</v>
      </c>
      <c r="E141" s="141" t="s">
        <v>991</v>
      </c>
      <c r="F141" s="144" t="s">
        <v>1507</v>
      </c>
      <c r="G141" s="141">
        <v>31</v>
      </c>
      <c r="H141" s="158">
        <f t="shared" ca="1" si="0"/>
        <v>38.490410958904107</v>
      </c>
      <c r="I141" s="141" t="s">
        <v>1182</v>
      </c>
      <c r="J141" s="150">
        <v>32174</v>
      </c>
      <c r="K141" s="162" t="s">
        <v>1201</v>
      </c>
      <c r="L141" s="162"/>
      <c r="M141" s="444" t="s">
        <v>1508</v>
      </c>
    </row>
    <row r="142" spans="1:14">
      <c r="A142" s="27">
        <v>138</v>
      </c>
      <c r="B142" s="140">
        <v>195</v>
      </c>
      <c r="C142" s="170" t="s">
        <v>1509</v>
      </c>
      <c r="D142" s="839" t="s">
        <v>1510</v>
      </c>
      <c r="E142" s="141" t="s">
        <v>991</v>
      </c>
      <c r="F142" s="144" t="s">
        <v>1511</v>
      </c>
      <c r="G142" s="141">
        <v>59</v>
      </c>
      <c r="H142" s="158" t="e">
        <f t="shared" ca="1" si="0"/>
        <v>#VALUE!</v>
      </c>
      <c r="I142" s="141" t="s">
        <v>1156</v>
      </c>
      <c r="J142" s="150" t="s">
        <v>1512</v>
      </c>
      <c r="K142" s="162" t="s">
        <v>1157</v>
      </c>
      <c r="L142" s="25"/>
      <c r="M142" s="444" t="s">
        <v>1513</v>
      </c>
    </row>
    <row r="143" spans="1:14">
      <c r="A143" s="27">
        <v>139</v>
      </c>
      <c r="B143" s="682">
        <v>196</v>
      </c>
      <c r="C143" s="683" t="s">
        <v>221</v>
      </c>
      <c r="D143" s="841" t="s">
        <v>1514</v>
      </c>
      <c r="E143" s="684" t="s">
        <v>991</v>
      </c>
      <c r="F143" s="687" t="s">
        <v>1515</v>
      </c>
      <c r="G143" s="684">
        <v>40</v>
      </c>
      <c r="H143" s="691">
        <f t="shared" ca="1" si="0"/>
        <v>47.079452054794523</v>
      </c>
      <c r="I143" s="684" t="s">
        <v>1156</v>
      </c>
      <c r="J143" s="688">
        <v>29039</v>
      </c>
      <c r="K143" s="692" t="s">
        <v>1157</v>
      </c>
      <c r="L143" s="692" t="s">
        <v>224</v>
      </c>
      <c r="M143" s="693" t="s">
        <v>1516</v>
      </c>
      <c r="N143" s="77" t="s">
        <v>1517</v>
      </c>
    </row>
    <row r="144" spans="1:14">
      <c r="A144" s="27">
        <v>140</v>
      </c>
      <c r="B144" s="682">
        <v>197</v>
      </c>
      <c r="C144" s="683" t="s">
        <v>1518</v>
      </c>
      <c r="D144" s="841" t="s">
        <v>1519</v>
      </c>
      <c r="E144" s="684" t="s">
        <v>991</v>
      </c>
      <c r="F144" s="687" t="s">
        <v>1520</v>
      </c>
      <c r="G144" s="684">
        <v>33</v>
      </c>
      <c r="H144" s="691">
        <f t="shared" ca="1" si="0"/>
        <v>38.87945205479452</v>
      </c>
      <c r="I144" s="684" t="s">
        <v>1156</v>
      </c>
      <c r="J144" s="688">
        <v>32032</v>
      </c>
      <c r="K144" s="692" t="s">
        <v>1201</v>
      </c>
      <c r="L144" s="692"/>
      <c r="M144" s="712" t="s">
        <v>1521</v>
      </c>
      <c r="N144" t="s">
        <v>1522</v>
      </c>
    </row>
    <row r="145" spans="1:14">
      <c r="A145" s="27">
        <v>141</v>
      </c>
      <c r="B145" s="682">
        <v>198</v>
      </c>
      <c r="C145" s="683" t="s">
        <v>1523</v>
      </c>
      <c r="D145" s="841" t="s">
        <v>1524</v>
      </c>
      <c r="E145" s="684" t="s">
        <v>991</v>
      </c>
      <c r="F145" s="687" t="s">
        <v>1525</v>
      </c>
      <c r="G145" s="684">
        <v>35</v>
      </c>
      <c r="H145" s="691">
        <f t="shared" ca="1" si="0"/>
        <v>40.904109589041099</v>
      </c>
      <c r="I145" s="684" t="s">
        <v>1156</v>
      </c>
      <c r="J145" s="688">
        <v>31293</v>
      </c>
      <c r="K145" s="692" t="s">
        <v>1201</v>
      </c>
      <c r="L145" s="692"/>
      <c r="M145" s="693" t="s">
        <v>1526</v>
      </c>
      <c r="N145" t="s">
        <v>1522</v>
      </c>
    </row>
    <row r="146" spans="1:14">
      <c r="A146" s="27">
        <v>142</v>
      </c>
      <c r="B146" s="682">
        <v>199</v>
      </c>
      <c r="C146" s="683" t="s">
        <v>278</v>
      </c>
      <c r="D146" s="841" t="s">
        <v>1527</v>
      </c>
      <c r="E146" s="684" t="s">
        <v>991</v>
      </c>
      <c r="F146" s="687" t="s">
        <v>1528</v>
      </c>
      <c r="G146" s="684">
        <v>59</v>
      </c>
      <c r="H146" s="691" t="e">
        <f t="shared" ca="1" si="0"/>
        <v>#VALUE!</v>
      </c>
      <c r="I146" s="684" t="s">
        <v>1156</v>
      </c>
      <c r="J146" s="688" t="s">
        <v>1529</v>
      </c>
      <c r="K146" s="692" t="s">
        <v>1157</v>
      </c>
      <c r="L146" s="692" t="s">
        <v>1530</v>
      </c>
      <c r="M146" s="693" t="s">
        <v>1531</v>
      </c>
      <c r="N146" t="s">
        <v>1532</v>
      </c>
    </row>
    <row r="147" spans="1:14">
      <c r="A147" s="27">
        <v>143</v>
      </c>
      <c r="B147" s="682">
        <v>200</v>
      </c>
      <c r="C147" s="683" t="s">
        <v>224</v>
      </c>
      <c r="D147" s="841" t="s">
        <v>1533</v>
      </c>
      <c r="E147" s="684" t="s">
        <v>991</v>
      </c>
      <c r="F147" s="687">
        <v>751118</v>
      </c>
      <c r="G147" s="684">
        <v>44</v>
      </c>
      <c r="H147" s="691">
        <f t="shared" ca="1" si="0"/>
        <v>50.704109589041096</v>
      </c>
      <c r="I147" s="684" t="s">
        <v>1182</v>
      </c>
      <c r="J147" s="688">
        <v>27716</v>
      </c>
      <c r="K147" s="692" t="s">
        <v>1157</v>
      </c>
      <c r="L147" s="692" t="s">
        <v>221</v>
      </c>
      <c r="M147" s="693" t="s">
        <v>1516</v>
      </c>
      <c r="N147" s="77" t="s">
        <v>1099</v>
      </c>
    </row>
    <row r="148" spans="1:14">
      <c r="A148" s="27">
        <v>144</v>
      </c>
      <c r="B148" s="682">
        <v>201</v>
      </c>
      <c r="C148" s="683" t="s">
        <v>215</v>
      </c>
      <c r="D148" s="841" t="s">
        <v>1534</v>
      </c>
      <c r="E148" s="684" t="s">
        <v>991</v>
      </c>
      <c r="F148" s="687" t="s">
        <v>1535</v>
      </c>
      <c r="G148" s="684">
        <v>50</v>
      </c>
      <c r="H148" s="691">
        <f t="shared" ca="1" si="0"/>
        <v>56.846575342465755</v>
      </c>
      <c r="I148" s="684" t="s">
        <v>1156</v>
      </c>
      <c r="J148" s="688">
        <v>25474</v>
      </c>
      <c r="K148" s="692" t="s">
        <v>1201</v>
      </c>
      <c r="L148" s="692"/>
      <c r="M148" s="693" t="s">
        <v>1536</v>
      </c>
      <c r="N148" s="77" t="s">
        <v>1537</v>
      </c>
    </row>
    <row r="149" spans="1:14">
      <c r="A149" s="27">
        <v>145</v>
      </c>
      <c r="B149" s="140">
        <v>202</v>
      </c>
      <c r="C149" s="170" t="s">
        <v>129</v>
      </c>
      <c r="D149" s="839" t="s">
        <v>1538</v>
      </c>
      <c r="E149" s="141" t="s">
        <v>991</v>
      </c>
      <c r="F149" s="144" t="s">
        <v>1539</v>
      </c>
      <c r="G149" s="141">
        <v>70</v>
      </c>
      <c r="H149" s="158">
        <f t="shared" ca="1" si="0"/>
        <v>76.134246575342459</v>
      </c>
      <c r="I149" s="141" t="s">
        <v>1156</v>
      </c>
      <c r="J149" s="150">
        <v>18434</v>
      </c>
      <c r="K149" s="162" t="s">
        <v>1157</v>
      </c>
      <c r="L149" s="162" t="s">
        <v>1540</v>
      </c>
      <c r="M149" s="444" t="s">
        <v>1541</v>
      </c>
    </row>
    <row r="150" spans="1:14">
      <c r="A150" s="27">
        <v>146</v>
      </c>
      <c r="B150" s="682">
        <v>203</v>
      </c>
      <c r="C150" s="683" t="s">
        <v>250</v>
      </c>
      <c r="D150" s="841" t="s">
        <v>1542</v>
      </c>
      <c r="E150" s="684" t="s">
        <v>991</v>
      </c>
      <c r="F150" s="687" t="s">
        <v>1543</v>
      </c>
      <c r="G150" s="684">
        <v>60</v>
      </c>
      <c r="H150" s="691">
        <f t="shared" ca="1" si="0"/>
        <v>66.895890410958899</v>
      </c>
      <c r="I150" s="684" t="s">
        <v>1182</v>
      </c>
      <c r="J150" s="688">
        <v>21806</v>
      </c>
      <c r="K150" s="692" t="s">
        <v>1544</v>
      </c>
      <c r="L150" s="692"/>
      <c r="M150" s="693" t="s">
        <v>1545</v>
      </c>
      <c r="N150" s="77" t="s">
        <v>1355</v>
      </c>
    </row>
    <row r="151" spans="1:14">
      <c r="A151" s="27"/>
      <c r="B151" s="683">
        <v>204</v>
      </c>
      <c r="C151" s="683" t="s">
        <v>1546</v>
      </c>
      <c r="D151" s="841" t="s">
        <v>1547</v>
      </c>
      <c r="E151" s="684" t="s">
        <v>991</v>
      </c>
      <c r="F151" s="687" t="s">
        <v>1548</v>
      </c>
      <c r="G151" s="684">
        <v>41</v>
      </c>
      <c r="H151" s="691">
        <f t="shared" ca="1" si="0"/>
        <v>50.723287671232875</v>
      </c>
      <c r="I151" s="684" t="s">
        <v>1156</v>
      </c>
      <c r="J151" s="688">
        <v>27709</v>
      </c>
      <c r="K151" s="684" t="s">
        <v>1549</v>
      </c>
      <c r="L151" s="684"/>
      <c r="M151" s="686" t="s">
        <v>1550</v>
      </c>
    </row>
    <row r="152" spans="1:14">
      <c r="A152" s="27">
        <v>147</v>
      </c>
      <c r="B152" s="682">
        <v>205</v>
      </c>
      <c r="C152" s="683" t="s">
        <v>1551</v>
      </c>
      <c r="D152" s="841" t="s">
        <v>1552</v>
      </c>
      <c r="E152" s="684" t="s">
        <v>991</v>
      </c>
      <c r="F152" s="687" t="s">
        <v>1553</v>
      </c>
      <c r="G152" s="684">
        <v>63</v>
      </c>
      <c r="H152" s="691">
        <f t="shared" ca="1" si="0"/>
        <v>69.241095890410961</v>
      </c>
      <c r="I152" s="687" t="s">
        <v>1156</v>
      </c>
      <c r="J152" s="688">
        <v>20950</v>
      </c>
      <c r="K152" s="692" t="s">
        <v>1157</v>
      </c>
      <c r="L152" s="692" t="s">
        <v>1554</v>
      </c>
      <c r="M152" s="693" t="s">
        <v>1555</v>
      </c>
    </row>
    <row r="153" spans="1:14">
      <c r="A153" s="27">
        <v>148</v>
      </c>
      <c r="B153" s="140">
        <v>206</v>
      </c>
      <c r="C153" s="170" t="s">
        <v>1556</v>
      </c>
      <c r="D153" s="839" t="s">
        <v>1557</v>
      </c>
      <c r="E153" s="141" t="s">
        <v>991</v>
      </c>
      <c r="F153" s="144" t="s">
        <v>1558</v>
      </c>
      <c r="G153" s="141">
        <v>61</v>
      </c>
      <c r="H153" s="158">
        <f t="shared" ca="1" si="0"/>
        <v>66.969863013698628</v>
      </c>
      <c r="I153" s="144" t="s">
        <v>1182</v>
      </c>
      <c r="J153" s="150">
        <v>21779</v>
      </c>
      <c r="K153" s="162" t="s">
        <v>1157</v>
      </c>
      <c r="L153" s="162" t="s">
        <v>1559</v>
      </c>
      <c r="M153" s="444" t="s">
        <v>1560</v>
      </c>
    </row>
    <row r="154" spans="1:14">
      <c r="A154" s="27">
        <v>149</v>
      </c>
      <c r="B154" s="682">
        <v>207</v>
      </c>
      <c r="C154" s="683" t="s">
        <v>1233</v>
      </c>
      <c r="D154" s="841" t="s">
        <v>1233</v>
      </c>
      <c r="E154" s="684" t="s">
        <v>991</v>
      </c>
      <c r="F154" s="687" t="s">
        <v>1561</v>
      </c>
      <c r="G154" s="684">
        <v>65</v>
      </c>
      <c r="H154" s="691">
        <f t="shared" ca="1" si="0"/>
        <v>70.605479452054794</v>
      </c>
      <c r="I154" s="684" t="s">
        <v>1182</v>
      </c>
      <c r="J154" s="688">
        <v>20452</v>
      </c>
      <c r="K154" s="692" t="s">
        <v>1201</v>
      </c>
      <c r="L154" s="692"/>
      <c r="M154" s="693" t="s">
        <v>1562</v>
      </c>
      <c r="N154" s="77" t="s">
        <v>1027</v>
      </c>
    </row>
    <row r="155" spans="1:14">
      <c r="A155" s="27">
        <v>150</v>
      </c>
      <c r="B155" s="140">
        <v>208</v>
      </c>
      <c r="C155" s="170" t="s">
        <v>1563</v>
      </c>
      <c r="D155" s="839" t="s">
        <v>1564</v>
      </c>
      <c r="E155" s="141" t="s">
        <v>991</v>
      </c>
      <c r="F155" s="144" t="s">
        <v>1565</v>
      </c>
      <c r="G155" s="141">
        <v>39</v>
      </c>
      <c r="H155" s="158">
        <f t="shared" ca="1" si="0"/>
        <v>44.926027397260277</v>
      </c>
      <c r="I155" s="162" t="s">
        <v>1182</v>
      </c>
      <c r="J155" s="164">
        <v>29825</v>
      </c>
      <c r="K155" s="162" t="s">
        <v>1157</v>
      </c>
      <c r="L155" s="162" t="s">
        <v>1566</v>
      </c>
      <c r="M155" s="444" t="s">
        <v>1567</v>
      </c>
    </row>
    <row r="156" spans="1:14">
      <c r="A156" s="27">
        <v>151</v>
      </c>
      <c r="B156" s="140">
        <v>209</v>
      </c>
      <c r="C156" s="170" t="s">
        <v>1568</v>
      </c>
      <c r="D156" s="839" t="s">
        <v>1569</v>
      </c>
      <c r="E156" s="141" t="s">
        <v>991</v>
      </c>
      <c r="F156" s="144" t="s">
        <v>1570</v>
      </c>
      <c r="G156" s="141">
        <v>30</v>
      </c>
      <c r="H156" s="158">
        <f t="shared" ca="1" si="0"/>
        <v>34.586301369863016</v>
      </c>
      <c r="I156" s="141" t="s">
        <v>1156</v>
      </c>
      <c r="J156" s="150">
        <v>33599</v>
      </c>
      <c r="K156" s="162" t="s">
        <v>1201</v>
      </c>
      <c r="L156" s="162"/>
      <c r="M156" s="444" t="s">
        <v>1571</v>
      </c>
    </row>
    <row r="157" spans="1:14">
      <c r="A157" s="27">
        <v>152</v>
      </c>
      <c r="B157" s="140">
        <v>210</v>
      </c>
      <c r="C157" s="170" t="s">
        <v>1572</v>
      </c>
      <c r="D157" s="839" t="s">
        <v>1573</v>
      </c>
      <c r="E157" s="141" t="s">
        <v>991</v>
      </c>
      <c r="F157" s="144" t="s">
        <v>1574</v>
      </c>
      <c r="G157" s="141">
        <v>37</v>
      </c>
      <c r="H157" s="158">
        <f t="shared" ca="1" si="0"/>
        <v>43.819178082191783</v>
      </c>
      <c r="I157" s="162" t="s">
        <v>1156</v>
      </c>
      <c r="J157" s="164">
        <v>30229</v>
      </c>
      <c r="K157" s="162" t="s">
        <v>1201</v>
      </c>
      <c r="L157" s="25"/>
      <c r="M157" s="444" t="s">
        <v>1575</v>
      </c>
    </row>
    <row r="158" spans="1:14">
      <c r="A158" s="27">
        <v>153</v>
      </c>
      <c r="B158" s="140">
        <v>211</v>
      </c>
      <c r="C158" s="170" t="s">
        <v>1576</v>
      </c>
      <c r="D158" s="839" t="s">
        <v>1577</v>
      </c>
      <c r="E158" s="141" t="s">
        <v>991</v>
      </c>
      <c r="F158" s="144" t="s">
        <v>1578</v>
      </c>
      <c r="G158" s="141">
        <v>60</v>
      </c>
      <c r="H158" s="158">
        <f t="shared" ca="1" si="0"/>
        <v>54.753424657534246</v>
      </c>
      <c r="I158" s="162" t="s">
        <v>1156</v>
      </c>
      <c r="J158" s="164">
        <v>26238</v>
      </c>
      <c r="K158" s="162" t="s">
        <v>1157</v>
      </c>
      <c r="L158" s="162" t="s">
        <v>1579</v>
      </c>
      <c r="M158" s="444" t="s">
        <v>1580</v>
      </c>
    </row>
    <row r="159" spans="1:14">
      <c r="A159" s="27">
        <v>154</v>
      </c>
      <c r="B159" s="682">
        <v>212</v>
      </c>
      <c r="C159" s="683" t="s">
        <v>340</v>
      </c>
      <c r="D159" s="841" t="s">
        <v>1581</v>
      </c>
      <c r="E159" s="684" t="s">
        <v>991</v>
      </c>
      <c r="F159" s="687" t="s">
        <v>1582</v>
      </c>
      <c r="G159" s="684">
        <v>23</v>
      </c>
      <c r="H159" s="691">
        <f t="shared" ca="1" si="0"/>
        <v>29.063013698630137</v>
      </c>
      <c r="I159" s="692" t="s">
        <v>1156</v>
      </c>
      <c r="J159" s="694">
        <v>35615</v>
      </c>
      <c r="K159" s="692" t="s">
        <v>1201</v>
      </c>
      <c r="L159" s="692"/>
      <c r="M159" s="693" t="s">
        <v>1583</v>
      </c>
      <c r="N159" s="448" t="s">
        <v>1027</v>
      </c>
    </row>
    <row r="160" spans="1:14">
      <c r="A160" s="27">
        <v>155</v>
      </c>
      <c r="B160" s="140">
        <v>213</v>
      </c>
      <c r="C160" s="170" t="s">
        <v>1584</v>
      </c>
      <c r="D160" s="839" t="s">
        <v>1585</v>
      </c>
      <c r="E160" s="141" t="s">
        <v>991</v>
      </c>
      <c r="F160" s="144" t="s">
        <v>1586</v>
      </c>
      <c r="G160" s="141">
        <v>20</v>
      </c>
      <c r="H160" s="158">
        <f t="shared" ca="1" si="0"/>
        <v>25.572602739726026</v>
      </c>
      <c r="I160" s="162" t="s">
        <v>1156</v>
      </c>
      <c r="J160" s="164">
        <v>36889</v>
      </c>
      <c r="K160" s="162" t="s">
        <v>1201</v>
      </c>
      <c r="L160" s="25"/>
      <c r="M160" s="444" t="s">
        <v>1587</v>
      </c>
    </row>
    <row r="161" spans="1:14">
      <c r="A161" s="27">
        <v>156</v>
      </c>
      <c r="B161" s="140">
        <v>214</v>
      </c>
      <c r="C161" s="170" t="s">
        <v>1588</v>
      </c>
      <c r="D161" s="839" t="s">
        <v>1589</v>
      </c>
      <c r="E161" s="141" t="s">
        <v>991</v>
      </c>
      <c r="F161" s="144" t="s">
        <v>1590</v>
      </c>
      <c r="G161" s="141">
        <v>52</v>
      </c>
      <c r="H161" s="158">
        <f t="shared" ca="1" si="0"/>
        <v>57.778082191780825</v>
      </c>
      <c r="I161" s="141" t="s">
        <v>1156</v>
      </c>
      <c r="J161" s="150">
        <v>25134</v>
      </c>
      <c r="K161" s="162" t="s">
        <v>1549</v>
      </c>
      <c r="L161" s="162"/>
      <c r="M161" s="444" t="s">
        <v>1591</v>
      </c>
    </row>
    <row r="162" spans="1:14">
      <c r="A162" s="27">
        <v>157</v>
      </c>
      <c r="B162" s="140">
        <v>215</v>
      </c>
      <c r="C162" s="170" t="s">
        <v>1592</v>
      </c>
      <c r="D162" s="839" t="s">
        <v>1593</v>
      </c>
      <c r="E162" s="141" t="s">
        <v>991</v>
      </c>
      <c r="F162" s="144" t="s">
        <v>1594</v>
      </c>
      <c r="G162" s="141">
        <v>46</v>
      </c>
      <c r="H162" s="158">
        <f t="shared" ca="1" si="0"/>
        <v>52.520547945205479</v>
      </c>
      <c r="I162" s="141" t="s">
        <v>1156</v>
      </c>
      <c r="J162" s="150">
        <v>27053</v>
      </c>
      <c r="K162" s="141" t="s">
        <v>1157</v>
      </c>
      <c r="L162" s="141" t="s">
        <v>1595</v>
      </c>
      <c r="M162" s="440" t="s">
        <v>1596</v>
      </c>
    </row>
    <row r="163" spans="1:14">
      <c r="A163" s="27">
        <v>158</v>
      </c>
      <c r="B163" s="140">
        <v>216</v>
      </c>
      <c r="C163" s="170" t="s">
        <v>1597</v>
      </c>
      <c r="D163" s="839" t="s">
        <v>1598</v>
      </c>
      <c r="E163" s="141" t="s">
        <v>991</v>
      </c>
      <c r="F163" s="144" t="s">
        <v>1599</v>
      </c>
      <c r="G163" s="141">
        <v>50</v>
      </c>
      <c r="H163" s="158">
        <f t="shared" ca="1" si="0"/>
        <v>56.460273972602742</v>
      </c>
      <c r="I163" s="141" t="s">
        <v>1156</v>
      </c>
      <c r="J163" s="150">
        <v>25615</v>
      </c>
      <c r="K163" s="141"/>
      <c r="L163" s="141"/>
      <c r="M163" s="440" t="s">
        <v>1600</v>
      </c>
    </row>
    <row r="164" spans="1:14">
      <c r="A164" s="27">
        <v>159</v>
      </c>
      <c r="B164" s="682">
        <v>217</v>
      </c>
      <c r="C164" s="683" t="s">
        <v>1242</v>
      </c>
      <c r="D164" s="841" t="s">
        <v>1231</v>
      </c>
      <c r="E164" s="684" t="s">
        <v>991</v>
      </c>
      <c r="F164" s="687" t="s">
        <v>1601</v>
      </c>
      <c r="G164" s="684">
        <v>43</v>
      </c>
      <c r="H164" s="691">
        <f t="shared" ca="1" si="0"/>
        <v>48.986301369863014</v>
      </c>
      <c r="I164" s="684" t="s">
        <v>1182</v>
      </c>
      <c r="J164" s="688">
        <v>28343</v>
      </c>
      <c r="K164" s="684" t="s">
        <v>1157</v>
      </c>
      <c r="L164" s="684" t="s">
        <v>1213</v>
      </c>
      <c r="M164" s="686" t="s">
        <v>1602</v>
      </c>
      <c r="N164" s="448" t="s">
        <v>1027</v>
      </c>
    </row>
    <row r="165" spans="1:14">
      <c r="A165">
        <v>160</v>
      </c>
      <c r="B165" s="682">
        <v>218</v>
      </c>
      <c r="C165" s="683" t="s">
        <v>227</v>
      </c>
      <c r="D165" s="841" t="s">
        <v>1603</v>
      </c>
      <c r="E165" s="141" t="s">
        <v>991</v>
      </c>
      <c r="F165" s="144" t="s">
        <v>1604</v>
      </c>
      <c r="G165" s="141">
        <v>34</v>
      </c>
      <c r="H165" s="158">
        <f t="shared" ca="1" si="0"/>
        <v>39.630136986301373</v>
      </c>
      <c r="I165" s="141" t="s">
        <v>1156</v>
      </c>
      <c r="J165" s="150">
        <v>31758</v>
      </c>
      <c r="K165" s="141" t="s">
        <v>1201</v>
      </c>
      <c r="L165" s="141"/>
      <c r="M165" s="440" t="s">
        <v>1605</v>
      </c>
      <c r="N165" s="448" t="s">
        <v>1802</v>
      </c>
    </row>
    <row r="166" spans="1:14">
      <c r="A166" s="27"/>
      <c r="B166" s="140">
        <v>219</v>
      </c>
      <c r="C166" s="170" t="s">
        <v>217</v>
      </c>
      <c r="D166" s="839" t="s">
        <v>1606</v>
      </c>
      <c r="E166" s="165" t="s">
        <v>991</v>
      </c>
      <c r="F166" s="144" t="s">
        <v>1607</v>
      </c>
      <c r="G166" s="141">
        <v>44</v>
      </c>
      <c r="H166" s="158">
        <f t="shared" ca="1" si="0"/>
        <v>49.057534246575344</v>
      </c>
      <c r="I166" s="144" t="s">
        <v>1156</v>
      </c>
      <c r="J166" s="150">
        <v>28317</v>
      </c>
      <c r="K166" s="166"/>
      <c r="L166" s="141"/>
      <c r="M166" s="440" t="s">
        <v>1608</v>
      </c>
    </row>
    <row r="167" spans="1:14">
      <c r="A167" s="27"/>
      <c r="B167" s="682">
        <v>220</v>
      </c>
      <c r="C167" s="683" t="s">
        <v>220</v>
      </c>
      <c r="D167" s="841" t="s">
        <v>1609</v>
      </c>
      <c r="E167" s="695" t="s">
        <v>991</v>
      </c>
      <c r="F167" s="687" t="s">
        <v>1610</v>
      </c>
      <c r="G167" s="684">
        <v>54</v>
      </c>
      <c r="H167" s="691">
        <f t="shared" ca="1" si="0"/>
        <v>59.252054794520546</v>
      </c>
      <c r="I167" s="687" t="s">
        <v>1156</v>
      </c>
      <c r="J167" s="688">
        <v>24596</v>
      </c>
      <c r="K167" s="696" t="s">
        <v>1611</v>
      </c>
      <c r="L167" s="684"/>
      <c r="M167" s="686" t="s">
        <v>1612</v>
      </c>
      <c r="N167" s="448" t="s">
        <v>1027</v>
      </c>
    </row>
    <row r="168" spans="1:14">
      <c r="A168" s="27"/>
      <c r="B168" s="682">
        <v>221</v>
      </c>
      <c r="C168" s="683" t="s">
        <v>223</v>
      </c>
      <c r="D168" s="841" t="s">
        <v>1613</v>
      </c>
      <c r="E168" s="695"/>
      <c r="F168" s="687" t="s">
        <v>1614</v>
      </c>
      <c r="G168" s="684"/>
      <c r="H168" s="691"/>
      <c r="I168" s="687" t="s">
        <v>1156</v>
      </c>
      <c r="J168" s="688"/>
      <c r="K168" s="696"/>
      <c r="L168" s="684"/>
      <c r="M168" s="686" t="s">
        <v>1615</v>
      </c>
    </row>
    <row r="169" spans="1:14">
      <c r="A169" s="27"/>
      <c r="B169" s="143">
        <v>222</v>
      </c>
      <c r="C169" s="170" t="s">
        <v>226</v>
      </c>
      <c r="D169" s="839" t="s">
        <v>1616</v>
      </c>
      <c r="E169" s="165" t="s">
        <v>991</v>
      </c>
      <c r="F169" s="144" t="s">
        <v>1617</v>
      </c>
      <c r="G169" s="141">
        <v>34</v>
      </c>
      <c r="H169" s="158">
        <f t="shared" ca="1" si="0"/>
        <v>40.172602739726024</v>
      </c>
      <c r="I169" s="144" t="s">
        <v>1156</v>
      </c>
      <c r="J169" s="150">
        <v>31560</v>
      </c>
      <c r="K169" s="166" t="s">
        <v>1157</v>
      </c>
      <c r="L169" s="144" t="s">
        <v>1618</v>
      </c>
      <c r="M169" s="445" t="s">
        <v>1619</v>
      </c>
    </row>
    <row r="170" spans="1:14">
      <c r="A170" s="27"/>
      <c r="B170" s="143">
        <v>223</v>
      </c>
      <c r="C170" s="170" t="s">
        <v>161</v>
      </c>
      <c r="D170" s="839"/>
      <c r="E170" s="165"/>
      <c r="F170" s="144"/>
      <c r="G170" s="141"/>
      <c r="H170" s="158"/>
      <c r="I170" s="144"/>
      <c r="J170" s="150"/>
      <c r="K170" s="166"/>
      <c r="L170" s="144"/>
      <c r="M170" s="445" t="s">
        <v>1620</v>
      </c>
    </row>
    <row r="171" spans="1:14">
      <c r="A171" s="27"/>
      <c r="B171" s="143">
        <v>224</v>
      </c>
      <c r="C171" s="170" t="s">
        <v>1621</v>
      </c>
      <c r="D171" s="839" t="s">
        <v>1622</v>
      </c>
      <c r="E171" s="165"/>
      <c r="F171" s="144" t="s">
        <v>1623</v>
      </c>
      <c r="G171" s="141"/>
      <c r="H171" s="158"/>
      <c r="I171" s="144"/>
      <c r="J171" s="150"/>
      <c r="K171" s="166"/>
      <c r="L171" s="144"/>
      <c r="M171" s="445" t="s">
        <v>1624</v>
      </c>
    </row>
    <row r="172" spans="1:14">
      <c r="A172" s="27"/>
      <c r="B172" s="682">
        <v>20</v>
      </c>
      <c r="C172" s="683" t="s">
        <v>1625</v>
      </c>
      <c r="D172" s="840"/>
      <c r="E172" s="684"/>
      <c r="F172" s="684"/>
      <c r="G172" s="684"/>
      <c r="H172" s="691"/>
      <c r="I172" s="684"/>
      <c r="J172" s="688"/>
      <c r="K172" s="684"/>
      <c r="L172" s="684"/>
      <c r="M172" s="686"/>
    </row>
    <row r="173" spans="1:14">
      <c r="A173" s="27"/>
      <c r="B173" s="682">
        <v>30</v>
      </c>
      <c r="C173" s="683" t="s">
        <v>1626</v>
      </c>
      <c r="D173" s="840"/>
      <c r="E173" s="684"/>
      <c r="F173" s="684"/>
      <c r="G173" s="684"/>
      <c r="H173" s="684"/>
      <c r="I173" s="684"/>
      <c r="J173" s="688"/>
      <c r="K173" s="684"/>
      <c r="L173" s="684"/>
      <c r="M173" s="686"/>
    </row>
    <row r="174" spans="1:14">
      <c r="A174" s="27"/>
      <c r="B174" s="682">
        <v>31</v>
      </c>
      <c r="C174" s="683" t="s">
        <v>1627</v>
      </c>
      <c r="D174" s="840"/>
      <c r="E174" s="684"/>
      <c r="F174" s="684"/>
      <c r="G174" s="684"/>
      <c r="H174" s="684"/>
      <c r="I174" s="684"/>
      <c r="J174" s="688"/>
      <c r="K174" s="684"/>
      <c r="L174" s="684"/>
      <c r="M174" s="686"/>
    </row>
    <row r="175" spans="1:14">
      <c r="A175" s="27"/>
      <c r="B175" s="682">
        <v>34</v>
      </c>
      <c r="C175" s="683" t="s">
        <v>1628</v>
      </c>
      <c r="D175" s="840"/>
      <c r="E175" s="684"/>
      <c r="F175" s="684"/>
      <c r="G175" s="684"/>
      <c r="H175" s="684"/>
      <c r="I175" s="684"/>
      <c r="J175" s="688"/>
      <c r="K175" s="684"/>
      <c r="L175" s="684"/>
      <c r="M175" s="686"/>
    </row>
    <row r="176" spans="1:14">
      <c r="A176" s="27"/>
      <c r="B176" s="682">
        <v>153</v>
      </c>
      <c r="C176" s="683" t="s">
        <v>1629</v>
      </c>
      <c r="D176" s="840"/>
      <c r="E176" s="684"/>
      <c r="F176" s="684"/>
      <c r="G176" s="684"/>
      <c r="H176" s="684"/>
      <c r="I176" s="684"/>
      <c r="J176" s="688"/>
      <c r="K176" s="684"/>
      <c r="L176" s="684"/>
      <c r="M176" s="686"/>
    </row>
    <row r="177" spans="1:14">
      <c r="A177" s="27"/>
      <c r="B177" s="683">
        <v>156</v>
      </c>
      <c r="C177" s="683" t="s">
        <v>1630</v>
      </c>
      <c r="D177" s="840"/>
      <c r="E177" s="687"/>
      <c r="F177" s="684"/>
      <c r="G177" s="684"/>
      <c r="H177" s="684"/>
      <c r="I177" s="684"/>
      <c r="J177" s="688"/>
      <c r="K177" s="684"/>
      <c r="L177" s="684"/>
      <c r="M177" s="686"/>
    </row>
    <row r="178" spans="1:14">
      <c r="A178" s="27"/>
      <c r="B178" s="140">
        <v>160</v>
      </c>
      <c r="C178" s="170" t="s">
        <v>1631</v>
      </c>
      <c r="D178" s="838" t="s">
        <v>1632</v>
      </c>
      <c r="E178" s="141" t="s">
        <v>1633</v>
      </c>
      <c r="F178" s="141" t="s">
        <v>1634</v>
      </c>
      <c r="G178" s="141">
        <v>50</v>
      </c>
      <c r="H178" s="158">
        <f ca="1">(TODAY()-J178)/365</f>
        <v>58.939726027397263</v>
      </c>
      <c r="I178" s="141" t="s">
        <v>1182</v>
      </c>
      <c r="J178" s="150">
        <v>24710</v>
      </c>
      <c r="K178" s="141" t="s">
        <v>1157</v>
      </c>
      <c r="L178" s="141" t="s">
        <v>1635</v>
      </c>
      <c r="M178" s="440" t="s">
        <v>1636</v>
      </c>
    </row>
    <row r="179" spans="1:14">
      <c r="A179" s="27"/>
      <c r="B179" s="140">
        <v>160</v>
      </c>
      <c r="C179" s="170" t="s">
        <v>1637</v>
      </c>
      <c r="D179" s="838"/>
      <c r="E179" s="141" t="s">
        <v>1633</v>
      </c>
      <c r="F179" s="141"/>
      <c r="G179" s="141"/>
      <c r="H179" s="141"/>
      <c r="I179" s="141"/>
      <c r="J179" s="150"/>
      <c r="K179" s="141"/>
      <c r="L179" s="141"/>
      <c r="M179" s="440" t="s">
        <v>1638</v>
      </c>
    </row>
    <row r="180" spans="1:14">
      <c r="A180" s="27"/>
      <c r="B180" s="682">
        <v>171</v>
      </c>
      <c r="C180" s="683" t="s">
        <v>1639</v>
      </c>
      <c r="D180" s="841" t="s">
        <v>1640</v>
      </c>
      <c r="E180" s="684" t="s">
        <v>1633</v>
      </c>
      <c r="F180" s="687" t="s">
        <v>1641</v>
      </c>
      <c r="G180" s="684">
        <v>40</v>
      </c>
      <c r="H180" s="691">
        <f ca="1">(TODAY()-J180)/365</f>
        <v>47.816438356164383</v>
      </c>
      <c r="I180" s="687" t="s">
        <v>1182</v>
      </c>
      <c r="J180" s="688">
        <v>28770</v>
      </c>
      <c r="K180" s="687" t="s">
        <v>1201</v>
      </c>
      <c r="L180" s="684"/>
      <c r="M180" s="686" t="s">
        <v>1642</v>
      </c>
    </row>
    <row r="181" spans="1:14">
      <c r="A181" s="228"/>
      <c r="B181" s="229">
        <v>225</v>
      </c>
      <c r="C181" s="445" t="s">
        <v>184</v>
      </c>
      <c r="D181" s="435"/>
      <c r="E181" s="141"/>
      <c r="F181" s="141"/>
      <c r="G181" s="141"/>
      <c r="H181" s="141"/>
      <c r="I181" s="144"/>
      <c r="J181" s="150"/>
      <c r="K181" s="144"/>
      <c r="L181" s="141"/>
      <c r="M181" s="435" t="s">
        <v>1643</v>
      </c>
    </row>
    <row r="182" spans="1:14">
      <c r="A182" s="228"/>
      <c r="B182" s="229">
        <v>226</v>
      </c>
      <c r="C182" s="445" t="s">
        <v>118</v>
      </c>
      <c r="D182" s="435"/>
      <c r="E182" s="141"/>
      <c r="F182" s="141"/>
      <c r="G182" s="141"/>
      <c r="H182" s="141"/>
      <c r="I182" s="144"/>
      <c r="J182" s="150"/>
      <c r="K182" s="144"/>
      <c r="L182" s="141"/>
      <c r="M182" s="435"/>
    </row>
    <row r="183" spans="1:14">
      <c r="A183" s="228"/>
      <c r="B183" s="229">
        <v>227</v>
      </c>
      <c r="C183" s="445" t="s">
        <v>90</v>
      </c>
      <c r="D183" s="435"/>
      <c r="E183" s="141"/>
      <c r="F183" s="141"/>
      <c r="G183" s="141"/>
      <c r="H183" s="141"/>
      <c r="I183" s="144"/>
      <c r="J183" s="150"/>
      <c r="K183" s="144"/>
      <c r="L183" s="141"/>
      <c r="M183" s="435" t="s">
        <v>1644</v>
      </c>
    </row>
    <row r="184" spans="1:14">
      <c r="A184" s="228"/>
      <c r="B184" s="229">
        <v>228</v>
      </c>
      <c r="C184" s="445" t="s">
        <v>237</v>
      </c>
      <c r="D184" s="435"/>
      <c r="E184" s="141"/>
      <c r="F184" s="141"/>
      <c r="G184" s="141"/>
      <c r="H184" s="141"/>
      <c r="I184" s="144"/>
      <c r="J184" s="150"/>
      <c r="K184" s="144"/>
      <c r="L184" s="141"/>
      <c r="M184" s="435" t="s">
        <v>1645</v>
      </c>
    </row>
    <row r="185" spans="1:14">
      <c r="A185" s="228"/>
      <c r="B185" s="229">
        <v>229</v>
      </c>
      <c r="C185" s="445" t="s">
        <v>239</v>
      </c>
      <c r="D185" s="435"/>
      <c r="E185" s="141"/>
      <c r="F185" s="141"/>
      <c r="G185" s="141"/>
      <c r="H185" s="141"/>
      <c r="I185" s="144"/>
      <c r="J185" s="150"/>
      <c r="K185" s="144"/>
      <c r="L185" s="141"/>
      <c r="M185" s="440" t="s">
        <v>1646</v>
      </c>
    </row>
    <row r="186" spans="1:14">
      <c r="A186" s="228" t="s">
        <v>997</v>
      </c>
      <c r="B186" s="697" t="s">
        <v>1647</v>
      </c>
      <c r="C186" s="436" t="s">
        <v>1141</v>
      </c>
      <c r="D186" s="435"/>
      <c r="E186" s="141"/>
      <c r="F186" s="141"/>
      <c r="G186" s="141"/>
      <c r="H186" s="141"/>
      <c r="I186" s="144"/>
      <c r="J186" s="150"/>
      <c r="K186" s="144"/>
      <c r="L186" s="141"/>
      <c r="M186" s="436" t="s">
        <v>1648</v>
      </c>
      <c r="N186" t="s">
        <v>1649</v>
      </c>
    </row>
    <row r="187" spans="1:14">
      <c r="A187" s="228" t="s">
        <v>997</v>
      </c>
      <c r="B187" s="697" t="s">
        <v>1650</v>
      </c>
      <c r="C187" s="436" t="s">
        <v>1651</v>
      </c>
      <c r="D187" s="435"/>
      <c r="E187" s="143"/>
      <c r="F187" s="144"/>
      <c r="G187" s="143"/>
      <c r="H187" s="143"/>
      <c r="I187" s="143"/>
      <c r="J187" s="143"/>
      <c r="K187" s="143"/>
      <c r="L187" s="143"/>
      <c r="M187" s="436" t="s">
        <v>1652</v>
      </c>
    </row>
    <row r="188" spans="1:14">
      <c r="A188" s="228" t="s">
        <v>997</v>
      </c>
      <c r="B188" s="697" t="s">
        <v>1653</v>
      </c>
      <c r="C188" s="436" t="s">
        <v>1654</v>
      </c>
      <c r="D188" s="435"/>
      <c r="E188" s="143"/>
      <c r="F188" s="144"/>
      <c r="G188" s="143"/>
      <c r="H188" s="143"/>
      <c r="I188" s="143"/>
      <c r="J188" s="143"/>
      <c r="K188" s="143"/>
      <c r="L188" s="143"/>
      <c r="M188" s="436" t="s">
        <v>1655</v>
      </c>
    </row>
    <row r="189" spans="1:14">
      <c r="A189" s="228" t="s">
        <v>997</v>
      </c>
      <c r="B189" s="697" t="s">
        <v>1656</v>
      </c>
      <c r="C189" s="436" t="s">
        <v>1788</v>
      </c>
      <c r="D189" s="435"/>
      <c r="E189" s="143"/>
      <c r="F189" s="144"/>
      <c r="G189" s="143"/>
      <c r="H189" s="143"/>
      <c r="I189" s="143"/>
      <c r="J189" s="143"/>
      <c r="K189" s="143"/>
      <c r="L189" s="143"/>
      <c r="M189" s="436" t="s">
        <v>1655</v>
      </c>
    </row>
    <row r="190" spans="1:14">
      <c r="A190" s="228" t="s">
        <v>997</v>
      </c>
      <c r="B190" s="697" t="s">
        <v>1657</v>
      </c>
      <c r="C190" s="436" t="s">
        <v>1658</v>
      </c>
      <c r="D190" s="435"/>
      <c r="E190" s="143"/>
      <c r="F190" s="144"/>
      <c r="G190" s="143"/>
      <c r="H190" s="143"/>
      <c r="I190" s="143"/>
      <c r="J190" s="143"/>
      <c r="K190" s="143"/>
      <c r="L190" s="143"/>
      <c r="M190" s="437" t="s">
        <v>1659</v>
      </c>
    </row>
    <row r="191" spans="1:14">
      <c r="A191" s="228" t="s">
        <v>997</v>
      </c>
      <c r="B191" s="697" t="s">
        <v>1660</v>
      </c>
      <c r="C191" s="436" t="s">
        <v>1661</v>
      </c>
      <c r="D191" s="435"/>
      <c r="E191" s="143"/>
      <c r="F191" s="144"/>
      <c r="G191" s="143"/>
      <c r="H191" s="143"/>
      <c r="I191" s="143"/>
      <c r="J191" s="143"/>
      <c r="K191" s="143"/>
      <c r="L191" s="143"/>
      <c r="M191" s="437" t="s">
        <v>1662</v>
      </c>
    </row>
    <row r="192" spans="1:14">
      <c r="A192" s="228" t="s">
        <v>997</v>
      </c>
      <c r="B192" s="697" t="s">
        <v>1663</v>
      </c>
      <c r="C192" s="436" t="s">
        <v>1664</v>
      </c>
      <c r="D192" s="435"/>
      <c r="E192" s="143"/>
      <c r="F192" s="144"/>
      <c r="G192" s="143"/>
      <c r="H192" s="143"/>
      <c r="I192" s="143"/>
      <c r="J192" s="143"/>
      <c r="K192" s="143"/>
      <c r="L192" s="143"/>
      <c r="M192" s="437" t="s">
        <v>1665</v>
      </c>
    </row>
    <row r="193" spans="1:18">
      <c r="A193" s="228" t="s">
        <v>1666</v>
      </c>
      <c r="B193" s="140">
        <v>230</v>
      </c>
      <c r="C193" s="169" t="s">
        <v>1110</v>
      </c>
      <c r="D193" s="435" t="s">
        <v>1682</v>
      </c>
      <c r="E193" s="143"/>
      <c r="F193" s="144" t="s">
        <v>1683</v>
      </c>
      <c r="G193" s="143"/>
      <c r="H193" s="143"/>
      <c r="I193" s="143"/>
      <c r="J193" s="143"/>
      <c r="K193" s="143"/>
      <c r="L193" s="143"/>
      <c r="M193" s="445" t="s">
        <v>1684</v>
      </c>
      <c r="N193" t="s">
        <v>1667</v>
      </c>
      <c r="R193" t="s">
        <v>1705</v>
      </c>
    </row>
    <row r="194" spans="1:18">
      <c r="A194" s="228" t="s">
        <v>1666</v>
      </c>
      <c r="B194" s="140">
        <v>231</v>
      </c>
      <c r="C194" s="169" t="s">
        <v>1114</v>
      </c>
      <c r="D194" s="435" t="s">
        <v>1686</v>
      </c>
      <c r="E194" s="143"/>
      <c r="F194" s="144" t="s">
        <v>1697</v>
      </c>
      <c r="G194" s="143"/>
      <c r="H194" s="143"/>
      <c r="I194" s="143"/>
      <c r="J194" s="143"/>
      <c r="K194" s="143"/>
      <c r="L194" s="143"/>
      <c r="M194" s="445" t="s">
        <v>1698</v>
      </c>
      <c r="N194" t="s">
        <v>1667</v>
      </c>
    </row>
    <row r="195" spans="1:18">
      <c r="A195" s="228" t="s">
        <v>1666</v>
      </c>
      <c r="B195" s="140">
        <v>232</v>
      </c>
      <c r="C195" s="169" t="s">
        <v>1118</v>
      </c>
      <c r="D195" s="435" t="s">
        <v>1699</v>
      </c>
      <c r="E195" s="143"/>
      <c r="F195" s="144" t="s">
        <v>1700</v>
      </c>
      <c r="G195" s="143"/>
      <c r="H195" s="143"/>
      <c r="I195" s="143"/>
      <c r="J195" s="143"/>
      <c r="K195" s="143"/>
      <c r="L195" s="143"/>
      <c r="M195" s="445" t="s">
        <v>1701</v>
      </c>
      <c r="N195" t="s">
        <v>1667</v>
      </c>
    </row>
    <row r="196" spans="1:18">
      <c r="A196" s="228" t="s">
        <v>1666</v>
      </c>
      <c r="B196" s="140">
        <v>233</v>
      </c>
      <c r="C196" s="169" t="s">
        <v>1122</v>
      </c>
      <c r="D196" s="435" t="s">
        <v>1702</v>
      </c>
      <c r="E196" s="143"/>
      <c r="F196" s="144" t="s">
        <v>1703</v>
      </c>
      <c r="G196" s="143"/>
      <c r="H196" s="143"/>
      <c r="I196" s="143"/>
      <c r="J196" s="143"/>
      <c r="K196" s="143"/>
      <c r="L196" s="143"/>
      <c r="M196" s="445" t="s">
        <v>1192</v>
      </c>
      <c r="N196" t="s">
        <v>1667</v>
      </c>
      <c r="R196" t="s">
        <v>1704</v>
      </c>
    </row>
    <row r="197" spans="1:18">
      <c r="A197" s="228" t="s">
        <v>1666</v>
      </c>
      <c r="B197" s="140">
        <v>234</v>
      </c>
      <c r="C197" s="169" t="s">
        <v>1126</v>
      </c>
      <c r="D197" s="435" t="s">
        <v>1706</v>
      </c>
      <c r="E197" s="143"/>
      <c r="F197" s="144" t="s">
        <v>1707</v>
      </c>
      <c r="G197" s="143"/>
      <c r="H197" s="143"/>
      <c r="I197" s="143"/>
      <c r="J197" s="143"/>
      <c r="K197" s="143"/>
      <c r="L197" s="143"/>
      <c r="M197" s="445" t="s">
        <v>1708</v>
      </c>
      <c r="N197" t="s">
        <v>1667</v>
      </c>
    </row>
    <row r="198" spans="1:18">
      <c r="A198" s="228" t="s">
        <v>1666</v>
      </c>
      <c r="B198" s="140">
        <v>235</v>
      </c>
      <c r="C198" s="169" t="s">
        <v>1129</v>
      </c>
      <c r="D198" s="435" t="s">
        <v>1709</v>
      </c>
      <c r="E198" s="143"/>
      <c r="F198" s="144" t="s">
        <v>1710</v>
      </c>
      <c r="G198" s="143"/>
      <c r="H198" s="143"/>
      <c r="I198" s="143"/>
      <c r="J198" s="143"/>
      <c r="K198" s="143"/>
      <c r="L198" s="143"/>
      <c r="M198" s="445" t="s">
        <v>1711</v>
      </c>
      <c r="N198" t="s">
        <v>1667</v>
      </c>
    </row>
    <row r="199" spans="1:18">
      <c r="A199" s="228" t="s">
        <v>1666</v>
      </c>
      <c r="B199" s="140">
        <v>236</v>
      </c>
      <c r="C199" s="169" t="s">
        <v>1133</v>
      </c>
      <c r="D199" s="435" t="s">
        <v>917</v>
      </c>
      <c r="E199" s="143"/>
      <c r="F199" s="144" t="s">
        <v>1712</v>
      </c>
      <c r="G199" s="143"/>
      <c r="H199" s="143"/>
      <c r="I199" s="143"/>
      <c r="J199" s="143"/>
      <c r="K199" s="143"/>
      <c r="L199" s="143"/>
      <c r="M199" s="445" t="s">
        <v>1713</v>
      </c>
      <c r="N199" t="s">
        <v>1667</v>
      </c>
    </row>
    <row r="200" spans="1:18">
      <c r="A200" s="255" t="s">
        <v>1666</v>
      </c>
      <c r="B200" s="140">
        <v>237</v>
      </c>
      <c r="C200" s="169" t="s">
        <v>1137</v>
      </c>
      <c r="D200" s="839" t="s">
        <v>1714</v>
      </c>
      <c r="E200" s="143"/>
      <c r="F200" s="144" t="s">
        <v>1715</v>
      </c>
      <c r="G200" s="143"/>
      <c r="H200" s="143"/>
      <c r="I200" s="143"/>
      <c r="J200" s="143"/>
      <c r="K200" s="143"/>
      <c r="L200" s="143"/>
      <c r="M200" s="445" t="s">
        <v>1716</v>
      </c>
      <c r="N200" t="s">
        <v>1667</v>
      </c>
    </row>
    <row r="201" spans="1:18">
      <c r="A201" s="255" t="s">
        <v>1666</v>
      </c>
      <c r="B201" s="140">
        <v>238</v>
      </c>
      <c r="C201" s="169" t="s">
        <v>1141</v>
      </c>
      <c r="D201" s="435" t="s">
        <v>1695</v>
      </c>
      <c r="E201" s="141"/>
      <c r="F201" s="141" t="s">
        <v>1696</v>
      </c>
      <c r="G201" s="143"/>
      <c r="H201" s="143"/>
      <c r="I201" s="143"/>
      <c r="J201" s="143"/>
      <c r="K201" s="143"/>
      <c r="L201" s="143"/>
      <c r="M201" s="445" t="s">
        <v>1648</v>
      </c>
      <c r="N201" t="s">
        <v>1668</v>
      </c>
    </row>
    <row r="202" spans="1:18">
      <c r="A202" s="255" t="s">
        <v>1666</v>
      </c>
      <c r="B202" s="140">
        <v>239</v>
      </c>
      <c r="C202" s="169" t="s">
        <v>1669</v>
      </c>
      <c r="D202" s="839" t="s">
        <v>1717</v>
      </c>
      <c r="E202" s="143"/>
      <c r="F202" s="144" t="s">
        <v>1718</v>
      </c>
      <c r="G202" s="143"/>
      <c r="H202" s="143"/>
      <c r="I202" s="143"/>
      <c r="J202" s="143"/>
      <c r="K202" s="143"/>
      <c r="L202" s="143"/>
      <c r="M202" s="445" t="s">
        <v>1719</v>
      </c>
      <c r="N202" t="s">
        <v>1667</v>
      </c>
    </row>
    <row r="203" spans="1:18">
      <c r="A203" s="255" t="s">
        <v>1666</v>
      </c>
      <c r="B203" s="140">
        <v>240</v>
      </c>
      <c r="C203" s="169" t="s">
        <v>1670</v>
      </c>
      <c r="D203" s="839" t="s">
        <v>1720</v>
      </c>
      <c r="E203" s="143"/>
      <c r="F203" s="144" t="s">
        <v>1721</v>
      </c>
      <c r="G203" s="143"/>
      <c r="H203" s="143"/>
      <c r="I203" s="143"/>
      <c r="J203" s="143"/>
      <c r="K203" s="143"/>
      <c r="L203" s="143"/>
      <c r="M203" s="445" t="s">
        <v>1690</v>
      </c>
      <c r="N203" t="s">
        <v>1667</v>
      </c>
    </row>
    <row r="204" spans="1:18">
      <c r="A204" s="255" t="s">
        <v>1666</v>
      </c>
      <c r="B204" s="140">
        <v>241</v>
      </c>
      <c r="C204" s="169" t="s">
        <v>1792</v>
      </c>
      <c r="D204" s="839" t="s">
        <v>1793</v>
      </c>
      <c r="E204" s="143"/>
      <c r="F204" s="144" t="s">
        <v>1794</v>
      </c>
      <c r="G204" s="143"/>
      <c r="H204" s="143"/>
      <c r="I204" s="143"/>
      <c r="J204" s="143"/>
      <c r="K204" s="143"/>
      <c r="L204" s="143"/>
      <c r="M204" s="445" t="s">
        <v>1184</v>
      </c>
    </row>
    <row r="205" spans="1:18">
      <c r="A205" s="255" t="s">
        <v>1666</v>
      </c>
      <c r="B205" s="140">
        <v>242</v>
      </c>
      <c r="C205" s="169" t="s">
        <v>1689</v>
      </c>
      <c r="D205" s="839" t="s">
        <v>1790</v>
      </c>
      <c r="E205" s="143"/>
      <c r="F205" s="144" t="s">
        <v>1791</v>
      </c>
      <c r="G205" s="143"/>
      <c r="H205" s="143"/>
      <c r="I205" s="143"/>
      <c r="J205" s="143"/>
      <c r="K205" s="143"/>
      <c r="L205" s="143"/>
      <c r="M205" s="445" t="s">
        <v>1690</v>
      </c>
    </row>
  </sheetData>
  <autoFilter ref="A3:N205" xr:uid="{A6753536-64B6-451E-B3C2-79B74781E31D}"/>
  <phoneticPr fontId="77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7FEF-A399-476A-92A4-73350F96E8E5}">
  <dimension ref="A2:AE194"/>
  <sheetViews>
    <sheetView zoomScale="110" zoomScaleNormal="110" workbookViewId="0">
      <selection activeCell="D12" sqref="D12"/>
    </sheetView>
  </sheetViews>
  <sheetFormatPr defaultRowHeight="14.4"/>
  <cols>
    <col min="1" max="1" width="5" customWidth="1"/>
    <col min="2" max="2" width="5.33203125" customWidth="1"/>
    <col min="3" max="3" width="20.6640625" customWidth="1"/>
    <col min="4" max="4" width="25.6640625" customWidth="1"/>
    <col min="5" max="5" width="0" hidden="1" customWidth="1"/>
    <col min="6" max="6" width="16.33203125" style="43" customWidth="1"/>
    <col min="7" max="12" width="0" hidden="1" customWidth="1"/>
    <col min="13" max="13" width="15.33203125" customWidth="1"/>
  </cols>
  <sheetData>
    <row r="2" spans="1:31" ht="25.8">
      <c r="A2" s="27"/>
      <c r="B2" s="135"/>
      <c r="C2" s="135">
        <v>50</v>
      </c>
      <c r="D2" s="135"/>
      <c r="E2" s="136"/>
      <c r="F2" s="136"/>
      <c r="G2" s="25"/>
      <c r="H2" s="25"/>
      <c r="I2" s="25"/>
      <c r="J2" s="137"/>
      <c r="K2" s="25"/>
      <c r="L2" s="25"/>
      <c r="M2" s="25"/>
    </row>
    <row r="3" spans="1:31">
      <c r="A3" s="138" t="s">
        <v>1671</v>
      </c>
      <c r="B3" s="138" t="s">
        <v>978</v>
      </c>
      <c r="C3" s="168" t="s">
        <v>979</v>
      </c>
      <c r="D3" s="138" t="s">
        <v>980</v>
      </c>
      <c r="E3" s="138" t="s">
        <v>981</v>
      </c>
      <c r="F3" s="138" t="s">
        <v>982</v>
      </c>
      <c r="G3" s="138" t="s">
        <v>983</v>
      </c>
      <c r="H3" s="138" t="s">
        <v>984</v>
      </c>
      <c r="I3" s="138" t="s">
        <v>985</v>
      </c>
      <c r="J3" s="139" t="s">
        <v>986</v>
      </c>
      <c r="K3" s="138" t="s">
        <v>987</v>
      </c>
      <c r="L3" s="138" t="s">
        <v>988</v>
      </c>
      <c r="M3" s="138" t="s">
        <v>989</v>
      </c>
      <c r="N3" s="238">
        <v>45566</v>
      </c>
      <c r="O3" s="238">
        <v>45597</v>
      </c>
      <c r="P3" s="237">
        <v>45627</v>
      </c>
      <c r="Q3" s="238">
        <v>45658</v>
      </c>
      <c r="R3" s="238">
        <v>45689</v>
      </c>
      <c r="S3" s="237">
        <v>45717</v>
      </c>
      <c r="T3" s="238">
        <v>45748</v>
      </c>
      <c r="U3" s="238">
        <v>45778</v>
      </c>
      <c r="V3" s="237">
        <v>45809</v>
      </c>
      <c r="W3" s="238">
        <v>45839</v>
      </c>
      <c r="X3" s="238">
        <v>45870</v>
      </c>
      <c r="Y3" s="237">
        <v>45901</v>
      </c>
      <c r="Z3" s="238">
        <v>45931</v>
      </c>
      <c r="AA3" s="238">
        <v>45962</v>
      </c>
      <c r="AB3" s="237">
        <v>45992</v>
      </c>
      <c r="AC3" s="238">
        <v>46023</v>
      </c>
      <c r="AD3" s="238">
        <v>46054</v>
      </c>
      <c r="AE3" s="237">
        <v>46082</v>
      </c>
    </row>
    <row r="4" spans="1:31">
      <c r="A4" s="27">
        <v>1</v>
      </c>
      <c r="B4" s="169">
        <v>3</v>
      </c>
      <c r="C4" s="169" t="s">
        <v>990</v>
      </c>
      <c r="D4" s="140" t="str">
        <f>C4</f>
        <v>Anna Justina</v>
      </c>
      <c r="E4" s="141" t="s">
        <v>991</v>
      </c>
      <c r="F4" s="141" t="s">
        <v>992</v>
      </c>
      <c r="G4" s="141"/>
      <c r="H4" s="141"/>
      <c r="I4" s="141"/>
      <c r="J4" s="142"/>
      <c r="K4" s="141"/>
      <c r="L4" s="141"/>
      <c r="M4" s="141" t="s">
        <v>993</v>
      </c>
    </row>
    <row r="5" spans="1:31">
      <c r="A5" s="27">
        <v>2</v>
      </c>
      <c r="B5" s="169">
        <v>4</v>
      </c>
      <c r="C5" s="170" t="s">
        <v>66</v>
      </c>
      <c r="D5" s="143" t="s">
        <v>994</v>
      </c>
      <c r="E5" s="141" t="s">
        <v>991</v>
      </c>
      <c r="F5" s="144" t="s">
        <v>995</v>
      </c>
      <c r="G5" s="141"/>
      <c r="H5" s="141"/>
      <c r="I5" s="141"/>
      <c r="J5" s="142"/>
      <c r="K5" s="141"/>
      <c r="L5" s="141"/>
      <c r="M5" s="141" t="s">
        <v>996</v>
      </c>
    </row>
    <row r="6" spans="1:31">
      <c r="A6" s="27">
        <v>3</v>
      </c>
      <c r="B6" s="169">
        <v>5</v>
      </c>
      <c r="C6" s="169" t="s">
        <v>998</v>
      </c>
      <c r="D6" s="140" t="s">
        <v>999</v>
      </c>
      <c r="E6" s="141" t="s">
        <v>991</v>
      </c>
      <c r="F6" s="141" t="s">
        <v>1000</v>
      </c>
      <c r="G6" s="141"/>
      <c r="H6" s="141"/>
      <c r="I6" s="141"/>
      <c r="J6" s="142"/>
      <c r="K6" s="141"/>
      <c r="L6" s="141"/>
      <c r="M6" s="141" t="s">
        <v>1001</v>
      </c>
    </row>
    <row r="7" spans="1:31" ht="15">
      <c r="A7" s="27">
        <v>4</v>
      </c>
      <c r="B7" s="169">
        <v>6</v>
      </c>
      <c r="C7" s="169" t="s">
        <v>337</v>
      </c>
      <c r="D7" s="140" t="s">
        <v>1002</v>
      </c>
      <c r="E7" s="141" t="s">
        <v>991</v>
      </c>
      <c r="F7" s="141" t="s">
        <v>1003</v>
      </c>
      <c r="G7" s="141"/>
      <c r="H7" s="141"/>
      <c r="I7" s="141"/>
      <c r="J7" s="142"/>
      <c r="K7" s="141"/>
      <c r="L7" s="141"/>
      <c r="M7" s="141" t="s">
        <v>1004</v>
      </c>
      <c r="N7" s="639" t="s">
        <v>1005</v>
      </c>
    </row>
    <row r="8" spans="1:31">
      <c r="A8" s="27">
        <v>5</v>
      </c>
      <c r="B8" s="169">
        <v>10</v>
      </c>
      <c r="C8" s="169" t="s">
        <v>1006</v>
      </c>
      <c r="D8" s="140" t="s">
        <v>1007</v>
      </c>
      <c r="E8" s="141" t="s">
        <v>991</v>
      </c>
      <c r="F8" s="141" t="s">
        <v>1008</v>
      </c>
      <c r="G8" s="141"/>
      <c r="H8" s="141"/>
      <c r="I8" s="141"/>
      <c r="J8" s="142"/>
      <c r="K8" s="141"/>
      <c r="L8" s="141"/>
      <c r="M8" s="141" t="s">
        <v>1009</v>
      </c>
    </row>
    <row r="9" spans="1:31">
      <c r="A9" s="27">
        <v>6</v>
      </c>
      <c r="B9" s="169">
        <v>11</v>
      </c>
      <c r="C9" s="169" t="s">
        <v>112</v>
      </c>
      <c r="D9" s="140" t="s">
        <v>1010</v>
      </c>
      <c r="E9" s="141" t="s">
        <v>991</v>
      </c>
      <c r="F9" s="141" t="s">
        <v>1011</v>
      </c>
      <c r="G9" s="141"/>
      <c r="H9" s="141"/>
      <c r="I9" s="141"/>
      <c r="J9" s="142"/>
      <c r="K9" s="141"/>
      <c r="L9" s="141"/>
      <c r="M9" s="141" t="s">
        <v>1012</v>
      </c>
    </row>
    <row r="10" spans="1:31">
      <c r="A10" s="27">
        <v>7</v>
      </c>
      <c r="B10" s="169">
        <v>12</v>
      </c>
      <c r="C10" s="169" t="s">
        <v>1013</v>
      </c>
      <c r="D10" s="140" t="s">
        <v>1014</v>
      </c>
      <c r="E10" s="141" t="s">
        <v>991</v>
      </c>
      <c r="F10" s="141" t="s">
        <v>1015</v>
      </c>
      <c r="G10" s="141"/>
      <c r="H10" s="141"/>
      <c r="I10" s="141"/>
      <c r="J10" s="142"/>
      <c r="K10" s="141"/>
      <c r="L10" s="141"/>
      <c r="M10" s="141" t="s">
        <v>1016</v>
      </c>
    </row>
    <row r="11" spans="1:31">
      <c r="A11" s="27">
        <v>8</v>
      </c>
      <c r="B11" s="169">
        <v>13</v>
      </c>
      <c r="C11" s="169" t="s">
        <v>199</v>
      </c>
      <c r="D11" s="140" t="s">
        <v>200</v>
      </c>
      <c r="E11" s="141" t="s">
        <v>991</v>
      </c>
      <c r="F11" s="141" t="s">
        <v>1017</v>
      </c>
      <c r="G11" s="141"/>
      <c r="H11" s="141"/>
      <c r="I11" s="141"/>
      <c r="J11" s="142"/>
      <c r="K11" s="141"/>
      <c r="L11" s="141"/>
      <c r="M11" s="141" t="s">
        <v>1018</v>
      </c>
    </row>
    <row r="12" spans="1:31">
      <c r="A12" s="27">
        <v>9</v>
      </c>
      <c r="B12" s="169">
        <v>14</v>
      </c>
      <c r="C12" s="170" t="s">
        <v>397</v>
      </c>
      <c r="D12" s="143" t="s">
        <v>399</v>
      </c>
      <c r="E12" s="141" t="s">
        <v>991</v>
      </c>
      <c r="F12" s="144" t="s">
        <v>1019</v>
      </c>
      <c r="G12" s="141"/>
      <c r="H12" s="141"/>
      <c r="I12" s="141"/>
      <c r="J12" s="142"/>
      <c r="K12" s="141"/>
      <c r="L12" s="141"/>
      <c r="M12" s="141" t="s">
        <v>1020</v>
      </c>
    </row>
    <row r="13" spans="1:31">
      <c r="A13" s="27">
        <v>10</v>
      </c>
      <c r="B13" s="169">
        <v>17</v>
      </c>
      <c r="C13" s="169" t="s">
        <v>356</v>
      </c>
      <c r="D13" s="140" t="s">
        <v>357</v>
      </c>
      <c r="E13" s="141" t="s">
        <v>991</v>
      </c>
      <c r="F13" s="141" t="s">
        <v>1021</v>
      </c>
      <c r="G13" s="141"/>
      <c r="H13" s="141"/>
      <c r="I13" s="141"/>
      <c r="J13" s="142"/>
      <c r="K13" s="141"/>
      <c r="L13" s="141"/>
      <c r="M13" s="141" t="s">
        <v>1022</v>
      </c>
    </row>
    <row r="14" spans="1:31">
      <c r="A14" s="27">
        <v>11</v>
      </c>
      <c r="B14" s="169">
        <v>18</v>
      </c>
      <c r="C14" s="169" t="s">
        <v>1023</v>
      </c>
      <c r="D14" s="140" t="s">
        <v>1024</v>
      </c>
      <c r="E14" s="141" t="s">
        <v>991</v>
      </c>
      <c r="F14" s="141" t="s">
        <v>1025</v>
      </c>
      <c r="G14" s="141"/>
      <c r="H14" s="141"/>
      <c r="I14" s="141"/>
      <c r="J14" s="142"/>
      <c r="K14" s="141"/>
      <c r="L14" s="141"/>
      <c r="M14" s="141" t="s">
        <v>1026</v>
      </c>
    </row>
    <row r="15" spans="1:31">
      <c r="A15" s="27">
        <v>12</v>
      </c>
      <c r="B15" s="169">
        <v>19</v>
      </c>
      <c r="C15" s="169" t="s">
        <v>44</v>
      </c>
      <c r="D15" s="140" t="s">
        <v>1028</v>
      </c>
      <c r="E15" s="141" t="s">
        <v>991</v>
      </c>
      <c r="F15" s="141" t="s">
        <v>1029</v>
      </c>
      <c r="G15" s="141"/>
      <c r="H15" s="141"/>
      <c r="I15" s="141"/>
      <c r="J15" s="142"/>
      <c r="K15" s="141"/>
      <c r="L15" s="141"/>
      <c r="M15" s="141" t="s">
        <v>1030</v>
      </c>
    </row>
    <row r="16" spans="1:31">
      <c r="A16" s="27">
        <v>13</v>
      </c>
      <c r="B16" s="169">
        <v>22</v>
      </c>
      <c r="C16" s="169" t="s">
        <v>1031</v>
      </c>
      <c r="D16" s="140" t="s">
        <v>1032</v>
      </c>
      <c r="E16" s="141" t="s">
        <v>991</v>
      </c>
      <c r="F16" s="141" t="s">
        <v>1033</v>
      </c>
      <c r="G16" s="141"/>
      <c r="H16" s="141"/>
      <c r="I16" s="141"/>
      <c r="J16" s="142"/>
      <c r="K16" s="141"/>
      <c r="L16" s="141"/>
      <c r="M16" s="141" t="s">
        <v>1034</v>
      </c>
    </row>
    <row r="17" spans="1:14">
      <c r="A17" s="27">
        <v>14</v>
      </c>
      <c r="B17" s="169">
        <v>23</v>
      </c>
      <c r="C17" s="678" t="s">
        <v>1035</v>
      </c>
      <c r="D17" s="140" t="s">
        <v>1036</v>
      </c>
      <c r="E17" s="141" t="s">
        <v>991</v>
      </c>
      <c r="F17" s="141" t="s">
        <v>1037</v>
      </c>
      <c r="G17" s="141"/>
      <c r="H17" s="141"/>
      <c r="I17" s="141"/>
      <c r="J17" s="142"/>
      <c r="K17" s="141"/>
      <c r="L17" s="141"/>
      <c r="M17" s="141" t="s">
        <v>1038</v>
      </c>
      <c r="N17" t="s">
        <v>1039</v>
      </c>
    </row>
    <row r="18" spans="1:14">
      <c r="A18" s="27">
        <v>15</v>
      </c>
      <c r="B18" s="169">
        <v>24</v>
      </c>
      <c r="C18" s="169" t="s">
        <v>260</v>
      </c>
      <c r="D18" s="140" t="s">
        <v>349</v>
      </c>
      <c r="E18" s="141" t="s">
        <v>991</v>
      </c>
      <c r="F18" s="141" t="s">
        <v>1040</v>
      </c>
      <c r="G18" s="141"/>
      <c r="H18" s="141"/>
      <c r="I18" s="141"/>
      <c r="J18" s="142"/>
      <c r="K18" s="141"/>
      <c r="L18" s="141"/>
      <c r="M18" s="141" t="s">
        <v>1041</v>
      </c>
    </row>
    <row r="19" spans="1:14">
      <c r="A19" s="27">
        <v>16</v>
      </c>
      <c r="B19" s="169">
        <v>25</v>
      </c>
      <c r="C19" s="169" t="s">
        <v>344</v>
      </c>
      <c r="D19" s="140" t="s">
        <v>346</v>
      </c>
      <c r="E19" s="141" t="s">
        <v>991</v>
      </c>
      <c r="F19" s="141" t="s">
        <v>1042</v>
      </c>
      <c r="G19" s="141"/>
      <c r="H19" s="141"/>
      <c r="I19" s="141"/>
      <c r="J19" s="142"/>
      <c r="K19" s="141"/>
      <c r="L19" s="141"/>
      <c r="M19" s="141" t="s">
        <v>1043</v>
      </c>
    </row>
    <row r="20" spans="1:14">
      <c r="A20" s="27">
        <v>17</v>
      </c>
      <c r="B20" s="169">
        <v>28</v>
      </c>
      <c r="C20" s="169" t="s">
        <v>1044</v>
      </c>
      <c r="D20" s="140" t="s">
        <v>1045</v>
      </c>
      <c r="E20" s="141" t="s">
        <v>991</v>
      </c>
      <c r="F20" s="141" t="s">
        <v>1046</v>
      </c>
      <c r="G20" s="141"/>
      <c r="H20" s="141"/>
      <c r="I20" s="141"/>
      <c r="J20" s="142"/>
      <c r="K20" s="141"/>
      <c r="L20" s="141"/>
      <c r="M20" s="141" t="s">
        <v>1047</v>
      </c>
    </row>
    <row r="21" spans="1:14">
      <c r="A21" s="27">
        <v>18</v>
      </c>
      <c r="B21" s="169">
        <v>29</v>
      </c>
      <c r="C21" s="169" t="s">
        <v>188</v>
      </c>
      <c r="D21" s="140" t="s">
        <v>190</v>
      </c>
      <c r="E21" s="141" t="s">
        <v>991</v>
      </c>
      <c r="F21" s="141" t="s">
        <v>1048</v>
      </c>
      <c r="G21" s="141"/>
      <c r="H21" s="141"/>
      <c r="I21" s="141"/>
      <c r="J21" s="142"/>
      <c r="K21" s="141"/>
      <c r="L21" s="141"/>
      <c r="M21" s="141" t="s">
        <v>1049</v>
      </c>
    </row>
    <row r="22" spans="1:14">
      <c r="A22" s="27">
        <v>19</v>
      </c>
      <c r="B22" s="169">
        <v>32</v>
      </c>
      <c r="C22" s="169" t="s">
        <v>1050</v>
      </c>
      <c r="D22" s="140" t="s">
        <v>1051</v>
      </c>
      <c r="E22" s="141" t="s">
        <v>991</v>
      </c>
      <c r="F22" s="141" t="s">
        <v>1052</v>
      </c>
      <c r="G22" s="141"/>
      <c r="H22" s="141"/>
      <c r="I22" s="141"/>
      <c r="J22" s="142"/>
      <c r="K22" s="141"/>
      <c r="L22" s="141"/>
      <c r="M22" s="141" t="s">
        <v>1053</v>
      </c>
    </row>
    <row r="23" spans="1:14">
      <c r="A23" s="27">
        <v>20</v>
      </c>
      <c r="B23" s="169">
        <v>33</v>
      </c>
      <c r="C23" s="169" t="s">
        <v>297</v>
      </c>
      <c r="D23" s="140" t="s">
        <v>1054</v>
      </c>
      <c r="E23" s="141" t="s">
        <v>991</v>
      </c>
      <c r="F23" s="141" t="s">
        <v>1055</v>
      </c>
      <c r="G23" s="141"/>
      <c r="H23" s="141"/>
      <c r="I23" s="141"/>
      <c r="J23" s="142"/>
      <c r="K23" s="141"/>
      <c r="L23" s="141"/>
      <c r="M23" s="141" t="s">
        <v>1056</v>
      </c>
    </row>
    <row r="24" spans="1:14">
      <c r="A24" s="27">
        <v>21</v>
      </c>
      <c r="B24" s="169">
        <v>35</v>
      </c>
      <c r="C24" s="169" t="s">
        <v>1057</v>
      </c>
      <c r="D24" s="140" t="s">
        <v>1058</v>
      </c>
      <c r="E24" s="141" t="s">
        <v>991</v>
      </c>
      <c r="F24" s="141" t="s">
        <v>1059</v>
      </c>
      <c r="G24" s="141"/>
      <c r="H24" s="141"/>
      <c r="I24" s="141"/>
      <c r="J24" s="142"/>
      <c r="K24" s="141"/>
      <c r="L24" s="141"/>
      <c r="M24" s="141" t="s">
        <v>1060</v>
      </c>
    </row>
    <row r="25" spans="1:14">
      <c r="A25" s="27">
        <v>22</v>
      </c>
      <c r="B25" s="169">
        <v>36</v>
      </c>
      <c r="C25" s="169" t="s">
        <v>57</v>
      </c>
      <c r="D25" s="140" t="s">
        <v>1061</v>
      </c>
      <c r="E25" s="141" t="s">
        <v>991</v>
      </c>
      <c r="F25" s="141" t="s">
        <v>1062</v>
      </c>
      <c r="G25" s="141"/>
      <c r="H25" s="141"/>
      <c r="I25" s="141"/>
      <c r="J25" s="142"/>
      <c r="K25" s="141"/>
      <c r="L25" s="141"/>
      <c r="M25" s="141" t="s">
        <v>1063</v>
      </c>
    </row>
    <row r="26" spans="1:14">
      <c r="A26" s="27">
        <v>23</v>
      </c>
      <c r="B26" s="169">
        <v>40</v>
      </c>
      <c r="C26" s="170" t="s">
        <v>1064</v>
      </c>
      <c r="D26" s="143" t="s">
        <v>333</v>
      </c>
      <c r="E26" s="141" t="s">
        <v>991</v>
      </c>
      <c r="F26" s="144" t="s">
        <v>1065</v>
      </c>
      <c r="G26" s="141"/>
      <c r="H26" s="141"/>
      <c r="I26" s="141"/>
      <c r="J26" s="142"/>
      <c r="K26" s="141"/>
      <c r="L26" s="141"/>
      <c r="M26" s="141" t="s">
        <v>1066</v>
      </c>
    </row>
    <row r="27" spans="1:14">
      <c r="A27" s="27">
        <v>24</v>
      </c>
      <c r="B27" s="169">
        <v>41</v>
      </c>
      <c r="C27" s="170" t="s">
        <v>1067</v>
      </c>
      <c r="D27" s="143" t="s">
        <v>1068</v>
      </c>
      <c r="E27" s="141" t="s">
        <v>991</v>
      </c>
      <c r="F27" s="144" t="s">
        <v>1069</v>
      </c>
      <c r="G27" s="141"/>
      <c r="H27" s="141"/>
      <c r="I27" s="141"/>
      <c r="J27" s="142"/>
      <c r="K27" s="141"/>
      <c r="L27" s="141"/>
      <c r="M27" s="141" t="s">
        <v>1070</v>
      </c>
    </row>
    <row r="28" spans="1:14">
      <c r="A28" s="27">
        <v>25</v>
      </c>
      <c r="B28" s="169">
        <v>42</v>
      </c>
      <c r="C28" s="170" t="s">
        <v>1071</v>
      </c>
      <c r="D28" s="143" t="s">
        <v>1072</v>
      </c>
      <c r="E28" s="141" t="s">
        <v>991</v>
      </c>
      <c r="F28" s="144" t="s">
        <v>1073</v>
      </c>
      <c r="G28" s="141"/>
      <c r="H28" s="141"/>
      <c r="I28" s="141"/>
      <c r="J28" s="142"/>
      <c r="K28" s="141"/>
      <c r="L28" s="141"/>
      <c r="M28" s="141" t="s">
        <v>1074</v>
      </c>
    </row>
    <row r="29" spans="1:14">
      <c r="A29" s="27">
        <v>26</v>
      </c>
      <c r="B29" s="169">
        <v>43</v>
      </c>
      <c r="C29" s="169" t="s">
        <v>265</v>
      </c>
      <c r="D29" s="140" t="s">
        <v>1075</v>
      </c>
      <c r="E29" s="141" t="s">
        <v>991</v>
      </c>
      <c r="F29" s="141" t="s">
        <v>1076</v>
      </c>
      <c r="G29" s="141"/>
      <c r="H29" s="141"/>
      <c r="I29" s="141"/>
      <c r="J29" s="142"/>
      <c r="K29" s="141"/>
      <c r="L29" s="141"/>
      <c r="M29" s="141" t="s">
        <v>1077</v>
      </c>
    </row>
    <row r="30" spans="1:14">
      <c r="A30" s="27">
        <v>27</v>
      </c>
      <c r="B30" s="169">
        <v>45</v>
      </c>
      <c r="C30" s="169" t="s">
        <v>1078</v>
      </c>
      <c r="D30" s="140" t="s">
        <v>1079</v>
      </c>
      <c r="E30" s="141" t="s">
        <v>991</v>
      </c>
      <c r="F30" s="141" t="s">
        <v>1080</v>
      </c>
      <c r="G30" s="141"/>
      <c r="H30" s="141"/>
      <c r="I30" s="141"/>
      <c r="J30" s="142"/>
      <c r="K30" s="141"/>
      <c r="L30" s="141"/>
      <c r="M30" s="141" t="s">
        <v>1081</v>
      </c>
    </row>
    <row r="31" spans="1:14">
      <c r="A31" s="27">
        <v>28</v>
      </c>
      <c r="B31" s="169">
        <v>48</v>
      </c>
      <c r="C31" s="169" t="s">
        <v>1082</v>
      </c>
      <c r="D31" s="140" t="s">
        <v>694</v>
      </c>
      <c r="E31" s="141" t="s">
        <v>991</v>
      </c>
      <c r="F31" s="141" t="s">
        <v>1083</v>
      </c>
      <c r="G31" s="141"/>
      <c r="H31" s="141"/>
      <c r="I31" s="141"/>
      <c r="J31" s="142"/>
      <c r="K31" s="141"/>
      <c r="L31" s="141"/>
      <c r="M31" s="141" t="s">
        <v>1084</v>
      </c>
    </row>
    <row r="32" spans="1:14">
      <c r="A32" s="27">
        <v>29</v>
      </c>
      <c r="B32" s="169">
        <v>50</v>
      </c>
      <c r="C32" s="169" t="s">
        <v>1085</v>
      </c>
      <c r="D32" s="140" t="s">
        <v>611</v>
      </c>
      <c r="E32" s="141" t="s">
        <v>991</v>
      </c>
      <c r="F32" s="141" t="s">
        <v>1086</v>
      </c>
      <c r="G32" s="141"/>
      <c r="H32" s="141"/>
      <c r="I32" s="141"/>
      <c r="J32" s="142"/>
      <c r="K32" s="141"/>
      <c r="L32" s="141"/>
      <c r="M32" s="141" t="s">
        <v>1087</v>
      </c>
    </row>
    <row r="33" spans="1:13">
      <c r="A33" s="27">
        <v>30</v>
      </c>
      <c r="B33" s="169">
        <v>52</v>
      </c>
      <c r="C33" s="169" t="s">
        <v>329</v>
      </c>
      <c r="D33" s="140" t="s">
        <v>1672</v>
      </c>
      <c r="E33" s="141" t="s">
        <v>991</v>
      </c>
      <c r="F33" s="141" t="s">
        <v>1089</v>
      </c>
      <c r="G33" s="141"/>
      <c r="H33" s="141"/>
      <c r="I33" s="141"/>
      <c r="J33" s="142"/>
      <c r="K33" s="141"/>
      <c r="L33" s="141"/>
      <c r="M33" s="141" t="s">
        <v>1673</v>
      </c>
    </row>
    <row r="34" spans="1:13">
      <c r="A34" s="27">
        <v>31</v>
      </c>
      <c r="B34" s="169">
        <v>53</v>
      </c>
      <c r="C34" s="170" t="s">
        <v>1674</v>
      </c>
      <c r="D34" s="143" t="s">
        <v>139</v>
      </c>
      <c r="E34" s="141" t="s">
        <v>991</v>
      </c>
      <c r="F34" s="144" t="s">
        <v>1092</v>
      </c>
      <c r="G34" s="141"/>
      <c r="H34" s="141"/>
      <c r="I34" s="141"/>
      <c r="J34" s="142"/>
      <c r="K34" s="141"/>
      <c r="L34" s="141"/>
      <c r="M34" s="141" t="s">
        <v>1093</v>
      </c>
    </row>
    <row r="35" spans="1:13">
      <c r="A35" s="27">
        <v>32</v>
      </c>
      <c r="B35" s="169">
        <v>54</v>
      </c>
      <c r="C35" s="169" t="s">
        <v>285</v>
      </c>
      <c r="D35" s="140" t="s">
        <v>426</v>
      </c>
      <c r="E35" s="141" t="s">
        <v>991</v>
      </c>
      <c r="F35" s="141" t="s">
        <v>1094</v>
      </c>
      <c r="G35" s="141"/>
      <c r="H35" s="141"/>
      <c r="I35" s="141"/>
      <c r="J35" s="142"/>
      <c r="K35" s="141"/>
      <c r="L35" s="141"/>
      <c r="M35" s="141" t="s">
        <v>1095</v>
      </c>
    </row>
    <row r="36" spans="1:13">
      <c r="A36" s="27">
        <v>33</v>
      </c>
      <c r="B36" s="145">
        <v>56</v>
      </c>
      <c r="C36" s="170" t="s">
        <v>238</v>
      </c>
      <c r="D36" s="146" t="s">
        <v>1096</v>
      </c>
      <c r="E36" s="147" t="s">
        <v>991</v>
      </c>
      <c r="F36" s="148" t="s">
        <v>1097</v>
      </c>
      <c r="G36" s="147"/>
      <c r="H36" s="147"/>
      <c r="I36" s="147"/>
      <c r="J36" s="149"/>
      <c r="K36" s="147"/>
      <c r="L36" s="147"/>
      <c r="M36" s="147" t="s">
        <v>1098</v>
      </c>
    </row>
    <row r="37" spans="1:13">
      <c r="A37" s="27">
        <v>34</v>
      </c>
      <c r="B37" s="169">
        <v>61</v>
      </c>
      <c r="C37" s="169" t="s">
        <v>422</v>
      </c>
      <c r="D37" s="140" t="s">
        <v>1100</v>
      </c>
      <c r="E37" s="141" t="s">
        <v>991</v>
      </c>
      <c r="F37" s="141" t="s">
        <v>1101</v>
      </c>
      <c r="G37" s="141"/>
      <c r="H37" s="141"/>
      <c r="I37" s="141"/>
      <c r="J37" s="142"/>
      <c r="K37" s="141"/>
      <c r="L37" s="141"/>
      <c r="M37" s="141" t="s">
        <v>1102</v>
      </c>
    </row>
    <row r="38" spans="1:13">
      <c r="A38" s="27">
        <v>35</v>
      </c>
      <c r="B38" s="169">
        <v>62</v>
      </c>
      <c r="C38" s="170" t="s">
        <v>158</v>
      </c>
      <c r="D38" s="143" t="s">
        <v>1104</v>
      </c>
      <c r="E38" s="141" t="s">
        <v>991</v>
      </c>
      <c r="F38" s="144" t="s">
        <v>1105</v>
      </c>
      <c r="G38" s="141"/>
      <c r="H38" s="141"/>
      <c r="I38" s="141"/>
      <c r="J38" s="150"/>
      <c r="K38" s="141"/>
      <c r="L38" s="141"/>
      <c r="M38" s="141" t="s">
        <v>1106</v>
      </c>
    </row>
    <row r="39" spans="1:13">
      <c r="A39" s="27">
        <v>36</v>
      </c>
      <c r="B39" s="169">
        <v>63</v>
      </c>
      <c r="C39" s="169" t="s">
        <v>1107</v>
      </c>
      <c r="D39" s="140" t="s">
        <v>1108</v>
      </c>
      <c r="E39" s="141" t="s">
        <v>991</v>
      </c>
      <c r="F39" s="141" t="s">
        <v>1109</v>
      </c>
      <c r="G39" s="141"/>
      <c r="H39" s="141"/>
      <c r="I39" s="141"/>
      <c r="J39" s="150"/>
      <c r="K39" s="141"/>
      <c r="L39" s="141"/>
      <c r="M39" s="141">
        <v>6593542627</v>
      </c>
    </row>
    <row r="40" spans="1:13">
      <c r="A40" s="27">
        <v>37</v>
      </c>
      <c r="B40" s="169">
        <v>64</v>
      </c>
      <c r="C40" s="169" t="s">
        <v>169</v>
      </c>
      <c r="D40" s="140" t="s">
        <v>616</v>
      </c>
      <c r="E40" s="141" t="s">
        <v>991</v>
      </c>
      <c r="F40" s="141" t="s">
        <v>1112</v>
      </c>
      <c r="G40" s="141"/>
      <c r="H40" s="141"/>
      <c r="I40" s="141"/>
      <c r="J40" s="150"/>
      <c r="K40" s="141"/>
      <c r="L40" s="141"/>
      <c r="M40" s="141" t="s">
        <v>1113</v>
      </c>
    </row>
    <row r="41" spans="1:13">
      <c r="A41" s="27">
        <v>38</v>
      </c>
      <c r="B41" s="169">
        <v>67</v>
      </c>
      <c r="C41" s="169" t="s">
        <v>1115</v>
      </c>
      <c r="D41" s="140" t="s">
        <v>1116</v>
      </c>
      <c r="E41" s="141" t="s">
        <v>991</v>
      </c>
      <c r="F41" s="141">
        <v>517365301</v>
      </c>
      <c r="G41" s="141"/>
      <c r="H41" s="141"/>
      <c r="I41" s="141"/>
      <c r="J41" s="150"/>
      <c r="K41" s="141"/>
      <c r="L41" s="141"/>
      <c r="M41" s="141" t="s">
        <v>1117</v>
      </c>
    </row>
    <row r="42" spans="1:13">
      <c r="A42" s="27">
        <v>39</v>
      </c>
      <c r="B42" s="169">
        <v>68</v>
      </c>
      <c r="C42" s="169" t="s">
        <v>209</v>
      </c>
      <c r="D42" s="140" t="s">
        <v>1119</v>
      </c>
      <c r="E42" s="141" t="s">
        <v>991</v>
      </c>
      <c r="F42" s="141" t="s">
        <v>1120</v>
      </c>
      <c r="G42" s="141"/>
      <c r="H42" s="141"/>
      <c r="I42" s="141"/>
      <c r="J42" s="150"/>
      <c r="K42" s="141"/>
      <c r="L42" s="141"/>
      <c r="M42" s="141" t="s">
        <v>1121</v>
      </c>
    </row>
    <row r="43" spans="1:13">
      <c r="A43" s="27">
        <v>40</v>
      </c>
      <c r="B43" s="169">
        <v>69</v>
      </c>
      <c r="C43" s="169" t="s">
        <v>108</v>
      </c>
      <c r="D43" s="140" t="s">
        <v>1123</v>
      </c>
      <c r="E43" s="141" t="s">
        <v>991</v>
      </c>
      <c r="F43" s="141" t="s">
        <v>1124</v>
      </c>
      <c r="G43" s="141"/>
      <c r="H43" s="141"/>
      <c r="I43" s="141"/>
      <c r="J43" s="150"/>
      <c r="K43" s="141"/>
      <c r="L43" s="141"/>
      <c r="M43" s="141" t="s">
        <v>1125</v>
      </c>
    </row>
    <row r="44" spans="1:13">
      <c r="A44" s="27">
        <v>41</v>
      </c>
      <c r="B44" s="169">
        <v>70</v>
      </c>
      <c r="C44" s="169" t="s">
        <v>766</v>
      </c>
      <c r="D44" s="140" t="s">
        <v>567</v>
      </c>
      <c r="E44" s="141" t="s">
        <v>991</v>
      </c>
      <c r="F44" s="141" t="s">
        <v>1127</v>
      </c>
      <c r="G44" s="141"/>
      <c r="H44" s="141"/>
      <c r="I44" s="141"/>
      <c r="J44" s="150"/>
      <c r="K44" s="141"/>
      <c r="L44" s="141"/>
      <c r="M44" s="141" t="s">
        <v>1128</v>
      </c>
    </row>
    <row r="45" spans="1:13">
      <c r="A45" s="27">
        <v>42</v>
      </c>
      <c r="B45" s="169">
        <v>71</v>
      </c>
      <c r="C45" s="169" t="s">
        <v>54</v>
      </c>
      <c r="D45" s="140" t="s">
        <v>1130</v>
      </c>
      <c r="E45" s="141" t="s">
        <v>991</v>
      </c>
      <c r="F45" s="141" t="s">
        <v>1131</v>
      </c>
      <c r="G45" s="141"/>
      <c r="H45" s="141"/>
      <c r="I45" s="141"/>
      <c r="J45" s="150"/>
      <c r="K45" s="141"/>
      <c r="L45" s="141"/>
      <c r="M45" s="141" t="s">
        <v>1132</v>
      </c>
    </row>
    <row r="46" spans="1:13">
      <c r="A46" s="27">
        <v>43</v>
      </c>
      <c r="B46" s="169">
        <v>72</v>
      </c>
      <c r="C46" s="169" t="s">
        <v>381</v>
      </c>
      <c r="D46" s="140" t="s">
        <v>1134</v>
      </c>
      <c r="E46" s="141" t="s">
        <v>991</v>
      </c>
      <c r="F46" s="141" t="s">
        <v>1135</v>
      </c>
      <c r="G46" s="141"/>
      <c r="H46" s="141"/>
      <c r="I46" s="141"/>
      <c r="J46" s="150"/>
      <c r="K46" s="141"/>
      <c r="L46" s="141"/>
      <c r="M46" s="141" t="s">
        <v>1136</v>
      </c>
    </row>
    <row r="47" spans="1:13">
      <c r="A47" s="27">
        <v>44</v>
      </c>
      <c r="B47" s="169">
        <v>73</v>
      </c>
      <c r="C47" s="169" t="s">
        <v>96</v>
      </c>
      <c r="D47" s="140" t="s">
        <v>1138</v>
      </c>
      <c r="E47" s="141" t="s">
        <v>991</v>
      </c>
      <c r="F47" s="141" t="s">
        <v>1139</v>
      </c>
      <c r="G47" s="141"/>
      <c r="H47" s="141"/>
      <c r="I47" s="141"/>
      <c r="J47" s="150"/>
      <c r="K47" s="141"/>
      <c r="L47" s="141"/>
      <c r="M47" s="141" t="s">
        <v>1140</v>
      </c>
    </row>
    <row r="48" spans="1:13">
      <c r="A48" s="27">
        <v>45</v>
      </c>
      <c r="B48" s="151">
        <v>74</v>
      </c>
      <c r="C48" s="169" t="s">
        <v>59</v>
      </c>
      <c r="D48" s="151"/>
      <c r="E48" s="141" t="s">
        <v>991</v>
      </c>
      <c r="F48" s="141" t="s">
        <v>1143</v>
      </c>
      <c r="G48" s="141"/>
      <c r="H48" s="141"/>
      <c r="I48" s="141"/>
      <c r="J48" s="150"/>
      <c r="K48" s="141"/>
      <c r="L48" s="141"/>
      <c r="M48" s="141" t="s">
        <v>1144</v>
      </c>
    </row>
    <row r="49" spans="1:14">
      <c r="A49" s="27">
        <v>46</v>
      </c>
      <c r="B49" s="145">
        <v>75</v>
      </c>
      <c r="C49" s="169" t="s">
        <v>240</v>
      </c>
      <c r="D49" s="145" t="s">
        <v>1145</v>
      </c>
      <c r="E49" s="147" t="s">
        <v>991</v>
      </c>
      <c r="F49" s="147" t="s">
        <v>1146</v>
      </c>
      <c r="G49" s="147"/>
      <c r="H49" s="147"/>
      <c r="I49" s="147"/>
      <c r="J49" s="152"/>
      <c r="K49" s="147"/>
      <c r="L49" s="147"/>
      <c r="M49" s="147" t="s">
        <v>1147</v>
      </c>
    </row>
    <row r="50" spans="1:14">
      <c r="A50" s="27">
        <v>47</v>
      </c>
      <c r="B50" s="169">
        <v>78</v>
      </c>
      <c r="C50" s="169" t="s">
        <v>1149</v>
      </c>
      <c r="D50" s="140" t="s">
        <v>1150</v>
      </c>
      <c r="E50" s="141" t="s">
        <v>991</v>
      </c>
      <c r="F50" s="141" t="s">
        <v>1151</v>
      </c>
      <c r="G50" s="141"/>
      <c r="H50" s="141"/>
      <c r="I50" s="141"/>
      <c r="J50" s="150"/>
      <c r="K50" s="141"/>
      <c r="L50" s="141"/>
      <c r="M50" s="141" t="s">
        <v>1152</v>
      </c>
    </row>
    <row r="51" spans="1:14">
      <c r="A51" s="27">
        <v>48</v>
      </c>
      <c r="B51" s="169">
        <v>79</v>
      </c>
      <c r="C51" s="169" t="s">
        <v>153</v>
      </c>
      <c r="D51" s="140" t="s">
        <v>155</v>
      </c>
      <c r="E51" s="725" t="s">
        <v>991</v>
      </c>
      <c r="F51" s="141" t="s">
        <v>1153</v>
      </c>
      <c r="G51" s="141"/>
      <c r="H51" s="141"/>
      <c r="I51" s="141"/>
      <c r="J51" s="150"/>
      <c r="K51" s="141"/>
      <c r="L51" s="141"/>
      <c r="M51" s="141" t="s">
        <v>1154</v>
      </c>
    </row>
    <row r="52" spans="1:14">
      <c r="A52" s="27">
        <v>49</v>
      </c>
      <c r="B52" s="169">
        <v>80</v>
      </c>
      <c r="C52" s="169" t="s">
        <v>178</v>
      </c>
      <c r="D52" s="140" t="s">
        <v>179</v>
      </c>
      <c r="E52" s="141" t="s">
        <v>991</v>
      </c>
      <c r="F52" s="141" t="s">
        <v>1155</v>
      </c>
      <c r="G52" s="141">
        <v>38</v>
      </c>
      <c r="H52" s="141"/>
      <c r="I52" s="141" t="s">
        <v>1156</v>
      </c>
      <c r="J52" s="150">
        <v>28237</v>
      </c>
      <c r="K52" s="141" t="s">
        <v>1157</v>
      </c>
      <c r="L52" s="141" t="s">
        <v>1158</v>
      </c>
      <c r="M52" s="141" t="s">
        <v>1159</v>
      </c>
    </row>
    <row r="53" spans="1:14">
      <c r="A53" s="27">
        <v>50</v>
      </c>
      <c r="B53" s="169">
        <v>81</v>
      </c>
      <c r="C53" s="170" t="s">
        <v>202</v>
      </c>
      <c r="D53" s="143" t="s">
        <v>1161</v>
      </c>
      <c r="E53" s="141" t="s">
        <v>991</v>
      </c>
      <c r="F53" s="144" t="s">
        <v>1162</v>
      </c>
      <c r="G53" s="141">
        <v>58</v>
      </c>
      <c r="H53" s="141"/>
      <c r="I53" s="141" t="s">
        <v>1156</v>
      </c>
      <c r="J53" s="150">
        <v>21732</v>
      </c>
      <c r="K53" s="141" t="s">
        <v>1157</v>
      </c>
      <c r="L53" s="141" t="s">
        <v>1163</v>
      </c>
      <c r="M53" s="141" t="s">
        <v>1164</v>
      </c>
    </row>
    <row r="54" spans="1:14">
      <c r="A54" s="27">
        <v>51</v>
      </c>
      <c r="B54" s="169">
        <v>82</v>
      </c>
      <c r="C54" s="169" t="s">
        <v>1167</v>
      </c>
      <c r="D54" s="140" t="s">
        <v>1168</v>
      </c>
      <c r="E54" s="141" t="s">
        <v>991</v>
      </c>
      <c r="F54" s="141" t="s">
        <v>1169</v>
      </c>
      <c r="G54" s="141">
        <v>42</v>
      </c>
      <c r="H54" s="141"/>
      <c r="I54" s="141"/>
      <c r="J54" s="150">
        <v>29045</v>
      </c>
      <c r="K54" s="141" t="s">
        <v>1157</v>
      </c>
      <c r="L54" s="141" t="s">
        <v>1170</v>
      </c>
      <c r="M54" s="141" t="s">
        <v>1171</v>
      </c>
    </row>
    <row r="55" spans="1:14">
      <c r="A55" s="27">
        <v>52</v>
      </c>
      <c r="B55" s="169">
        <v>85</v>
      </c>
      <c r="C55" s="169" t="s">
        <v>242</v>
      </c>
      <c r="D55" s="140" t="s">
        <v>1174</v>
      </c>
      <c r="E55" s="141" t="s">
        <v>991</v>
      </c>
      <c r="F55" s="141" t="s">
        <v>1175</v>
      </c>
      <c r="G55" s="141">
        <v>53</v>
      </c>
      <c r="H55" s="141"/>
      <c r="I55" s="141" t="s">
        <v>1156</v>
      </c>
      <c r="J55" s="150">
        <v>23463</v>
      </c>
      <c r="K55" s="141" t="s">
        <v>1157</v>
      </c>
      <c r="L55" s="141" t="s">
        <v>1176</v>
      </c>
      <c r="M55" s="141" t="s">
        <v>1177</v>
      </c>
    </row>
    <row r="56" spans="1:14">
      <c r="A56" s="27">
        <v>53</v>
      </c>
      <c r="B56" s="169">
        <v>86</v>
      </c>
      <c r="C56" s="169" t="s">
        <v>383</v>
      </c>
      <c r="D56" s="140" t="s">
        <v>1180</v>
      </c>
      <c r="E56" s="141" t="s">
        <v>991</v>
      </c>
      <c r="F56" s="141" t="s">
        <v>1181</v>
      </c>
      <c r="G56" s="141">
        <v>45</v>
      </c>
      <c r="H56" s="141"/>
      <c r="I56" s="141" t="s">
        <v>1182</v>
      </c>
      <c r="J56" s="150">
        <v>25799</v>
      </c>
      <c r="K56" s="141" t="s">
        <v>1157</v>
      </c>
      <c r="L56" s="141" t="s">
        <v>1183</v>
      </c>
      <c r="M56" s="702" t="s">
        <v>1184</v>
      </c>
      <c r="N56" t="s">
        <v>1185</v>
      </c>
    </row>
    <row r="57" spans="1:14">
      <c r="A57" s="27">
        <v>54</v>
      </c>
      <c r="B57" s="169">
        <v>87</v>
      </c>
      <c r="C57" s="169" t="s">
        <v>414</v>
      </c>
      <c r="D57" s="140" t="s">
        <v>416</v>
      </c>
      <c r="E57" s="141" t="s">
        <v>991</v>
      </c>
      <c r="F57" s="141" t="s">
        <v>1186</v>
      </c>
      <c r="G57" s="141">
        <v>49</v>
      </c>
      <c r="H57" s="141"/>
      <c r="I57" s="141" t="s">
        <v>1156</v>
      </c>
      <c r="J57" s="150">
        <v>24210</v>
      </c>
      <c r="K57" s="141" t="s">
        <v>1157</v>
      </c>
      <c r="L57" s="141" t="s">
        <v>1187</v>
      </c>
      <c r="M57" s="141" t="s">
        <v>1188</v>
      </c>
    </row>
    <row r="58" spans="1:14">
      <c r="A58" s="27">
        <v>55</v>
      </c>
      <c r="B58" s="169">
        <v>90</v>
      </c>
      <c r="C58" s="171" t="s">
        <v>39</v>
      </c>
      <c r="D58" s="153" t="s">
        <v>1189</v>
      </c>
      <c r="E58" s="141" t="s">
        <v>991</v>
      </c>
      <c r="F58" s="154" t="s">
        <v>1190</v>
      </c>
      <c r="G58" s="141">
        <v>48</v>
      </c>
      <c r="H58" s="141"/>
      <c r="I58" s="141" t="s">
        <v>1156</v>
      </c>
      <c r="J58" s="150">
        <v>25488</v>
      </c>
      <c r="K58" s="141" t="s">
        <v>1157</v>
      </c>
      <c r="L58" s="141" t="s">
        <v>1191</v>
      </c>
      <c r="M58" s="141" t="s">
        <v>1192</v>
      </c>
    </row>
    <row r="59" spans="1:14">
      <c r="A59" s="27">
        <v>56</v>
      </c>
      <c r="B59" s="169">
        <v>92</v>
      </c>
      <c r="C59" s="169" t="s">
        <v>280</v>
      </c>
      <c r="D59" s="140" t="s">
        <v>1193</v>
      </c>
      <c r="E59" s="141" t="s">
        <v>991</v>
      </c>
      <c r="F59" s="141" t="s">
        <v>1194</v>
      </c>
      <c r="G59" s="141">
        <v>53</v>
      </c>
      <c r="H59" s="141"/>
      <c r="I59" s="141" t="s">
        <v>1156</v>
      </c>
      <c r="J59" s="150">
        <v>22784</v>
      </c>
      <c r="K59" s="141" t="s">
        <v>1195</v>
      </c>
      <c r="L59" s="141"/>
      <c r="M59" s="141" t="s">
        <v>1196</v>
      </c>
    </row>
    <row r="60" spans="1:14">
      <c r="A60" s="27">
        <v>57</v>
      </c>
      <c r="B60" s="169">
        <v>93</v>
      </c>
      <c r="C60" s="169" t="s">
        <v>1198</v>
      </c>
      <c r="D60" s="140" t="s">
        <v>1199</v>
      </c>
      <c r="E60" s="141" t="s">
        <v>991</v>
      </c>
      <c r="F60" s="141" t="s">
        <v>1200</v>
      </c>
      <c r="G60" s="141">
        <v>43</v>
      </c>
      <c r="H60" s="141"/>
      <c r="I60" s="141" t="s">
        <v>1156</v>
      </c>
      <c r="J60" s="150">
        <v>26315</v>
      </c>
      <c r="K60" s="141" t="s">
        <v>1201</v>
      </c>
      <c r="L60" s="141"/>
      <c r="M60" s="141" t="s">
        <v>1202</v>
      </c>
    </row>
    <row r="61" spans="1:14">
      <c r="A61" s="27">
        <v>58</v>
      </c>
      <c r="B61" s="169">
        <v>94</v>
      </c>
      <c r="C61" s="170" t="s">
        <v>1204</v>
      </c>
      <c r="D61" s="143" t="s">
        <v>1205</v>
      </c>
      <c r="E61" s="141" t="s">
        <v>991</v>
      </c>
      <c r="F61" s="144" t="s">
        <v>1206</v>
      </c>
      <c r="G61" s="141">
        <v>71</v>
      </c>
      <c r="H61" s="141"/>
      <c r="I61" s="141" t="s">
        <v>1182</v>
      </c>
      <c r="J61" s="150">
        <v>17507</v>
      </c>
      <c r="K61" s="141" t="s">
        <v>1157</v>
      </c>
      <c r="L61" s="141"/>
      <c r="M61" s="141" t="s">
        <v>1207</v>
      </c>
      <c r="N61" s="448" t="s">
        <v>510</v>
      </c>
    </row>
    <row r="62" spans="1:14">
      <c r="A62" s="27">
        <v>59</v>
      </c>
      <c r="B62" s="169">
        <v>95</v>
      </c>
      <c r="C62" s="172" t="s">
        <v>218</v>
      </c>
      <c r="D62" s="155" t="s">
        <v>1208</v>
      </c>
      <c r="E62" s="141" t="s">
        <v>991</v>
      </c>
      <c r="F62" s="156" t="s">
        <v>1209</v>
      </c>
      <c r="G62" s="141">
        <v>54</v>
      </c>
      <c r="H62" s="141"/>
      <c r="I62" s="141" t="s">
        <v>1156</v>
      </c>
      <c r="J62" s="150">
        <v>23159</v>
      </c>
      <c r="K62" s="141" t="s">
        <v>1157</v>
      </c>
      <c r="L62" s="141" t="s">
        <v>1210</v>
      </c>
      <c r="M62" s="141" t="s">
        <v>1211</v>
      </c>
    </row>
    <row r="63" spans="1:14">
      <c r="A63" s="27">
        <v>60</v>
      </c>
      <c r="B63" s="169">
        <v>96</v>
      </c>
      <c r="C63" s="170" t="s">
        <v>295</v>
      </c>
      <c r="D63" s="143" t="s">
        <v>1214</v>
      </c>
      <c r="E63" s="141" t="s">
        <v>991</v>
      </c>
      <c r="F63" s="144" t="s">
        <v>1215</v>
      </c>
      <c r="G63" s="141">
        <v>49</v>
      </c>
      <c r="H63" s="141"/>
      <c r="I63" s="141" t="s">
        <v>1156</v>
      </c>
      <c r="J63" s="150">
        <v>24471</v>
      </c>
      <c r="K63" s="141" t="s">
        <v>1157</v>
      </c>
      <c r="L63" s="141" t="s">
        <v>1216</v>
      </c>
      <c r="M63" s="141" t="s">
        <v>1217</v>
      </c>
    </row>
    <row r="64" spans="1:14">
      <c r="A64" s="27">
        <v>61</v>
      </c>
      <c r="B64" s="169">
        <v>97</v>
      </c>
      <c r="C64" s="169" t="s">
        <v>52</v>
      </c>
      <c r="D64" s="140" t="s">
        <v>1219</v>
      </c>
      <c r="E64" s="141" t="s">
        <v>991</v>
      </c>
      <c r="F64" s="141" t="s">
        <v>1220</v>
      </c>
      <c r="G64" s="141">
        <v>48</v>
      </c>
      <c r="H64" s="141"/>
      <c r="I64" s="141" t="s">
        <v>1156</v>
      </c>
      <c r="J64" s="150">
        <v>25179</v>
      </c>
      <c r="K64" s="141" t="s">
        <v>1157</v>
      </c>
      <c r="L64" s="141" t="s">
        <v>1221</v>
      </c>
      <c r="M64" s="141" t="s">
        <v>1222</v>
      </c>
    </row>
    <row r="65" spans="1:14">
      <c r="A65" s="27">
        <v>62</v>
      </c>
      <c r="B65" s="169">
        <v>99</v>
      </c>
      <c r="C65" s="678" t="s">
        <v>86</v>
      </c>
      <c r="D65" s="143" t="s">
        <v>1224</v>
      </c>
      <c r="E65" s="141" t="s">
        <v>991</v>
      </c>
      <c r="F65" s="144" t="s">
        <v>1225</v>
      </c>
      <c r="G65" s="141">
        <v>50</v>
      </c>
      <c r="H65" s="141"/>
      <c r="I65" s="141" t="s">
        <v>1156</v>
      </c>
      <c r="J65" s="150">
        <v>24677</v>
      </c>
      <c r="K65" s="141" t="s">
        <v>1157</v>
      </c>
      <c r="L65" s="141"/>
      <c r="M65" s="141" t="s">
        <v>1675</v>
      </c>
      <c r="N65" t="s">
        <v>1691</v>
      </c>
    </row>
    <row r="66" spans="1:14">
      <c r="A66" s="27">
        <v>63</v>
      </c>
      <c r="B66" s="169">
        <v>100</v>
      </c>
      <c r="C66" s="170" t="s">
        <v>1213</v>
      </c>
      <c r="D66" s="143" t="s">
        <v>1229</v>
      </c>
      <c r="E66" s="141" t="s">
        <v>991</v>
      </c>
      <c r="F66" s="144" t="s">
        <v>1230</v>
      </c>
      <c r="G66" s="141">
        <v>39</v>
      </c>
      <c r="H66" s="141"/>
      <c r="I66" s="141" t="s">
        <v>1156</v>
      </c>
      <c r="J66" s="150">
        <v>28506</v>
      </c>
      <c r="K66" s="141" t="s">
        <v>1157</v>
      </c>
      <c r="L66" s="141" t="s">
        <v>1231</v>
      </c>
      <c r="M66" s="141" t="s">
        <v>1232</v>
      </c>
    </row>
    <row r="67" spans="1:14">
      <c r="A67" s="27">
        <v>64</v>
      </c>
      <c r="B67" s="169">
        <v>101</v>
      </c>
      <c r="C67" s="170" t="s">
        <v>1234</v>
      </c>
      <c r="D67" s="143" t="s">
        <v>1235</v>
      </c>
      <c r="E67" s="141" t="s">
        <v>991</v>
      </c>
      <c r="F67" s="144" t="s">
        <v>1236</v>
      </c>
      <c r="G67" s="141">
        <v>38</v>
      </c>
      <c r="H67" s="141"/>
      <c r="I67" s="141" t="s">
        <v>1156</v>
      </c>
      <c r="J67" s="150">
        <v>29563</v>
      </c>
      <c r="K67" s="141" t="s">
        <v>1201</v>
      </c>
      <c r="L67" s="141"/>
      <c r="M67" s="141" t="s">
        <v>1237</v>
      </c>
    </row>
    <row r="68" spans="1:14">
      <c r="A68" s="27">
        <v>65</v>
      </c>
      <c r="B68" s="169">
        <v>102</v>
      </c>
      <c r="C68" s="169" t="s">
        <v>1238</v>
      </c>
      <c r="D68" s="140" t="s">
        <v>760</v>
      </c>
      <c r="E68" s="141" t="s">
        <v>991</v>
      </c>
      <c r="F68" s="141" t="s">
        <v>1239</v>
      </c>
      <c r="G68" s="141">
        <v>61</v>
      </c>
      <c r="H68" s="141"/>
      <c r="I68" s="141" t="s">
        <v>1156</v>
      </c>
      <c r="J68" s="150">
        <v>22077</v>
      </c>
      <c r="K68" s="141" t="s">
        <v>1201</v>
      </c>
      <c r="L68" s="141"/>
      <c r="M68" s="676" t="s">
        <v>1240</v>
      </c>
      <c r="N68" s="448" t="s">
        <v>1241</v>
      </c>
    </row>
    <row r="69" spans="1:14">
      <c r="A69" s="27">
        <v>66</v>
      </c>
      <c r="B69" s="169">
        <v>103</v>
      </c>
      <c r="C69" s="169" t="s">
        <v>764</v>
      </c>
      <c r="D69" s="140" t="s">
        <v>765</v>
      </c>
      <c r="E69" s="141" t="s">
        <v>991</v>
      </c>
      <c r="F69" s="141" t="s">
        <v>1243</v>
      </c>
      <c r="G69" s="141">
        <v>42</v>
      </c>
      <c r="H69" s="141"/>
      <c r="I69" s="141" t="s">
        <v>1156</v>
      </c>
      <c r="J69" s="150">
        <v>27011</v>
      </c>
      <c r="K69" s="141" t="s">
        <v>1157</v>
      </c>
      <c r="L69" s="141" t="s">
        <v>1244</v>
      </c>
      <c r="M69" s="141" t="s">
        <v>1245</v>
      </c>
    </row>
    <row r="70" spans="1:14">
      <c r="A70" s="27">
        <v>67</v>
      </c>
      <c r="B70" s="169">
        <v>104</v>
      </c>
      <c r="C70" s="169" t="s">
        <v>1676</v>
      </c>
      <c r="D70" s="140" t="s">
        <v>142</v>
      </c>
      <c r="E70" s="141" t="s">
        <v>991</v>
      </c>
      <c r="F70" s="141" t="s">
        <v>1246</v>
      </c>
      <c r="G70" s="141">
        <v>49</v>
      </c>
      <c r="H70" s="141"/>
      <c r="I70" s="141" t="s">
        <v>1156</v>
      </c>
      <c r="J70" s="150">
        <v>24229</v>
      </c>
      <c r="K70" s="141" t="s">
        <v>1157</v>
      </c>
      <c r="L70" s="141"/>
      <c r="M70" s="141" t="s">
        <v>1247</v>
      </c>
    </row>
    <row r="71" spans="1:14">
      <c r="A71" s="27">
        <v>68</v>
      </c>
      <c r="B71" s="169">
        <v>106</v>
      </c>
      <c r="C71" s="169" t="s">
        <v>1248</v>
      </c>
      <c r="D71" s="140" t="s">
        <v>1249</v>
      </c>
      <c r="E71" s="141" t="s">
        <v>991</v>
      </c>
      <c r="F71" s="141" t="s">
        <v>1250</v>
      </c>
      <c r="G71" s="141">
        <v>42</v>
      </c>
      <c r="H71" s="141"/>
      <c r="I71" s="141" t="s">
        <v>1156</v>
      </c>
      <c r="J71" s="150">
        <v>27459</v>
      </c>
      <c r="K71" s="141" t="s">
        <v>1157</v>
      </c>
      <c r="L71" s="141" t="s">
        <v>1251</v>
      </c>
      <c r="M71" s="141" t="s">
        <v>1252</v>
      </c>
    </row>
    <row r="72" spans="1:14">
      <c r="A72" s="27">
        <v>69</v>
      </c>
      <c r="B72" s="169">
        <v>107</v>
      </c>
      <c r="C72" s="169" t="s">
        <v>248</v>
      </c>
      <c r="D72" s="140" t="s">
        <v>1253</v>
      </c>
      <c r="E72" s="141" t="s">
        <v>991</v>
      </c>
      <c r="F72" s="141" t="s">
        <v>1254</v>
      </c>
      <c r="G72" s="141">
        <v>38</v>
      </c>
      <c r="H72" s="141"/>
      <c r="I72" s="141" t="s">
        <v>1182</v>
      </c>
      <c r="J72" s="150">
        <v>29066</v>
      </c>
      <c r="K72" s="141" t="s">
        <v>1157</v>
      </c>
      <c r="L72" s="141" t="s">
        <v>761</v>
      </c>
      <c r="M72" s="141" t="s">
        <v>1255</v>
      </c>
    </row>
    <row r="73" spans="1:14">
      <c r="A73" s="27">
        <v>70</v>
      </c>
      <c r="B73" s="169">
        <v>108</v>
      </c>
      <c r="C73" s="169" t="s">
        <v>255</v>
      </c>
      <c r="D73" s="140" t="s">
        <v>1257</v>
      </c>
      <c r="E73" s="141" t="s">
        <v>991</v>
      </c>
      <c r="F73" s="141" t="s">
        <v>1258</v>
      </c>
      <c r="G73" s="141">
        <v>55</v>
      </c>
      <c r="H73" s="141"/>
      <c r="I73" s="141" t="s">
        <v>1156</v>
      </c>
      <c r="J73" s="150">
        <v>21973</v>
      </c>
      <c r="K73" s="141" t="s">
        <v>1157</v>
      </c>
      <c r="L73" s="141" t="s">
        <v>1259</v>
      </c>
      <c r="M73" s="141" t="s">
        <v>1260</v>
      </c>
    </row>
    <row r="74" spans="1:14">
      <c r="A74" s="27">
        <v>71</v>
      </c>
      <c r="B74" s="169">
        <v>109</v>
      </c>
      <c r="C74" s="169" t="s">
        <v>244</v>
      </c>
      <c r="D74" s="140" t="s">
        <v>1262</v>
      </c>
      <c r="E74" s="141" t="s">
        <v>991</v>
      </c>
      <c r="F74" s="141" t="s">
        <v>1263</v>
      </c>
      <c r="G74" s="141">
        <v>40</v>
      </c>
      <c r="H74" s="141"/>
      <c r="I74" s="141" t="s">
        <v>1156</v>
      </c>
      <c r="J74" s="150">
        <v>27696</v>
      </c>
      <c r="K74" s="141" t="s">
        <v>1157</v>
      </c>
      <c r="L74" s="141" t="s">
        <v>1264</v>
      </c>
      <c r="M74" s="141" t="s">
        <v>1265</v>
      </c>
    </row>
    <row r="75" spans="1:14">
      <c r="A75" s="27">
        <v>72</v>
      </c>
      <c r="B75" s="169">
        <v>110</v>
      </c>
      <c r="C75" s="169" t="s">
        <v>246</v>
      </c>
      <c r="D75" s="140" t="s">
        <v>1264</v>
      </c>
      <c r="E75" s="141" t="s">
        <v>991</v>
      </c>
      <c r="F75" s="141" t="s">
        <v>1267</v>
      </c>
      <c r="G75" s="141">
        <v>47</v>
      </c>
      <c r="H75" s="141"/>
      <c r="I75" s="141" t="s">
        <v>1182</v>
      </c>
      <c r="J75" s="150">
        <v>25058</v>
      </c>
      <c r="K75" s="141" t="s">
        <v>1157</v>
      </c>
      <c r="L75" s="141" t="s">
        <v>1262</v>
      </c>
      <c r="M75" s="141" t="s">
        <v>1268</v>
      </c>
    </row>
    <row r="76" spans="1:14">
      <c r="A76" s="27">
        <v>73</v>
      </c>
      <c r="B76" s="169">
        <v>111</v>
      </c>
      <c r="C76" s="170" t="s">
        <v>1269</v>
      </c>
      <c r="D76" s="143" t="s">
        <v>1270</v>
      </c>
      <c r="E76" s="141" t="s">
        <v>991</v>
      </c>
      <c r="F76" s="144" t="s">
        <v>1271</v>
      </c>
      <c r="G76" s="141">
        <v>60</v>
      </c>
      <c r="H76" s="141"/>
      <c r="I76" s="141" t="s">
        <v>1156</v>
      </c>
      <c r="J76" s="150">
        <v>21287</v>
      </c>
      <c r="K76" s="141" t="s">
        <v>1157</v>
      </c>
      <c r="L76" s="141" t="s">
        <v>1272</v>
      </c>
      <c r="M76" s="141" t="s">
        <v>1273</v>
      </c>
    </row>
    <row r="77" spans="1:14">
      <c r="A77" s="27">
        <v>74</v>
      </c>
      <c r="B77" s="169">
        <v>114</v>
      </c>
      <c r="C77" s="170" t="s">
        <v>77</v>
      </c>
      <c r="D77" s="143" t="s">
        <v>741</v>
      </c>
      <c r="E77" s="141" t="s">
        <v>991</v>
      </c>
      <c r="F77" s="144" t="s">
        <v>1274</v>
      </c>
      <c r="G77" s="141">
        <v>44</v>
      </c>
      <c r="H77" s="141"/>
      <c r="I77" s="141"/>
      <c r="J77" s="150">
        <v>28226</v>
      </c>
      <c r="K77" s="141" t="s">
        <v>1157</v>
      </c>
      <c r="L77" s="141" t="s">
        <v>1275</v>
      </c>
      <c r="M77" s="141" t="s">
        <v>1276</v>
      </c>
    </row>
    <row r="78" spans="1:14">
      <c r="A78" s="27">
        <v>75</v>
      </c>
      <c r="B78" s="169">
        <v>116</v>
      </c>
      <c r="C78" s="169" t="s">
        <v>132</v>
      </c>
      <c r="D78" s="140" t="s">
        <v>133</v>
      </c>
      <c r="E78" s="141" t="s">
        <v>991</v>
      </c>
      <c r="F78" s="141" t="s">
        <v>1277</v>
      </c>
      <c r="G78" s="141">
        <v>42</v>
      </c>
      <c r="H78" s="141"/>
      <c r="I78" s="141" t="s">
        <v>1156</v>
      </c>
      <c r="J78" s="150">
        <v>27370</v>
      </c>
      <c r="K78" s="141" t="s">
        <v>1157</v>
      </c>
      <c r="L78" s="141" t="s">
        <v>135</v>
      </c>
      <c r="M78" s="141" t="s">
        <v>1278</v>
      </c>
    </row>
    <row r="79" spans="1:14">
      <c r="A79" s="27">
        <v>76</v>
      </c>
      <c r="B79" s="169">
        <v>117</v>
      </c>
      <c r="C79" s="169" t="s">
        <v>135</v>
      </c>
      <c r="D79" s="140" t="s">
        <v>136</v>
      </c>
      <c r="E79" s="141" t="s">
        <v>991</v>
      </c>
      <c r="F79" s="141" t="s">
        <v>1279</v>
      </c>
      <c r="G79" s="141">
        <v>43</v>
      </c>
      <c r="H79" s="141"/>
      <c r="I79" s="141" t="s">
        <v>1182</v>
      </c>
      <c r="J79" s="150">
        <v>27045</v>
      </c>
      <c r="K79" s="141" t="s">
        <v>1157</v>
      </c>
      <c r="L79" s="141" t="s">
        <v>133</v>
      </c>
      <c r="M79" s="141" t="s">
        <v>1280</v>
      </c>
    </row>
    <row r="80" spans="1:14">
      <c r="A80" s="27">
        <v>77</v>
      </c>
      <c r="B80" s="169">
        <v>120</v>
      </c>
      <c r="C80" s="170" t="s">
        <v>88</v>
      </c>
      <c r="D80" s="143" t="s">
        <v>1281</v>
      </c>
      <c r="E80" s="141" t="s">
        <v>991</v>
      </c>
      <c r="F80" s="144" t="s">
        <v>1282</v>
      </c>
      <c r="G80" s="141">
        <v>49</v>
      </c>
      <c r="H80" s="141"/>
      <c r="I80" s="141" t="s">
        <v>1156</v>
      </c>
      <c r="J80" s="150">
        <v>25465</v>
      </c>
      <c r="K80" s="141" t="s">
        <v>1157</v>
      </c>
      <c r="L80" s="141" t="s">
        <v>1283</v>
      </c>
      <c r="M80" s="141" t="s">
        <v>1284</v>
      </c>
    </row>
    <row r="81" spans="1:13">
      <c r="A81" s="27">
        <v>78</v>
      </c>
      <c r="B81" s="169">
        <v>123</v>
      </c>
      <c r="C81" s="170" t="s">
        <v>196</v>
      </c>
      <c r="D81" s="143" t="s">
        <v>803</v>
      </c>
      <c r="E81" s="141" t="s">
        <v>991</v>
      </c>
      <c r="F81" s="144" t="s">
        <v>1285</v>
      </c>
      <c r="G81" s="141">
        <v>36</v>
      </c>
      <c r="H81" s="141"/>
      <c r="I81" s="141" t="s">
        <v>1156</v>
      </c>
      <c r="J81" s="150">
        <v>30204</v>
      </c>
      <c r="K81" s="141" t="s">
        <v>1157</v>
      </c>
      <c r="L81" s="141" t="s">
        <v>1286</v>
      </c>
      <c r="M81" s="141" t="s">
        <v>1287</v>
      </c>
    </row>
    <row r="82" spans="1:13">
      <c r="A82" s="27">
        <v>79</v>
      </c>
      <c r="B82" s="169">
        <v>124</v>
      </c>
      <c r="C82" s="169" t="s">
        <v>150</v>
      </c>
      <c r="D82" s="140" t="s">
        <v>1288</v>
      </c>
      <c r="E82" s="141" t="s">
        <v>991</v>
      </c>
      <c r="F82" s="141" t="s">
        <v>1289</v>
      </c>
      <c r="G82" s="141">
        <v>35</v>
      </c>
      <c r="H82" s="141"/>
      <c r="I82" s="141" t="s">
        <v>1156</v>
      </c>
      <c r="J82" s="150">
        <v>29517</v>
      </c>
      <c r="K82" s="141" t="s">
        <v>1157</v>
      </c>
      <c r="L82" s="141" t="s">
        <v>1290</v>
      </c>
      <c r="M82" s="141" t="s">
        <v>1291</v>
      </c>
    </row>
    <row r="83" spans="1:13">
      <c r="A83" s="27">
        <v>80</v>
      </c>
      <c r="B83" s="169">
        <v>126</v>
      </c>
      <c r="C83" s="169" t="s">
        <v>63</v>
      </c>
      <c r="D83" s="140" t="s">
        <v>1293</v>
      </c>
      <c r="E83" s="141" t="s">
        <v>991</v>
      </c>
      <c r="F83" s="725" t="s">
        <v>1294</v>
      </c>
      <c r="G83" s="141">
        <v>58</v>
      </c>
      <c r="H83" s="141"/>
      <c r="I83" s="141" t="s">
        <v>1156</v>
      </c>
      <c r="J83" s="150">
        <v>20942</v>
      </c>
      <c r="K83" s="141" t="s">
        <v>1157</v>
      </c>
      <c r="L83" s="141" t="s">
        <v>1295</v>
      </c>
      <c r="M83" s="141" t="s">
        <v>1296</v>
      </c>
    </row>
    <row r="84" spans="1:13">
      <c r="A84" s="27">
        <v>81</v>
      </c>
      <c r="B84" s="169">
        <v>127</v>
      </c>
      <c r="C84" s="169" t="s">
        <v>114</v>
      </c>
      <c r="D84" s="140" t="s">
        <v>1297</v>
      </c>
      <c r="E84" s="141" t="s">
        <v>991</v>
      </c>
      <c r="F84" s="141" t="s">
        <v>1298</v>
      </c>
      <c r="G84" s="141">
        <v>61</v>
      </c>
      <c r="H84" s="141"/>
      <c r="I84" s="141" t="s">
        <v>1156</v>
      </c>
      <c r="J84" s="150" t="s">
        <v>1298</v>
      </c>
      <c r="K84" s="141" t="s">
        <v>1157</v>
      </c>
      <c r="L84" s="141" t="s">
        <v>1299</v>
      </c>
      <c r="M84" s="141" t="s">
        <v>1300</v>
      </c>
    </row>
    <row r="85" spans="1:13">
      <c r="A85" s="27">
        <v>82</v>
      </c>
      <c r="B85" s="169">
        <v>128</v>
      </c>
      <c r="C85" s="169" t="s">
        <v>1301</v>
      </c>
      <c r="D85" s="140" t="s">
        <v>439</v>
      </c>
      <c r="E85" s="141" t="s">
        <v>991</v>
      </c>
      <c r="F85" s="141" t="s">
        <v>1302</v>
      </c>
      <c r="G85" s="141">
        <v>40</v>
      </c>
      <c r="H85" s="141"/>
      <c r="I85" s="141" t="s">
        <v>1182</v>
      </c>
      <c r="J85" s="150" t="s">
        <v>1303</v>
      </c>
      <c r="K85" s="141" t="s">
        <v>1157</v>
      </c>
      <c r="L85" s="141" t="s">
        <v>1304</v>
      </c>
      <c r="M85" s="141" t="s">
        <v>1305</v>
      </c>
    </row>
    <row r="86" spans="1:13">
      <c r="A86" s="27">
        <v>83</v>
      </c>
      <c r="B86" s="169">
        <v>130</v>
      </c>
      <c r="C86" s="169" t="s">
        <v>1306</v>
      </c>
      <c r="D86" s="140" t="s">
        <v>505</v>
      </c>
      <c r="E86" s="141" t="s">
        <v>991</v>
      </c>
      <c r="F86" s="141" t="s">
        <v>1307</v>
      </c>
      <c r="G86" s="141">
        <v>39</v>
      </c>
      <c r="H86" s="141"/>
      <c r="I86" s="141" t="s">
        <v>1156</v>
      </c>
      <c r="J86" s="150">
        <v>27860</v>
      </c>
      <c r="K86" s="141" t="s">
        <v>1157</v>
      </c>
      <c r="L86" s="141" t="s">
        <v>1308</v>
      </c>
      <c r="M86" s="141" t="s">
        <v>1309</v>
      </c>
    </row>
    <row r="87" spans="1:13">
      <c r="A87" s="27">
        <v>84</v>
      </c>
      <c r="B87" s="169">
        <v>131</v>
      </c>
      <c r="C87" s="169" t="s">
        <v>102</v>
      </c>
      <c r="D87" s="140" t="s">
        <v>1310</v>
      </c>
      <c r="E87" s="141" t="s">
        <v>991</v>
      </c>
      <c r="F87" s="141" t="s">
        <v>1311</v>
      </c>
      <c r="G87" s="141">
        <v>46</v>
      </c>
      <c r="H87" s="141"/>
      <c r="I87" s="141" t="s">
        <v>1156</v>
      </c>
      <c r="J87" s="150">
        <v>25537</v>
      </c>
      <c r="K87" s="141" t="s">
        <v>1157</v>
      </c>
      <c r="L87" s="141" t="s">
        <v>1312</v>
      </c>
      <c r="M87" s="141" t="s">
        <v>1313</v>
      </c>
    </row>
    <row r="88" spans="1:13">
      <c r="A88" s="27">
        <v>85</v>
      </c>
      <c r="B88" s="169">
        <v>132</v>
      </c>
      <c r="C88" s="172" t="s">
        <v>299</v>
      </c>
      <c r="D88" s="155" t="s">
        <v>1314</v>
      </c>
      <c r="E88" s="141" t="s">
        <v>991</v>
      </c>
      <c r="F88" s="156" t="s">
        <v>1315</v>
      </c>
      <c r="G88" s="141">
        <v>28</v>
      </c>
      <c r="H88" s="141"/>
      <c r="I88" s="141" t="s">
        <v>1182</v>
      </c>
      <c r="J88" s="150">
        <v>32508</v>
      </c>
      <c r="K88" s="141" t="s">
        <v>1201</v>
      </c>
      <c r="L88" s="141"/>
      <c r="M88" s="141" t="s">
        <v>1316</v>
      </c>
    </row>
    <row r="89" spans="1:13">
      <c r="A89" s="27">
        <v>86</v>
      </c>
      <c r="B89" s="169">
        <v>134</v>
      </c>
      <c r="C89" s="171" t="s">
        <v>389</v>
      </c>
      <c r="D89" s="153" t="s">
        <v>852</v>
      </c>
      <c r="E89" s="141" t="s">
        <v>991</v>
      </c>
      <c r="F89" s="154" t="s">
        <v>1317</v>
      </c>
      <c r="G89" s="141">
        <v>32</v>
      </c>
      <c r="H89" s="141"/>
      <c r="I89" s="141" t="s">
        <v>1156</v>
      </c>
      <c r="J89" s="150">
        <v>31215</v>
      </c>
      <c r="K89" s="141" t="s">
        <v>1157</v>
      </c>
      <c r="L89" s="141" t="s">
        <v>1318</v>
      </c>
      <c r="M89" s="141" t="s">
        <v>1319</v>
      </c>
    </row>
    <row r="90" spans="1:13">
      <c r="A90" s="27">
        <v>87</v>
      </c>
      <c r="B90" s="169">
        <v>135</v>
      </c>
      <c r="C90" s="171" t="s">
        <v>391</v>
      </c>
      <c r="D90" s="153" t="s">
        <v>853</v>
      </c>
      <c r="E90" s="141" t="s">
        <v>991</v>
      </c>
      <c r="F90" s="154" t="s">
        <v>1320</v>
      </c>
      <c r="G90" s="141">
        <v>32</v>
      </c>
      <c r="H90" s="141"/>
      <c r="I90" s="141" t="s">
        <v>1182</v>
      </c>
      <c r="J90" s="150">
        <v>31266</v>
      </c>
      <c r="K90" s="141" t="s">
        <v>1157</v>
      </c>
      <c r="L90" s="141" t="s">
        <v>852</v>
      </c>
      <c r="M90" s="141" t="s">
        <v>1321</v>
      </c>
    </row>
    <row r="91" spans="1:13">
      <c r="A91" s="27">
        <v>88</v>
      </c>
      <c r="B91" s="169">
        <v>136</v>
      </c>
      <c r="C91" s="169" t="s">
        <v>376</v>
      </c>
      <c r="D91" s="140" t="s">
        <v>1322</v>
      </c>
      <c r="E91" s="141" t="s">
        <v>991</v>
      </c>
      <c r="F91" s="141" t="s">
        <v>1323</v>
      </c>
      <c r="G91" s="141">
        <v>64</v>
      </c>
      <c r="H91" s="141"/>
      <c r="I91" s="141" t="s">
        <v>1156</v>
      </c>
      <c r="J91" s="150">
        <v>19326</v>
      </c>
      <c r="K91" s="141" t="s">
        <v>1201</v>
      </c>
      <c r="L91" s="141"/>
      <c r="M91" s="141" t="s">
        <v>1324</v>
      </c>
    </row>
    <row r="92" spans="1:13">
      <c r="A92" s="27">
        <v>89</v>
      </c>
      <c r="B92" s="169">
        <v>137</v>
      </c>
      <c r="C92" s="169" t="s">
        <v>165</v>
      </c>
      <c r="D92" s="140" t="s">
        <v>606</v>
      </c>
      <c r="E92" s="141" t="s">
        <v>991</v>
      </c>
      <c r="F92" s="141" t="s">
        <v>1325</v>
      </c>
      <c r="G92" s="141">
        <v>53</v>
      </c>
      <c r="H92" s="141"/>
      <c r="I92" s="141" t="s">
        <v>1156</v>
      </c>
      <c r="J92" s="150">
        <v>23359</v>
      </c>
      <c r="K92" s="141" t="s">
        <v>1201</v>
      </c>
      <c r="L92" s="141"/>
      <c r="M92" s="141" t="s">
        <v>1326</v>
      </c>
    </row>
    <row r="93" spans="1:13">
      <c r="A93" s="27">
        <v>90</v>
      </c>
      <c r="B93" s="169">
        <v>138</v>
      </c>
      <c r="C93" s="169" t="s">
        <v>1218</v>
      </c>
      <c r="D93" s="140" t="s">
        <v>1327</v>
      </c>
      <c r="E93" s="141" t="s">
        <v>991</v>
      </c>
      <c r="F93" s="141" t="s">
        <v>1328</v>
      </c>
      <c r="G93" s="141">
        <v>59</v>
      </c>
      <c r="H93" s="141"/>
      <c r="I93" s="141" t="s">
        <v>1156</v>
      </c>
      <c r="J93" s="150">
        <v>20907</v>
      </c>
      <c r="K93" s="141" t="s">
        <v>1157</v>
      </c>
      <c r="L93" s="141" t="s">
        <v>1329</v>
      </c>
      <c r="M93" s="141" t="s">
        <v>1330</v>
      </c>
    </row>
    <row r="94" spans="1:13">
      <c r="A94" s="27">
        <v>91</v>
      </c>
      <c r="B94" s="169">
        <v>139</v>
      </c>
      <c r="C94" s="169" t="s">
        <v>419</v>
      </c>
      <c r="D94" s="140" t="s">
        <v>1677</v>
      </c>
      <c r="E94" s="141" t="s">
        <v>991</v>
      </c>
      <c r="F94" s="141" t="s">
        <v>1331</v>
      </c>
      <c r="G94" s="141">
        <v>33</v>
      </c>
      <c r="H94" s="141"/>
      <c r="I94" s="141" t="s">
        <v>1156</v>
      </c>
      <c r="J94" s="150">
        <v>30384</v>
      </c>
      <c r="K94" s="141" t="s">
        <v>1201</v>
      </c>
      <c r="L94" s="141"/>
      <c r="M94" s="141" t="s">
        <v>1332</v>
      </c>
    </row>
    <row r="95" spans="1:13">
      <c r="A95" s="27">
        <v>92</v>
      </c>
      <c r="B95" s="151">
        <v>141</v>
      </c>
      <c r="C95" s="170" t="s">
        <v>1333</v>
      </c>
      <c r="D95" s="143" t="s">
        <v>1334</v>
      </c>
      <c r="E95" s="141" t="s">
        <v>991</v>
      </c>
      <c r="F95" s="144" t="s">
        <v>1335</v>
      </c>
      <c r="G95" s="141">
        <v>45</v>
      </c>
      <c r="H95" s="141"/>
      <c r="I95" s="141" t="s">
        <v>1156</v>
      </c>
      <c r="J95" s="150">
        <v>25758</v>
      </c>
      <c r="K95" s="141" t="s">
        <v>1157</v>
      </c>
      <c r="L95" s="141" t="s">
        <v>1336</v>
      </c>
      <c r="M95" s="141" t="s">
        <v>1337</v>
      </c>
    </row>
    <row r="96" spans="1:13">
      <c r="A96" s="27">
        <v>93</v>
      </c>
      <c r="B96" s="151">
        <v>142</v>
      </c>
      <c r="C96" s="170" t="s">
        <v>1338</v>
      </c>
      <c r="D96" s="143" t="s">
        <v>1339</v>
      </c>
      <c r="E96" s="141" t="s">
        <v>991</v>
      </c>
      <c r="F96" s="144" t="s">
        <v>1340</v>
      </c>
      <c r="G96" s="141">
        <v>43</v>
      </c>
      <c r="H96" s="141"/>
      <c r="I96" s="141" t="s">
        <v>1182</v>
      </c>
      <c r="J96" s="150">
        <v>26990</v>
      </c>
      <c r="K96" s="141" t="s">
        <v>1157</v>
      </c>
      <c r="L96" s="141" t="s">
        <v>1341</v>
      </c>
      <c r="M96" s="141" t="s">
        <v>1342</v>
      </c>
    </row>
    <row r="97" spans="1:14">
      <c r="A97" s="27">
        <v>94</v>
      </c>
      <c r="B97" s="151">
        <v>143</v>
      </c>
      <c r="C97" s="169" t="s">
        <v>231</v>
      </c>
      <c r="D97" s="140" t="s">
        <v>1343</v>
      </c>
      <c r="E97" s="141" t="s">
        <v>991</v>
      </c>
      <c r="F97" s="141" t="s">
        <v>1344</v>
      </c>
      <c r="G97" s="141">
        <v>25</v>
      </c>
      <c r="H97" s="141"/>
      <c r="I97" s="141" t="s">
        <v>1156</v>
      </c>
      <c r="J97" s="150">
        <v>33210</v>
      </c>
      <c r="K97" s="141" t="s">
        <v>1201</v>
      </c>
      <c r="L97" s="141"/>
      <c r="M97" s="141" t="s">
        <v>1345</v>
      </c>
    </row>
    <row r="98" spans="1:14">
      <c r="A98" s="27">
        <v>95</v>
      </c>
      <c r="B98" s="151">
        <v>144</v>
      </c>
      <c r="C98" s="170" t="s">
        <v>257</v>
      </c>
      <c r="D98" s="143" t="s">
        <v>1346</v>
      </c>
      <c r="E98" s="141" t="s">
        <v>991</v>
      </c>
      <c r="F98" s="144" t="s">
        <v>1347</v>
      </c>
      <c r="G98" s="141">
        <v>46</v>
      </c>
      <c r="H98" s="141"/>
      <c r="I98" s="141" t="s">
        <v>1156</v>
      </c>
      <c r="J98" s="150">
        <v>26302</v>
      </c>
      <c r="K98" s="141" t="s">
        <v>1157</v>
      </c>
      <c r="L98" s="141" t="s">
        <v>1348</v>
      </c>
      <c r="M98" s="141" t="s">
        <v>1349</v>
      </c>
    </row>
    <row r="99" spans="1:14">
      <c r="A99" s="27">
        <v>96</v>
      </c>
      <c r="B99" s="151">
        <v>145</v>
      </c>
      <c r="C99" s="169" t="s">
        <v>429</v>
      </c>
      <c r="D99" s="140" t="s">
        <v>431</v>
      </c>
      <c r="E99" s="141" t="s">
        <v>991</v>
      </c>
      <c r="F99" s="141" t="s">
        <v>1350</v>
      </c>
      <c r="G99" s="141">
        <v>21</v>
      </c>
      <c r="H99" s="141"/>
      <c r="I99" s="141" t="s">
        <v>1182</v>
      </c>
      <c r="J99" s="150">
        <v>34485</v>
      </c>
      <c r="K99" s="141" t="s">
        <v>1201</v>
      </c>
      <c r="L99" s="141"/>
      <c r="M99" s="141" t="s">
        <v>1351</v>
      </c>
    </row>
    <row r="100" spans="1:14">
      <c r="A100" s="27">
        <v>97</v>
      </c>
      <c r="B100" s="151">
        <v>147</v>
      </c>
      <c r="C100" s="169" t="s">
        <v>253</v>
      </c>
      <c r="D100" s="140" t="s">
        <v>1352</v>
      </c>
      <c r="E100" s="141" t="s">
        <v>991</v>
      </c>
      <c r="F100" s="141" t="s">
        <v>1353</v>
      </c>
      <c r="G100" s="141">
        <v>45</v>
      </c>
      <c r="H100" s="141"/>
      <c r="I100" s="141" t="s">
        <v>1182</v>
      </c>
      <c r="J100" s="150">
        <v>26141</v>
      </c>
      <c r="K100" s="141" t="s">
        <v>1201</v>
      </c>
      <c r="L100" s="141"/>
      <c r="M100" s="141" t="s">
        <v>1354</v>
      </c>
    </row>
    <row r="101" spans="1:14">
      <c r="A101" s="27">
        <v>98</v>
      </c>
      <c r="B101" s="151">
        <v>148</v>
      </c>
      <c r="C101" s="169" t="s">
        <v>305</v>
      </c>
      <c r="D101" s="140" t="s">
        <v>1356</v>
      </c>
      <c r="E101" s="141" t="s">
        <v>991</v>
      </c>
      <c r="F101" s="141" t="s">
        <v>1357</v>
      </c>
      <c r="G101" s="141">
        <v>48</v>
      </c>
      <c r="H101" s="141"/>
      <c r="I101" s="141" t="s">
        <v>1156</v>
      </c>
      <c r="J101" s="150">
        <v>25148</v>
      </c>
      <c r="K101" s="141" t="s">
        <v>1157</v>
      </c>
      <c r="L101" s="141" t="s">
        <v>1358</v>
      </c>
      <c r="M101" s="141" t="s">
        <v>1359</v>
      </c>
    </row>
    <row r="102" spans="1:14">
      <c r="A102" s="27">
        <v>99</v>
      </c>
      <c r="B102" s="151">
        <v>149</v>
      </c>
      <c r="C102" s="169" t="s">
        <v>1360</v>
      </c>
      <c r="D102" s="140" t="s">
        <v>1361</v>
      </c>
      <c r="E102" s="141" t="s">
        <v>991</v>
      </c>
      <c r="F102" s="141" t="s">
        <v>1362</v>
      </c>
      <c r="G102" s="141">
        <v>54</v>
      </c>
      <c r="H102" s="141"/>
      <c r="I102" s="141" t="s">
        <v>1182</v>
      </c>
      <c r="J102" s="150">
        <v>22777</v>
      </c>
      <c r="K102" s="141" t="s">
        <v>1157</v>
      </c>
      <c r="L102" s="141" t="s">
        <v>1363</v>
      </c>
      <c r="M102" s="141" t="s">
        <v>1364</v>
      </c>
    </row>
    <row r="103" spans="1:14">
      <c r="A103" s="27">
        <v>100</v>
      </c>
      <c r="B103" s="151">
        <v>150</v>
      </c>
      <c r="C103" s="169" t="s">
        <v>1363</v>
      </c>
      <c r="D103" s="140" t="s">
        <v>1365</v>
      </c>
      <c r="E103" s="141" t="s">
        <v>991</v>
      </c>
      <c r="F103" s="141" t="s">
        <v>1366</v>
      </c>
      <c r="G103" s="141">
        <v>53</v>
      </c>
      <c r="H103" s="141"/>
      <c r="I103" s="141" t="s">
        <v>1156</v>
      </c>
      <c r="J103" s="150" t="s">
        <v>1366</v>
      </c>
      <c r="K103" s="141" t="s">
        <v>1157</v>
      </c>
      <c r="L103" s="141" t="s">
        <v>1360</v>
      </c>
      <c r="M103" s="141" t="s">
        <v>1364</v>
      </c>
    </row>
    <row r="104" spans="1:14">
      <c r="A104" s="27">
        <v>101</v>
      </c>
      <c r="B104" s="151">
        <v>151</v>
      </c>
      <c r="C104" s="170" t="s">
        <v>1367</v>
      </c>
      <c r="D104" s="143" t="s">
        <v>1368</v>
      </c>
      <c r="E104" s="141" t="s">
        <v>991</v>
      </c>
      <c r="F104" s="144" t="s">
        <v>1369</v>
      </c>
      <c r="G104" s="141">
        <v>44</v>
      </c>
      <c r="H104" s="141"/>
      <c r="I104" s="141" t="s">
        <v>1182</v>
      </c>
      <c r="J104" s="150" t="s">
        <v>1369</v>
      </c>
      <c r="K104" s="141" t="s">
        <v>1157</v>
      </c>
      <c r="L104" s="141" t="s">
        <v>1370</v>
      </c>
      <c r="M104" s="141" t="s">
        <v>1371</v>
      </c>
    </row>
    <row r="105" spans="1:14">
      <c r="A105" s="27">
        <v>102</v>
      </c>
      <c r="B105" s="151">
        <v>152</v>
      </c>
      <c r="C105" s="169" t="s">
        <v>1372</v>
      </c>
      <c r="D105" s="140" t="s">
        <v>1373</v>
      </c>
      <c r="E105" s="141" t="s">
        <v>991</v>
      </c>
      <c r="F105" s="141" t="s">
        <v>1374</v>
      </c>
      <c r="G105" s="141">
        <v>65</v>
      </c>
      <c r="H105" s="141"/>
      <c r="I105" s="141" t="s">
        <v>1182</v>
      </c>
      <c r="J105" s="150">
        <v>18524</v>
      </c>
      <c r="K105" s="141"/>
      <c r="L105" s="141" t="s">
        <v>1375</v>
      </c>
      <c r="M105" s="141" t="s">
        <v>1376</v>
      </c>
    </row>
    <row r="106" spans="1:14">
      <c r="A106" s="27">
        <v>103</v>
      </c>
      <c r="B106" s="151">
        <v>154</v>
      </c>
      <c r="C106" s="169" t="s">
        <v>1223</v>
      </c>
      <c r="D106" s="140" t="s">
        <v>1377</v>
      </c>
      <c r="E106" s="141" t="s">
        <v>991</v>
      </c>
      <c r="F106" s="141" t="s">
        <v>1378</v>
      </c>
      <c r="G106" s="141">
        <v>39</v>
      </c>
      <c r="H106" s="141"/>
      <c r="I106" s="141" t="s">
        <v>1182</v>
      </c>
      <c r="J106" s="150">
        <v>28499</v>
      </c>
      <c r="K106" s="141"/>
      <c r="L106" s="141"/>
      <c r="M106" s="141" t="s">
        <v>1379</v>
      </c>
    </row>
    <row r="107" spans="1:14">
      <c r="A107" s="27">
        <v>104</v>
      </c>
      <c r="B107" s="151">
        <v>155</v>
      </c>
      <c r="C107" s="169" t="s">
        <v>172</v>
      </c>
      <c r="D107" s="140" t="s">
        <v>546</v>
      </c>
      <c r="E107" s="141" t="s">
        <v>991</v>
      </c>
      <c r="F107" s="141" t="s">
        <v>1380</v>
      </c>
      <c r="G107" s="141">
        <v>68</v>
      </c>
      <c r="H107" s="141"/>
      <c r="I107" s="141" t="s">
        <v>1156</v>
      </c>
      <c r="J107" s="150" t="s">
        <v>1381</v>
      </c>
      <c r="K107" s="141" t="s">
        <v>1157</v>
      </c>
      <c r="L107" s="141"/>
      <c r="M107" s="141" t="s">
        <v>1382</v>
      </c>
    </row>
    <row r="108" spans="1:14">
      <c r="A108" s="27">
        <v>105</v>
      </c>
      <c r="B108" s="151">
        <v>157</v>
      </c>
      <c r="C108" s="170" t="s">
        <v>1383</v>
      </c>
      <c r="D108" s="146" t="s">
        <v>1384</v>
      </c>
      <c r="E108" s="147" t="s">
        <v>991</v>
      </c>
      <c r="F108" s="148" t="s">
        <v>1385</v>
      </c>
      <c r="G108" s="147">
        <v>50</v>
      </c>
      <c r="H108" s="147"/>
      <c r="I108" s="147" t="s">
        <v>1156</v>
      </c>
      <c r="J108" s="152">
        <v>24570</v>
      </c>
      <c r="K108" s="147" t="s">
        <v>1157</v>
      </c>
      <c r="L108" s="147" t="s">
        <v>1386</v>
      </c>
      <c r="M108" s="147" t="s">
        <v>1387</v>
      </c>
    </row>
    <row r="109" spans="1:14">
      <c r="A109" s="27">
        <v>106</v>
      </c>
      <c r="B109" s="151">
        <v>158</v>
      </c>
      <c r="C109" s="169" t="s">
        <v>1389</v>
      </c>
      <c r="D109" s="140" t="s">
        <v>1390</v>
      </c>
      <c r="E109" s="141" t="s">
        <v>991</v>
      </c>
      <c r="F109" s="141" t="s">
        <v>1391</v>
      </c>
      <c r="G109" s="141">
        <v>49</v>
      </c>
      <c r="H109" s="141"/>
      <c r="I109" s="141" t="s">
        <v>1182</v>
      </c>
      <c r="J109" s="150">
        <v>24524</v>
      </c>
      <c r="K109" s="141" t="s">
        <v>1157</v>
      </c>
      <c r="L109" s="141" t="s">
        <v>1392</v>
      </c>
      <c r="M109" s="141" t="s">
        <v>1393</v>
      </c>
    </row>
    <row r="110" spans="1:14">
      <c r="A110" s="27">
        <v>107</v>
      </c>
      <c r="B110" s="151">
        <v>160</v>
      </c>
      <c r="C110" s="678" t="s">
        <v>319</v>
      </c>
      <c r="D110" s="140" t="s">
        <v>1394</v>
      </c>
      <c r="E110" s="141" t="s">
        <v>991</v>
      </c>
      <c r="F110" s="141" t="s">
        <v>1395</v>
      </c>
      <c r="G110" s="141">
        <v>37</v>
      </c>
      <c r="H110" s="141"/>
      <c r="I110" s="141" t="s">
        <v>1156</v>
      </c>
      <c r="J110" s="150" t="s">
        <v>1396</v>
      </c>
      <c r="K110" s="141" t="s">
        <v>1157</v>
      </c>
      <c r="L110" s="141" t="s">
        <v>1397</v>
      </c>
      <c r="M110" s="141" t="s">
        <v>1398</v>
      </c>
      <c r="N110" t="s">
        <v>1692</v>
      </c>
    </row>
    <row r="111" spans="1:14">
      <c r="A111" s="27"/>
      <c r="B111" s="157">
        <v>161</v>
      </c>
      <c r="C111" s="169" t="s">
        <v>1399</v>
      </c>
      <c r="D111" s="145" t="s">
        <v>1400</v>
      </c>
      <c r="E111" s="147" t="s">
        <v>991</v>
      </c>
      <c r="F111" s="147" t="s">
        <v>1401</v>
      </c>
      <c r="G111" s="147">
        <v>55</v>
      </c>
      <c r="H111" s="147"/>
      <c r="I111" s="147" t="s">
        <v>1156</v>
      </c>
      <c r="J111" s="152">
        <v>22088</v>
      </c>
      <c r="K111" s="147"/>
      <c r="L111" s="147"/>
      <c r="M111" s="147" t="s">
        <v>1402</v>
      </c>
    </row>
    <row r="112" spans="1:14">
      <c r="A112" s="27">
        <v>108</v>
      </c>
      <c r="B112" s="151">
        <v>162</v>
      </c>
      <c r="C112" s="170" t="s">
        <v>123</v>
      </c>
      <c r="D112" s="143" t="s">
        <v>126</v>
      </c>
      <c r="E112" s="141" t="s">
        <v>991</v>
      </c>
      <c r="F112" s="144" t="s">
        <v>1403</v>
      </c>
      <c r="G112" s="141">
        <v>43</v>
      </c>
      <c r="H112" s="158">
        <f ca="1">(TODAY()-J112)/365</f>
        <v>51.558904109589044</v>
      </c>
      <c r="I112" s="141" t="s">
        <v>1156</v>
      </c>
      <c r="J112" s="150">
        <v>27404</v>
      </c>
      <c r="K112" s="141" t="s">
        <v>1157</v>
      </c>
      <c r="L112" s="141"/>
      <c r="M112" s="141" t="s">
        <v>1404</v>
      </c>
    </row>
    <row r="113" spans="1:13">
      <c r="A113" s="27">
        <v>109</v>
      </c>
      <c r="B113" s="151">
        <v>163</v>
      </c>
      <c r="C113" s="170" t="s">
        <v>1405</v>
      </c>
      <c r="D113" s="143" t="s">
        <v>1406</v>
      </c>
      <c r="E113" s="141" t="s">
        <v>991</v>
      </c>
      <c r="F113" s="144" t="s">
        <v>1407</v>
      </c>
      <c r="G113" s="141">
        <v>69</v>
      </c>
      <c r="H113" s="158">
        <f ca="1">(TODAY()-J113)/365</f>
        <v>78.413698630136992</v>
      </c>
      <c r="I113" s="141" t="s">
        <v>1156</v>
      </c>
      <c r="J113" s="150">
        <v>17602</v>
      </c>
      <c r="K113" s="141" t="s">
        <v>1408</v>
      </c>
      <c r="L113" s="141"/>
      <c r="M113" s="141" t="s">
        <v>1409</v>
      </c>
    </row>
    <row r="114" spans="1:13">
      <c r="A114" s="27">
        <v>110</v>
      </c>
      <c r="B114" s="151">
        <v>164</v>
      </c>
      <c r="C114" s="170" t="s">
        <v>1678</v>
      </c>
      <c r="D114" s="143"/>
      <c r="E114" s="141" t="s">
        <v>991</v>
      </c>
      <c r="F114" s="144" t="s">
        <v>1411</v>
      </c>
      <c r="G114" s="141">
        <v>37</v>
      </c>
      <c r="H114" s="158">
        <f t="shared" ref="H114:H169" ca="1" si="0">(TODAY()-J114)/365</f>
        <v>45.208219178082189</v>
      </c>
      <c r="I114" s="141" t="s">
        <v>1156</v>
      </c>
      <c r="J114" s="150">
        <v>29722</v>
      </c>
      <c r="K114" s="141" t="s">
        <v>1157</v>
      </c>
      <c r="L114" s="141" t="s">
        <v>1110</v>
      </c>
      <c r="M114" s="141" t="s">
        <v>1412</v>
      </c>
    </row>
    <row r="115" spans="1:13">
      <c r="A115" s="27">
        <v>111</v>
      </c>
      <c r="B115" s="151">
        <v>167</v>
      </c>
      <c r="C115" s="170" t="s">
        <v>282</v>
      </c>
      <c r="D115" s="143" t="s">
        <v>1414</v>
      </c>
      <c r="E115" s="141" t="s">
        <v>991</v>
      </c>
      <c r="F115" s="144" t="s">
        <v>1415</v>
      </c>
      <c r="G115" s="141">
        <v>19</v>
      </c>
      <c r="H115" s="158">
        <f t="shared" ca="1" si="0"/>
        <v>26.945205479452056</v>
      </c>
      <c r="I115" s="141" t="s">
        <v>1156</v>
      </c>
      <c r="J115" s="150">
        <v>36388</v>
      </c>
      <c r="K115" s="141" t="s">
        <v>1201</v>
      </c>
      <c r="L115" s="141"/>
      <c r="M115" s="141" t="s">
        <v>1196</v>
      </c>
    </row>
    <row r="116" spans="1:13">
      <c r="A116" s="27">
        <v>112</v>
      </c>
      <c r="B116" s="151">
        <v>168</v>
      </c>
      <c r="C116" s="170" t="s">
        <v>292</v>
      </c>
      <c r="D116" s="143" t="s">
        <v>1416</v>
      </c>
      <c r="E116" s="141" t="s">
        <v>991</v>
      </c>
      <c r="F116" s="144" t="s">
        <v>1417</v>
      </c>
      <c r="G116" s="141">
        <v>61</v>
      </c>
      <c r="H116" s="158">
        <f t="shared" ca="1" si="0"/>
        <v>68.873972602739727</v>
      </c>
      <c r="I116" s="141" t="s">
        <v>1156</v>
      </c>
      <c r="J116" s="150">
        <v>21084</v>
      </c>
      <c r="K116" s="141" t="s">
        <v>1157</v>
      </c>
      <c r="L116" s="141" t="s">
        <v>1418</v>
      </c>
      <c r="M116" s="141" t="s">
        <v>1419</v>
      </c>
    </row>
    <row r="117" spans="1:13">
      <c r="A117" s="27">
        <v>113</v>
      </c>
      <c r="B117" s="151">
        <v>169</v>
      </c>
      <c r="C117" s="170" t="s">
        <v>1420</v>
      </c>
      <c r="D117" s="27"/>
      <c r="E117" s="141" t="s">
        <v>991</v>
      </c>
      <c r="F117" s="144" t="s">
        <v>1421</v>
      </c>
      <c r="G117" s="141">
        <v>43</v>
      </c>
      <c r="H117" s="158">
        <f t="shared" ca="1" si="0"/>
        <v>50.605479452054794</v>
      </c>
      <c r="I117" s="141" t="s">
        <v>1156</v>
      </c>
      <c r="J117" s="150">
        <v>27752</v>
      </c>
      <c r="K117" s="141" t="s">
        <v>1157</v>
      </c>
      <c r="L117" s="141" t="s">
        <v>1422</v>
      </c>
      <c r="M117" s="141" t="s">
        <v>1423</v>
      </c>
    </row>
    <row r="118" spans="1:13">
      <c r="A118" s="27">
        <v>114</v>
      </c>
      <c r="B118" s="151">
        <v>170</v>
      </c>
      <c r="C118" s="170" t="s">
        <v>120</v>
      </c>
      <c r="D118" s="143" t="s">
        <v>1424</v>
      </c>
      <c r="E118" s="141" t="s">
        <v>991</v>
      </c>
      <c r="F118" s="144" t="s">
        <v>1425</v>
      </c>
      <c r="G118" s="141">
        <v>47</v>
      </c>
      <c r="H118" s="158">
        <f t="shared" ca="1" si="0"/>
        <v>54.591780821917808</v>
      </c>
      <c r="I118" s="141" t="s">
        <v>1156</v>
      </c>
      <c r="J118" s="150">
        <v>26297</v>
      </c>
      <c r="K118" s="141" t="s">
        <v>1157</v>
      </c>
      <c r="L118" s="141" t="s">
        <v>1426</v>
      </c>
      <c r="M118" s="141" t="s">
        <v>1427</v>
      </c>
    </row>
    <row r="119" spans="1:13">
      <c r="A119" s="27">
        <v>115</v>
      </c>
      <c r="B119" s="151">
        <v>172</v>
      </c>
      <c r="C119" s="170" t="s">
        <v>193</v>
      </c>
      <c r="D119" s="143" t="s">
        <v>194</v>
      </c>
      <c r="E119" s="141" t="s">
        <v>991</v>
      </c>
      <c r="F119" s="144" t="s">
        <v>1428</v>
      </c>
      <c r="G119" s="141">
        <v>33</v>
      </c>
      <c r="H119" s="158">
        <f t="shared" ca="1" si="0"/>
        <v>40.224657534246575</v>
      </c>
      <c r="I119" s="141" t="s">
        <v>1156</v>
      </c>
      <c r="J119" s="150">
        <v>31541</v>
      </c>
      <c r="K119" s="141" t="s">
        <v>1157</v>
      </c>
      <c r="L119" s="141" t="s">
        <v>1429</v>
      </c>
      <c r="M119" s="141" t="s">
        <v>1430</v>
      </c>
    </row>
    <row r="120" spans="1:13">
      <c r="A120" s="27">
        <v>116</v>
      </c>
      <c r="B120" s="151">
        <v>173</v>
      </c>
      <c r="C120" s="170" t="s">
        <v>1431</v>
      </c>
      <c r="D120" s="143" t="s">
        <v>1432</v>
      </c>
      <c r="E120" s="141" t="s">
        <v>991</v>
      </c>
      <c r="F120" s="144" t="s">
        <v>1433</v>
      </c>
      <c r="G120" s="141">
        <v>55</v>
      </c>
      <c r="H120" s="158">
        <f t="shared" ca="1" si="0"/>
        <v>61.61643835616438</v>
      </c>
      <c r="I120" s="141" t="s">
        <v>1156</v>
      </c>
      <c r="J120" s="150">
        <v>23733</v>
      </c>
      <c r="K120" s="141" t="s">
        <v>1157</v>
      </c>
      <c r="L120" s="141" t="s">
        <v>1434</v>
      </c>
      <c r="M120" s="141" t="s">
        <v>1435</v>
      </c>
    </row>
    <row r="121" spans="1:13">
      <c r="A121" s="27">
        <v>117</v>
      </c>
      <c r="B121" s="151">
        <v>174</v>
      </c>
      <c r="C121" s="170" t="s">
        <v>1436</v>
      </c>
      <c r="D121" s="143" t="s">
        <v>850</v>
      </c>
      <c r="E121" s="141" t="s">
        <v>991</v>
      </c>
      <c r="F121" s="144" t="s">
        <v>1437</v>
      </c>
      <c r="G121" s="141">
        <v>48</v>
      </c>
      <c r="H121" s="158">
        <f t="shared" ca="1" si="0"/>
        <v>55.698630136986303</v>
      </c>
      <c r="I121" s="141" t="s">
        <v>1156</v>
      </c>
      <c r="J121" s="150">
        <v>25893</v>
      </c>
      <c r="K121" s="141" t="s">
        <v>1157</v>
      </c>
      <c r="L121" s="141" t="s">
        <v>1438</v>
      </c>
      <c r="M121" s="141" t="s">
        <v>1439</v>
      </c>
    </row>
    <row r="122" spans="1:13">
      <c r="A122" s="27">
        <v>118</v>
      </c>
      <c r="B122" s="151">
        <v>175</v>
      </c>
      <c r="C122" s="170" t="s">
        <v>147</v>
      </c>
      <c r="D122" s="143" t="s">
        <v>148</v>
      </c>
      <c r="E122" s="141" t="s">
        <v>991</v>
      </c>
      <c r="F122" s="144" t="s">
        <v>1440</v>
      </c>
      <c r="G122" s="141">
        <v>45</v>
      </c>
      <c r="H122" s="158">
        <f t="shared" ca="1" si="0"/>
        <v>52.046575342465751</v>
      </c>
      <c r="I122" s="141" t="s">
        <v>1182</v>
      </c>
      <c r="J122" s="150">
        <v>27226</v>
      </c>
      <c r="K122" s="141" t="s">
        <v>1157</v>
      </c>
      <c r="L122" s="25"/>
      <c r="M122" s="141" t="s">
        <v>1441</v>
      </c>
    </row>
    <row r="123" spans="1:13">
      <c r="A123" s="27">
        <v>119</v>
      </c>
      <c r="B123" s="151">
        <v>176</v>
      </c>
      <c r="C123" s="170" t="s">
        <v>144</v>
      </c>
      <c r="D123" s="143" t="s">
        <v>1442</v>
      </c>
      <c r="E123" s="141" t="s">
        <v>991</v>
      </c>
      <c r="F123" s="144" t="s">
        <v>1443</v>
      </c>
      <c r="G123" s="141">
        <v>44</v>
      </c>
      <c r="H123" s="158">
        <f t="shared" ca="1" si="0"/>
        <v>52.419178082191777</v>
      </c>
      <c r="I123" s="141" t="s">
        <v>1156</v>
      </c>
      <c r="J123" s="150">
        <v>27090</v>
      </c>
      <c r="K123" s="141" t="s">
        <v>1157</v>
      </c>
      <c r="L123" s="141" t="s">
        <v>1444</v>
      </c>
      <c r="M123" s="141" t="s">
        <v>1445</v>
      </c>
    </row>
    <row r="124" spans="1:13">
      <c r="A124" s="27">
        <v>120</v>
      </c>
      <c r="B124" s="151">
        <v>177</v>
      </c>
      <c r="C124" s="170" t="s">
        <v>36</v>
      </c>
      <c r="D124" s="143" t="s">
        <v>1446</v>
      </c>
      <c r="E124" s="141" t="s">
        <v>991</v>
      </c>
      <c r="F124" s="144" t="s">
        <v>1447</v>
      </c>
      <c r="G124" s="141">
        <v>54</v>
      </c>
      <c r="H124" s="158">
        <f t="shared" ca="1" si="0"/>
        <v>60.224657534246575</v>
      </c>
      <c r="I124" s="141" t="s">
        <v>1156</v>
      </c>
      <c r="J124" s="150">
        <v>24241</v>
      </c>
      <c r="K124" s="141" t="s">
        <v>1201</v>
      </c>
      <c r="L124" s="141"/>
      <c r="M124" s="141" t="s">
        <v>1448</v>
      </c>
    </row>
    <row r="125" spans="1:13">
      <c r="A125" s="27">
        <v>121</v>
      </c>
      <c r="B125" s="151">
        <v>178</v>
      </c>
      <c r="C125" s="170" t="s">
        <v>1449</v>
      </c>
      <c r="D125" s="143" t="s">
        <v>1450</v>
      </c>
      <c r="E125" s="141" t="s">
        <v>991</v>
      </c>
      <c r="F125" s="144" t="s">
        <v>1451</v>
      </c>
      <c r="G125" s="141">
        <v>48</v>
      </c>
      <c r="H125" s="158">
        <f t="shared" ca="1" si="0"/>
        <v>56.301369863013697</v>
      </c>
      <c r="I125" s="141" t="s">
        <v>1156</v>
      </c>
      <c r="J125" s="150">
        <v>25673</v>
      </c>
      <c r="K125" s="141" t="s">
        <v>1201</v>
      </c>
      <c r="L125" s="141"/>
      <c r="M125" s="141" t="s">
        <v>1452</v>
      </c>
    </row>
    <row r="126" spans="1:13">
      <c r="A126" s="27">
        <v>122</v>
      </c>
      <c r="B126" s="151">
        <v>179</v>
      </c>
      <c r="C126" s="170" t="s">
        <v>235</v>
      </c>
      <c r="D126" s="143" t="s">
        <v>1453</v>
      </c>
      <c r="E126" s="141" t="s">
        <v>991</v>
      </c>
      <c r="F126" s="144" t="s">
        <v>1454</v>
      </c>
      <c r="G126" s="141">
        <v>70</v>
      </c>
      <c r="H126" s="158">
        <f t="shared" ca="1" si="0"/>
        <v>76.983561643835614</v>
      </c>
      <c r="I126" s="141" t="s">
        <v>1156</v>
      </c>
      <c r="J126" s="150">
        <v>18124</v>
      </c>
      <c r="K126" s="141"/>
      <c r="L126" s="141"/>
      <c r="M126" s="141" t="s">
        <v>1455</v>
      </c>
    </row>
    <row r="127" spans="1:13">
      <c r="A127" s="27">
        <v>123</v>
      </c>
      <c r="B127" s="140">
        <v>180</v>
      </c>
      <c r="C127" s="170" t="s">
        <v>379</v>
      </c>
      <c r="D127" s="143" t="s">
        <v>1456</v>
      </c>
      <c r="E127" s="141" t="s">
        <v>991</v>
      </c>
      <c r="F127" s="144" t="s">
        <v>1457</v>
      </c>
      <c r="G127" s="141">
        <v>16</v>
      </c>
      <c r="H127" s="158">
        <f t="shared" ca="1" si="0"/>
        <v>23.476712328767125</v>
      </c>
      <c r="I127" s="141" t="s">
        <v>1182</v>
      </c>
      <c r="J127" s="150">
        <v>37654</v>
      </c>
      <c r="K127" s="141" t="s">
        <v>1201</v>
      </c>
      <c r="L127" s="141"/>
      <c r="M127" s="141" t="s">
        <v>1458</v>
      </c>
    </row>
    <row r="128" spans="1:13">
      <c r="A128" s="27">
        <v>124</v>
      </c>
      <c r="B128" s="140">
        <v>181</v>
      </c>
      <c r="C128" s="170" t="s">
        <v>94</v>
      </c>
      <c r="D128" s="143" t="s">
        <v>1459</v>
      </c>
      <c r="E128" s="141" t="s">
        <v>991</v>
      </c>
      <c r="F128" s="144" t="s">
        <v>1460</v>
      </c>
      <c r="G128" s="141">
        <v>50</v>
      </c>
      <c r="H128" s="158">
        <f t="shared" ca="1" si="0"/>
        <v>57.62191780821918</v>
      </c>
      <c r="I128" s="141" t="s">
        <v>1156</v>
      </c>
      <c r="J128" s="150">
        <v>25191</v>
      </c>
      <c r="K128" s="141"/>
      <c r="L128" s="141"/>
      <c r="M128" s="141" t="s">
        <v>1461</v>
      </c>
    </row>
    <row r="129" spans="1:13">
      <c r="A129" s="27">
        <v>125</v>
      </c>
      <c r="B129" s="140">
        <v>182</v>
      </c>
      <c r="C129" s="170" t="s">
        <v>247</v>
      </c>
      <c r="D129" s="143" t="s">
        <v>1462</v>
      </c>
      <c r="E129" s="141" t="s">
        <v>991</v>
      </c>
      <c r="F129" s="144" t="s">
        <v>1463</v>
      </c>
      <c r="G129" s="141">
        <v>35</v>
      </c>
      <c r="H129" s="158">
        <f t="shared" ca="1" si="0"/>
        <v>41.868493150684934</v>
      </c>
      <c r="I129" s="141" t="s">
        <v>1156</v>
      </c>
      <c r="J129" s="150">
        <v>30941</v>
      </c>
      <c r="K129" s="141" t="s">
        <v>1157</v>
      </c>
      <c r="L129" s="141" t="s">
        <v>1464</v>
      </c>
      <c r="M129" s="141" t="s">
        <v>1465</v>
      </c>
    </row>
    <row r="130" spans="1:13">
      <c r="A130" s="27">
        <v>126</v>
      </c>
      <c r="B130" s="140">
        <v>183</v>
      </c>
      <c r="C130" s="170" t="s">
        <v>271</v>
      </c>
      <c r="D130" s="143" t="s">
        <v>1466</v>
      </c>
      <c r="E130" s="141" t="s">
        <v>991</v>
      </c>
      <c r="F130" s="144" t="s">
        <v>1467</v>
      </c>
      <c r="G130" s="141">
        <v>40</v>
      </c>
      <c r="H130" s="158">
        <f t="shared" ca="1" si="0"/>
        <v>47.041095890410958</v>
      </c>
      <c r="I130" s="141" t="s">
        <v>1156</v>
      </c>
      <c r="J130" s="150">
        <v>29053</v>
      </c>
      <c r="K130" s="141" t="s">
        <v>1157</v>
      </c>
      <c r="L130" s="141" t="s">
        <v>1468</v>
      </c>
      <c r="M130" s="141" t="s">
        <v>1469</v>
      </c>
    </row>
    <row r="131" spans="1:13" ht="28.8">
      <c r="A131" s="27">
        <v>127</v>
      </c>
      <c r="B131" s="140">
        <v>184</v>
      </c>
      <c r="C131" s="170" t="s">
        <v>288</v>
      </c>
      <c r="D131" s="143"/>
      <c r="E131" s="141" t="s">
        <v>991</v>
      </c>
      <c r="F131" s="144" t="s">
        <v>1470</v>
      </c>
      <c r="G131" s="141">
        <v>50</v>
      </c>
      <c r="H131" s="158">
        <f t="shared" ca="1" si="0"/>
        <v>57.334246575342469</v>
      </c>
      <c r="I131" s="141" t="s">
        <v>1156</v>
      </c>
      <c r="J131" s="150">
        <v>25296</v>
      </c>
      <c r="K131" s="141" t="s">
        <v>1157</v>
      </c>
      <c r="L131" s="141" t="s">
        <v>1471</v>
      </c>
      <c r="M131" s="159" t="s">
        <v>1472</v>
      </c>
    </row>
    <row r="132" spans="1:13">
      <c r="A132" s="27">
        <v>128</v>
      </c>
      <c r="B132" s="140">
        <v>185</v>
      </c>
      <c r="C132" s="170" t="s">
        <v>99</v>
      </c>
      <c r="D132" s="143" t="s">
        <v>1473</v>
      </c>
      <c r="E132" s="141" t="s">
        <v>991</v>
      </c>
      <c r="F132" s="160">
        <v>1910089</v>
      </c>
      <c r="G132" s="141">
        <v>50</v>
      </c>
      <c r="H132" s="158"/>
      <c r="I132" s="141" t="s">
        <v>1156</v>
      </c>
      <c r="J132" s="141" t="s">
        <v>1474</v>
      </c>
      <c r="K132" s="141" t="s">
        <v>1157</v>
      </c>
      <c r="L132" s="141" t="s">
        <v>1475</v>
      </c>
      <c r="M132" s="141" t="s">
        <v>1476</v>
      </c>
    </row>
    <row r="133" spans="1:13">
      <c r="A133" s="27">
        <v>129</v>
      </c>
      <c r="B133" s="140">
        <v>186</v>
      </c>
      <c r="C133" s="170" t="s">
        <v>73</v>
      </c>
      <c r="D133" s="143" t="s">
        <v>1477</v>
      </c>
      <c r="E133" s="141" t="s">
        <v>991</v>
      </c>
      <c r="F133" s="144" t="s">
        <v>1478</v>
      </c>
      <c r="G133" s="141">
        <v>56</v>
      </c>
      <c r="H133" s="158">
        <f t="shared" ca="1" si="0"/>
        <v>63.364383561643834</v>
      </c>
      <c r="I133" s="141" t="s">
        <v>1156</v>
      </c>
      <c r="J133" s="150">
        <v>23095</v>
      </c>
      <c r="K133" s="141" t="s">
        <v>1157</v>
      </c>
      <c r="L133" s="141" t="s">
        <v>1479</v>
      </c>
      <c r="M133" s="141" t="s">
        <v>1480</v>
      </c>
    </row>
    <row r="134" spans="1:13">
      <c r="A134" s="27">
        <v>130</v>
      </c>
      <c r="B134" s="140">
        <v>187</v>
      </c>
      <c r="C134" s="170" t="s">
        <v>1481</v>
      </c>
      <c r="D134" s="143" t="s">
        <v>1482</v>
      </c>
      <c r="E134" s="141" t="s">
        <v>991</v>
      </c>
      <c r="F134" s="144" t="s">
        <v>1483</v>
      </c>
      <c r="G134" s="141">
        <v>64</v>
      </c>
      <c r="H134" s="158">
        <f t="shared" ca="1" si="0"/>
        <v>71.671232876712324</v>
      </c>
      <c r="I134" s="141" t="s">
        <v>1156</v>
      </c>
      <c r="J134" s="150">
        <v>20063</v>
      </c>
      <c r="K134" s="141" t="s">
        <v>1157</v>
      </c>
      <c r="L134" s="141" t="s">
        <v>96</v>
      </c>
      <c r="M134" s="141" t="s">
        <v>1484</v>
      </c>
    </row>
    <row r="135" spans="1:13">
      <c r="A135" s="27">
        <v>131</v>
      </c>
      <c r="B135" s="140">
        <v>188</v>
      </c>
      <c r="C135" s="170" t="s">
        <v>175</v>
      </c>
      <c r="D135" s="143" t="s">
        <v>1485</v>
      </c>
      <c r="E135" s="141" t="s">
        <v>991</v>
      </c>
      <c r="F135" s="144" t="s">
        <v>1486</v>
      </c>
      <c r="G135" s="141">
        <v>43</v>
      </c>
      <c r="H135" s="158">
        <f t="shared" ca="1" si="0"/>
        <v>50.783561643835618</v>
      </c>
      <c r="I135" s="141" t="s">
        <v>1156</v>
      </c>
      <c r="J135" s="150">
        <v>27687</v>
      </c>
      <c r="K135" s="141" t="s">
        <v>1157</v>
      </c>
      <c r="L135" s="141" t="s">
        <v>1487</v>
      </c>
      <c r="M135" s="141" t="s">
        <v>1488</v>
      </c>
    </row>
    <row r="136" spans="1:13">
      <c r="A136" s="27">
        <v>132</v>
      </c>
      <c r="B136" s="140">
        <v>189</v>
      </c>
      <c r="C136" s="170" t="s">
        <v>48</v>
      </c>
      <c r="D136" s="143" t="s">
        <v>1489</v>
      </c>
      <c r="E136" s="141" t="s">
        <v>991</v>
      </c>
      <c r="F136" s="144" t="s">
        <v>1490</v>
      </c>
      <c r="G136" s="141">
        <v>64</v>
      </c>
      <c r="H136" s="158">
        <f t="shared" ca="1" si="0"/>
        <v>71.246575342465746</v>
      </c>
      <c r="I136" s="141" t="s">
        <v>1156</v>
      </c>
      <c r="J136" s="150">
        <v>20218</v>
      </c>
      <c r="K136" s="141" t="s">
        <v>1195</v>
      </c>
      <c r="L136" s="141"/>
      <c r="M136" s="141" t="s">
        <v>1491</v>
      </c>
    </row>
    <row r="137" spans="1:13">
      <c r="A137" s="27">
        <v>133</v>
      </c>
      <c r="B137" s="140">
        <v>190</v>
      </c>
      <c r="C137" s="170" t="s">
        <v>233</v>
      </c>
      <c r="D137" s="146" t="s">
        <v>1492</v>
      </c>
      <c r="E137" s="147" t="s">
        <v>991</v>
      </c>
      <c r="F137" s="148" t="s">
        <v>1493</v>
      </c>
      <c r="G137" s="147">
        <v>41</v>
      </c>
      <c r="H137" s="161">
        <f t="shared" ca="1" si="0"/>
        <v>47.704109589041096</v>
      </c>
      <c r="I137" s="147" t="s">
        <v>1156</v>
      </c>
      <c r="J137" s="152">
        <v>28811</v>
      </c>
      <c r="K137" s="147" t="s">
        <v>1157</v>
      </c>
      <c r="L137" s="147" t="s">
        <v>1494</v>
      </c>
      <c r="M137" s="147" t="s">
        <v>1495</v>
      </c>
    </row>
    <row r="138" spans="1:13">
      <c r="A138" s="27">
        <v>134</v>
      </c>
      <c r="B138" s="140">
        <v>191</v>
      </c>
      <c r="C138" s="170" t="s">
        <v>116</v>
      </c>
      <c r="D138" s="143" t="s">
        <v>1497</v>
      </c>
      <c r="E138" s="141" t="s">
        <v>991</v>
      </c>
      <c r="F138" s="144" t="s">
        <v>1498</v>
      </c>
      <c r="G138" s="141">
        <v>24</v>
      </c>
      <c r="H138" s="158">
        <f t="shared" ca="1" si="0"/>
        <v>30.80821917808219</v>
      </c>
      <c r="I138" s="141" t="s">
        <v>1156</v>
      </c>
      <c r="J138" s="150">
        <v>34978</v>
      </c>
      <c r="K138" s="141" t="s">
        <v>1201</v>
      </c>
      <c r="L138" s="141"/>
      <c r="M138" s="141" t="s">
        <v>1499</v>
      </c>
    </row>
    <row r="139" spans="1:13">
      <c r="A139" s="27">
        <v>135</v>
      </c>
      <c r="B139" s="140">
        <v>192</v>
      </c>
      <c r="C139" s="170" t="s">
        <v>42</v>
      </c>
      <c r="D139" s="143" t="s">
        <v>1500</v>
      </c>
      <c r="E139" s="141" t="s">
        <v>991</v>
      </c>
      <c r="F139" s="144" t="s">
        <v>1501</v>
      </c>
      <c r="G139" s="141">
        <v>26</v>
      </c>
      <c r="H139" s="158">
        <f t="shared" ca="1" si="0"/>
        <v>33.4</v>
      </c>
      <c r="I139" s="141" t="s">
        <v>1182</v>
      </c>
      <c r="J139" s="150">
        <v>34032</v>
      </c>
      <c r="K139" s="141" t="s">
        <v>1201</v>
      </c>
      <c r="L139" s="141"/>
      <c r="M139" s="141" t="s">
        <v>1502</v>
      </c>
    </row>
    <row r="140" spans="1:13">
      <c r="A140" s="27">
        <v>136</v>
      </c>
      <c r="B140" s="140">
        <v>193</v>
      </c>
      <c r="C140" s="170" t="s">
        <v>761</v>
      </c>
      <c r="D140" s="143" t="s">
        <v>1503</v>
      </c>
      <c r="E140" s="141" t="s">
        <v>991</v>
      </c>
      <c r="F140" s="144" t="s">
        <v>1504</v>
      </c>
      <c r="G140" s="141">
        <v>40</v>
      </c>
      <c r="H140" s="158">
        <f t="shared" ca="1" si="0"/>
        <v>47.172602739726024</v>
      </c>
      <c r="I140" s="141" t="s">
        <v>1156</v>
      </c>
      <c r="J140" s="150">
        <v>29005</v>
      </c>
      <c r="K140" s="141" t="s">
        <v>1157</v>
      </c>
      <c r="L140" s="141" t="s">
        <v>1253</v>
      </c>
      <c r="M140" s="141" t="s">
        <v>1255</v>
      </c>
    </row>
    <row r="141" spans="1:13">
      <c r="A141" s="27">
        <v>137</v>
      </c>
      <c r="B141" s="140">
        <v>194</v>
      </c>
      <c r="C141" s="170" t="s">
        <v>1505</v>
      </c>
      <c r="D141" s="143" t="s">
        <v>1506</v>
      </c>
      <c r="E141" s="141" t="s">
        <v>991</v>
      </c>
      <c r="F141" s="144" t="s">
        <v>1507</v>
      </c>
      <c r="G141" s="141">
        <v>31</v>
      </c>
      <c r="H141" s="158">
        <f t="shared" ca="1" si="0"/>
        <v>38.490410958904107</v>
      </c>
      <c r="I141" s="141" t="s">
        <v>1182</v>
      </c>
      <c r="J141" s="150">
        <v>32174</v>
      </c>
      <c r="K141" s="162" t="s">
        <v>1201</v>
      </c>
      <c r="L141" s="162"/>
      <c r="M141" s="162" t="s">
        <v>1508</v>
      </c>
    </row>
    <row r="142" spans="1:13">
      <c r="A142" s="27">
        <v>138</v>
      </c>
      <c r="B142" s="140">
        <v>195</v>
      </c>
      <c r="C142" s="170" t="s">
        <v>1509</v>
      </c>
      <c r="D142" s="143" t="s">
        <v>1510</v>
      </c>
      <c r="E142" s="141" t="s">
        <v>991</v>
      </c>
      <c r="F142" s="144" t="s">
        <v>1511</v>
      </c>
      <c r="G142" s="141">
        <v>59</v>
      </c>
      <c r="H142" s="158" t="e">
        <f t="shared" ca="1" si="0"/>
        <v>#VALUE!</v>
      </c>
      <c r="I142" s="141" t="s">
        <v>1156</v>
      </c>
      <c r="J142" s="150" t="s">
        <v>1512</v>
      </c>
      <c r="K142" s="162" t="s">
        <v>1157</v>
      </c>
      <c r="L142" s="25"/>
      <c r="M142" s="162" t="s">
        <v>1513</v>
      </c>
    </row>
    <row r="143" spans="1:13">
      <c r="A143" s="27">
        <v>139</v>
      </c>
      <c r="B143" s="140">
        <v>196</v>
      </c>
      <c r="C143" s="170" t="s">
        <v>221</v>
      </c>
      <c r="D143" s="146" t="s">
        <v>1514</v>
      </c>
      <c r="E143" s="147" t="s">
        <v>991</v>
      </c>
      <c r="F143" s="148" t="s">
        <v>1515</v>
      </c>
      <c r="G143" s="147">
        <v>40</v>
      </c>
      <c r="H143" s="161">
        <f t="shared" ca="1" si="0"/>
        <v>47.079452054794523</v>
      </c>
      <c r="I143" s="147" t="s">
        <v>1156</v>
      </c>
      <c r="J143" s="152">
        <v>29039</v>
      </c>
      <c r="K143" s="163" t="s">
        <v>1157</v>
      </c>
      <c r="L143" s="163" t="s">
        <v>224</v>
      </c>
      <c r="M143" s="163" t="s">
        <v>1516</v>
      </c>
    </row>
    <row r="144" spans="1:13">
      <c r="A144" s="27">
        <v>140</v>
      </c>
      <c r="B144" s="140">
        <v>197</v>
      </c>
      <c r="C144" s="170" t="s">
        <v>1518</v>
      </c>
      <c r="D144" s="143" t="s">
        <v>1519</v>
      </c>
      <c r="E144" s="141" t="s">
        <v>991</v>
      </c>
      <c r="F144" s="144" t="s">
        <v>1520</v>
      </c>
      <c r="G144" s="141">
        <v>33</v>
      </c>
      <c r="H144" s="158">
        <f t="shared" ca="1" si="0"/>
        <v>38.87945205479452</v>
      </c>
      <c r="I144" s="141" t="s">
        <v>1156</v>
      </c>
      <c r="J144" s="150">
        <v>32032</v>
      </c>
      <c r="K144" s="162" t="s">
        <v>1201</v>
      </c>
      <c r="L144" s="162"/>
      <c r="M144" s="142" t="s">
        <v>1521</v>
      </c>
    </row>
    <row r="145" spans="1:13">
      <c r="A145" s="27">
        <v>141</v>
      </c>
      <c r="B145" s="140">
        <v>198</v>
      </c>
      <c r="C145" s="170" t="s">
        <v>1523</v>
      </c>
      <c r="D145" s="143" t="s">
        <v>1524</v>
      </c>
      <c r="E145" s="141" t="s">
        <v>991</v>
      </c>
      <c r="F145" s="144" t="s">
        <v>1525</v>
      </c>
      <c r="G145" s="141">
        <v>35</v>
      </c>
      <c r="H145" s="158">
        <f t="shared" ca="1" si="0"/>
        <v>40.904109589041099</v>
      </c>
      <c r="I145" s="141" t="s">
        <v>1156</v>
      </c>
      <c r="J145" s="150">
        <v>31293</v>
      </c>
      <c r="K145" s="162" t="s">
        <v>1201</v>
      </c>
      <c r="L145" s="162"/>
      <c r="M145" s="162" t="s">
        <v>1526</v>
      </c>
    </row>
    <row r="146" spans="1:13">
      <c r="A146" s="27">
        <v>142</v>
      </c>
      <c r="B146" s="140">
        <v>199</v>
      </c>
      <c r="C146" s="170" t="s">
        <v>278</v>
      </c>
      <c r="D146" s="143" t="s">
        <v>1527</v>
      </c>
      <c r="E146" s="141" t="s">
        <v>991</v>
      </c>
      <c r="F146" s="144" t="s">
        <v>1528</v>
      </c>
      <c r="G146" s="141">
        <v>59</v>
      </c>
      <c r="H146" s="158" t="e">
        <f t="shared" ca="1" si="0"/>
        <v>#VALUE!</v>
      </c>
      <c r="I146" s="141" t="s">
        <v>1156</v>
      </c>
      <c r="J146" s="150" t="s">
        <v>1529</v>
      </c>
      <c r="K146" s="162" t="s">
        <v>1157</v>
      </c>
      <c r="L146" s="162" t="s">
        <v>1530</v>
      </c>
      <c r="M146" s="162" t="s">
        <v>1531</v>
      </c>
    </row>
    <row r="147" spans="1:13">
      <c r="A147" s="27">
        <v>143</v>
      </c>
      <c r="B147" s="140">
        <v>200</v>
      </c>
      <c r="C147" s="170" t="s">
        <v>224</v>
      </c>
      <c r="D147" s="146" t="s">
        <v>1533</v>
      </c>
      <c r="E147" s="147" t="s">
        <v>991</v>
      </c>
      <c r="F147" s="148">
        <v>751118</v>
      </c>
      <c r="G147" s="147">
        <v>44</v>
      </c>
      <c r="H147" s="161">
        <f t="shared" ca="1" si="0"/>
        <v>50.704109589041096</v>
      </c>
      <c r="I147" s="147" t="s">
        <v>1182</v>
      </c>
      <c r="J147" s="152">
        <v>27716</v>
      </c>
      <c r="K147" s="163" t="s">
        <v>1157</v>
      </c>
      <c r="L147" s="163" t="s">
        <v>221</v>
      </c>
      <c r="M147" s="163" t="s">
        <v>1516</v>
      </c>
    </row>
    <row r="148" spans="1:13">
      <c r="A148" s="27">
        <v>144</v>
      </c>
      <c r="B148" s="140">
        <v>201</v>
      </c>
      <c r="C148" s="170" t="s">
        <v>215</v>
      </c>
      <c r="D148" s="146" t="s">
        <v>1534</v>
      </c>
      <c r="E148" s="147" t="s">
        <v>991</v>
      </c>
      <c r="F148" s="148" t="s">
        <v>1535</v>
      </c>
      <c r="G148" s="147">
        <v>50</v>
      </c>
      <c r="H148" s="161">
        <f t="shared" ca="1" si="0"/>
        <v>56.846575342465755</v>
      </c>
      <c r="I148" s="147" t="s">
        <v>1156</v>
      </c>
      <c r="J148" s="152">
        <v>25474</v>
      </c>
      <c r="K148" s="163" t="s">
        <v>1201</v>
      </c>
      <c r="L148" s="163"/>
      <c r="M148" s="163" t="s">
        <v>1536</v>
      </c>
    </row>
    <row r="149" spans="1:13">
      <c r="A149" s="27">
        <v>145</v>
      </c>
      <c r="B149" s="140">
        <v>202</v>
      </c>
      <c r="C149" s="170" t="s">
        <v>129</v>
      </c>
      <c r="D149" s="143" t="s">
        <v>1538</v>
      </c>
      <c r="E149" s="141" t="s">
        <v>991</v>
      </c>
      <c r="F149" s="144" t="s">
        <v>1539</v>
      </c>
      <c r="G149" s="141">
        <v>70</v>
      </c>
      <c r="H149" s="158">
        <f t="shared" ca="1" si="0"/>
        <v>76.134246575342459</v>
      </c>
      <c r="I149" s="141" t="s">
        <v>1156</v>
      </c>
      <c r="J149" s="150">
        <v>18434</v>
      </c>
      <c r="K149" s="162" t="s">
        <v>1157</v>
      </c>
      <c r="L149" s="162" t="s">
        <v>1540</v>
      </c>
      <c r="M149" s="162" t="s">
        <v>1541</v>
      </c>
    </row>
    <row r="150" spans="1:13">
      <c r="A150" s="27">
        <v>146</v>
      </c>
      <c r="B150" s="140">
        <v>203</v>
      </c>
      <c r="C150" s="170" t="s">
        <v>250</v>
      </c>
      <c r="D150" s="143" t="s">
        <v>1542</v>
      </c>
      <c r="E150" s="141" t="s">
        <v>991</v>
      </c>
      <c r="F150" s="144" t="s">
        <v>1543</v>
      </c>
      <c r="G150" s="141">
        <v>60</v>
      </c>
      <c r="H150" s="158">
        <f t="shared" ca="1" si="0"/>
        <v>66.895890410958899</v>
      </c>
      <c r="I150" s="141" t="s">
        <v>1182</v>
      </c>
      <c r="J150" s="150">
        <v>21806</v>
      </c>
      <c r="K150" s="162" t="s">
        <v>1544</v>
      </c>
      <c r="L150" s="162"/>
      <c r="M150" s="162" t="s">
        <v>1545</v>
      </c>
    </row>
    <row r="151" spans="1:13">
      <c r="A151" s="27"/>
      <c r="B151" s="143">
        <v>204</v>
      </c>
      <c r="C151" s="170" t="s">
        <v>1546</v>
      </c>
      <c r="D151" s="143" t="s">
        <v>1547</v>
      </c>
      <c r="E151" s="141" t="s">
        <v>991</v>
      </c>
      <c r="F151" s="144" t="s">
        <v>1548</v>
      </c>
      <c r="G151" s="141">
        <v>41</v>
      </c>
      <c r="H151" s="158">
        <f t="shared" ca="1" si="0"/>
        <v>50.723287671232875</v>
      </c>
      <c r="I151" s="141" t="s">
        <v>1156</v>
      </c>
      <c r="J151" s="150">
        <v>27709</v>
      </c>
      <c r="K151" s="141" t="s">
        <v>1549</v>
      </c>
      <c r="L151" s="141"/>
      <c r="M151" s="141" t="s">
        <v>1550</v>
      </c>
    </row>
    <row r="152" spans="1:13">
      <c r="A152" s="27">
        <v>147</v>
      </c>
      <c r="B152" s="140">
        <v>205</v>
      </c>
      <c r="C152" s="170" t="s">
        <v>1551</v>
      </c>
      <c r="D152" s="143" t="s">
        <v>1552</v>
      </c>
      <c r="E152" s="141" t="s">
        <v>991</v>
      </c>
      <c r="F152" s="144" t="s">
        <v>1553</v>
      </c>
      <c r="G152" s="141">
        <v>63</v>
      </c>
      <c r="H152" s="158">
        <f t="shared" ca="1" si="0"/>
        <v>69.241095890410961</v>
      </c>
      <c r="I152" s="144" t="s">
        <v>1156</v>
      </c>
      <c r="J152" s="150">
        <v>20950</v>
      </c>
      <c r="K152" s="162" t="s">
        <v>1157</v>
      </c>
      <c r="L152" s="162" t="s">
        <v>1554</v>
      </c>
      <c r="M152" s="162" t="s">
        <v>1555</v>
      </c>
    </row>
    <row r="153" spans="1:13">
      <c r="A153" s="27">
        <v>148</v>
      </c>
      <c r="B153" s="140">
        <v>206</v>
      </c>
      <c r="C153" s="170" t="s">
        <v>1556</v>
      </c>
      <c r="D153" s="143" t="s">
        <v>1557</v>
      </c>
      <c r="E153" s="141" t="s">
        <v>991</v>
      </c>
      <c r="F153" s="144" t="s">
        <v>1558</v>
      </c>
      <c r="G153" s="141">
        <v>61</v>
      </c>
      <c r="H153" s="158">
        <f t="shared" ca="1" si="0"/>
        <v>66.969863013698628</v>
      </c>
      <c r="I153" s="144" t="s">
        <v>1182</v>
      </c>
      <c r="J153" s="150">
        <v>21779</v>
      </c>
      <c r="K153" s="162" t="s">
        <v>1157</v>
      </c>
      <c r="L153" s="162" t="s">
        <v>1559</v>
      </c>
      <c r="M153" s="162" t="s">
        <v>1560</v>
      </c>
    </row>
    <row r="154" spans="1:13">
      <c r="A154" s="27">
        <v>149</v>
      </c>
      <c r="B154" s="140">
        <v>207</v>
      </c>
      <c r="C154" s="170" t="s">
        <v>1233</v>
      </c>
      <c r="D154" s="143" t="s">
        <v>1233</v>
      </c>
      <c r="E154" s="141" t="s">
        <v>991</v>
      </c>
      <c r="F154" s="144" t="s">
        <v>1561</v>
      </c>
      <c r="G154" s="141">
        <v>65</v>
      </c>
      <c r="H154" s="158">
        <f t="shared" ca="1" si="0"/>
        <v>70.605479452054794</v>
      </c>
      <c r="I154" s="141" t="s">
        <v>1182</v>
      </c>
      <c r="J154" s="150">
        <v>20452</v>
      </c>
      <c r="K154" s="162" t="s">
        <v>1201</v>
      </c>
      <c r="L154" s="162"/>
      <c r="M154" s="162" t="s">
        <v>1562</v>
      </c>
    </row>
    <row r="155" spans="1:13">
      <c r="A155" s="27">
        <v>150</v>
      </c>
      <c r="B155" s="140">
        <v>208</v>
      </c>
      <c r="C155" s="170" t="s">
        <v>1563</v>
      </c>
      <c r="D155" s="143" t="s">
        <v>1564</v>
      </c>
      <c r="E155" s="141" t="s">
        <v>991</v>
      </c>
      <c r="F155" s="144" t="s">
        <v>1565</v>
      </c>
      <c r="G155" s="141">
        <v>39</v>
      </c>
      <c r="H155" s="158">
        <f t="shared" ca="1" si="0"/>
        <v>44.926027397260277</v>
      </c>
      <c r="I155" s="162" t="s">
        <v>1182</v>
      </c>
      <c r="J155" s="164">
        <v>29825</v>
      </c>
      <c r="K155" s="162" t="s">
        <v>1157</v>
      </c>
      <c r="L155" s="162" t="s">
        <v>1566</v>
      </c>
      <c r="M155" s="162" t="s">
        <v>1567</v>
      </c>
    </row>
    <row r="156" spans="1:13">
      <c r="A156" s="27">
        <v>151</v>
      </c>
      <c r="B156" s="140">
        <v>209</v>
      </c>
      <c r="C156" s="170" t="s">
        <v>1568</v>
      </c>
      <c r="D156" s="143" t="s">
        <v>1569</v>
      </c>
      <c r="E156" s="141" t="s">
        <v>991</v>
      </c>
      <c r="F156" s="144" t="s">
        <v>1570</v>
      </c>
      <c r="G156" s="141">
        <v>30</v>
      </c>
      <c r="H156" s="158">
        <f t="shared" ca="1" si="0"/>
        <v>34.586301369863016</v>
      </c>
      <c r="I156" s="141" t="s">
        <v>1156</v>
      </c>
      <c r="J156" s="150">
        <v>33599</v>
      </c>
      <c r="K156" s="162" t="s">
        <v>1201</v>
      </c>
      <c r="L156" s="162"/>
      <c r="M156" s="162" t="s">
        <v>1571</v>
      </c>
    </row>
    <row r="157" spans="1:13">
      <c r="A157" s="27">
        <v>152</v>
      </c>
      <c r="B157" s="140">
        <v>210</v>
      </c>
      <c r="C157" s="170" t="s">
        <v>1572</v>
      </c>
      <c r="D157" s="143" t="s">
        <v>1573</v>
      </c>
      <c r="E157" s="141" t="s">
        <v>991</v>
      </c>
      <c r="F157" s="144" t="s">
        <v>1574</v>
      </c>
      <c r="G157" s="141">
        <v>37</v>
      </c>
      <c r="H157" s="158">
        <f t="shared" ca="1" si="0"/>
        <v>43.819178082191783</v>
      </c>
      <c r="I157" s="162" t="s">
        <v>1156</v>
      </c>
      <c r="J157" s="164">
        <v>30229</v>
      </c>
      <c r="K157" s="162" t="s">
        <v>1201</v>
      </c>
      <c r="L157" s="25"/>
      <c r="M157" s="162" t="s">
        <v>1575</v>
      </c>
    </row>
    <row r="158" spans="1:13">
      <c r="A158" s="27">
        <v>153</v>
      </c>
      <c r="B158" s="140">
        <v>211</v>
      </c>
      <c r="C158" s="170" t="s">
        <v>1576</v>
      </c>
      <c r="D158" s="143" t="s">
        <v>1577</v>
      </c>
      <c r="E158" s="141" t="s">
        <v>991</v>
      </c>
      <c r="F158" s="144" t="s">
        <v>1578</v>
      </c>
      <c r="G158" s="141">
        <v>60</v>
      </c>
      <c r="H158" s="158">
        <f t="shared" ca="1" si="0"/>
        <v>54.753424657534246</v>
      </c>
      <c r="I158" s="162" t="s">
        <v>1156</v>
      </c>
      <c r="J158" s="164">
        <v>26238</v>
      </c>
      <c r="K158" s="162" t="s">
        <v>1157</v>
      </c>
      <c r="L158" s="162" t="s">
        <v>1579</v>
      </c>
      <c r="M158" s="162" t="s">
        <v>1580</v>
      </c>
    </row>
    <row r="159" spans="1:13">
      <c r="A159" s="27">
        <v>154</v>
      </c>
      <c r="B159" s="140">
        <v>212</v>
      </c>
      <c r="C159" s="170" t="s">
        <v>340</v>
      </c>
      <c r="D159" s="143" t="s">
        <v>1581</v>
      </c>
      <c r="E159" s="141" t="s">
        <v>991</v>
      </c>
      <c r="F159" s="144" t="s">
        <v>1582</v>
      </c>
      <c r="G159" s="141">
        <v>23</v>
      </c>
      <c r="H159" s="158">
        <f t="shared" ca="1" si="0"/>
        <v>29.063013698630137</v>
      </c>
      <c r="I159" s="162" t="s">
        <v>1156</v>
      </c>
      <c r="J159" s="164">
        <v>35615</v>
      </c>
      <c r="K159" s="162" t="s">
        <v>1201</v>
      </c>
      <c r="L159" s="162"/>
      <c r="M159" s="162" t="s">
        <v>1583</v>
      </c>
    </row>
    <row r="160" spans="1:13">
      <c r="A160" s="27">
        <v>155</v>
      </c>
      <c r="B160" s="140">
        <v>213</v>
      </c>
      <c r="C160" s="170" t="s">
        <v>1584</v>
      </c>
      <c r="D160" s="143" t="s">
        <v>1585</v>
      </c>
      <c r="E160" s="141" t="s">
        <v>991</v>
      </c>
      <c r="F160" s="144" t="s">
        <v>1586</v>
      </c>
      <c r="G160" s="141">
        <v>20</v>
      </c>
      <c r="H160" s="158">
        <f t="shared" ca="1" si="0"/>
        <v>25.572602739726026</v>
      </c>
      <c r="I160" s="162" t="s">
        <v>1156</v>
      </c>
      <c r="J160" s="164">
        <v>36889</v>
      </c>
      <c r="K160" s="162" t="s">
        <v>1201</v>
      </c>
      <c r="L160" s="25"/>
      <c r="M160" s="162" t="s">
        <v>1587</v>
      </c>
    </row>
    <row r="161" spans="1:13">
      <c r="A161" s="27">
        <v>156</v>
      </c>
      <c r="B161" s="140">
        <v>214</v>
      </c>
      <c r="C161" s="170" t="s">
        <v>1679</v>
      </c>
      <c r="D161" s="143" t="s">
        <v>1589</v>
      </c>
      <c r="E161" s="141" t="s">
        <v>991</v>
      </c>
      <c r="F161" s="144" t="s">
        <v>1590</v>
      </c>
      <c r="G161" s="141">
        <v>52</v>
      </c>
      <c r="H161" s="158">
        <f t="shared" ca="1" si="0"/>
        <v>57.778082191780825</v>
      </c>
      <c r="I161" s="141" t="s">
        <v>1156</v>
      </c>
      <c r="J161" s="150">
        <v>25134</v>
      </c>
      <c r="K161" s="162" t="s">
        <v>1549</v>
      </c>
      <c r="L161" s="162"/>
      <c r="M161" s="162" t="s">
        <v>1591</v>
      </c>
    </row>
    <row r="162" spans="1:13">
      <c r="A162" s="27">
        <v>157</v>
      </c>
      <c r="B162" s="140">
        <v>215</v>
      </c>
      <c r="C162" s="170" t="s">
        <v>1592</v>
      </c>
      <c r="D162" s="143" t="s">
        <v>1593</v>
      </c>
      <c r="E162" s="141" t="s">
        <v>991</v>
      </c>
      <c r="F162" s="144" t="s">
        <v>1594</v>
      </c>
      <c r="G162" s="141">
        <v>46</v>
      </c>
      <c r="H162" s="158">
        <f t="shared" ca="1" si="0"/>
        <v>52.520547945205479</v>
      </c>
      <c r="I162" s="141" t="s">
        <v>1156</v>
      </c>
      <c r="J162" s="150">
        <v>27053</v>
      </c>
      <c r="K162" s="141" t="s">
        <v>1157</v>
      </c>
      <c r="L162" s="141" t="s">
        <v>1595</v>
      </c>
      <c r="M162" s="141" t="s">
        <v>1596</v>
      </c>
    </row>
    <row r="163" spans="1:13">
      <c r="A163" s="27">
        <v>158</v>
      </c>
      <c r="B163" s="140">
        <v>216</v>
      </c>
      <c r="C163" s="170" t="s">
        <v>1597</v>
      </c>
      <c r="D163" s="143" t="s">
        <v>1598</v>
      </c>
      <c r="E163" s="141" t="s">
        <v>991</v>
      </c>
      <c r="F163" s="144" t="s">
        <v>1599</v>
      </c>
      <c r="G163" s="141">
        <v>50</v>
      </c>
      <c r="H163" s="158">
        <f t="shared" ca="1" si="0"/>
        <v>56.460273972602742</v>
      </c>
      <c r="I163" s="141" t="s">
        <v>1156</v>
      </c>
      <c r="J163" s="150">
        <v>25615</v>
      </c>
      <c r="K163" s="141"/>
      <c r="L163" s="141"/>
      <c r="M163" s="141" t="s">
        <v>1600</v>
      </c>
    </row>
    <row r="164" spans="1:13">
      <c r="A164" s="27">
        <v>159</v>
      </c>
      <c r="B164" s="140">
        <v>217</v>
      </c>
      <c r="C164" s="170" t="s">
        <v>1242</v>
      </c>
      <c r="D164" s="143" t="s">
        <v>1231</v>
      </c>
      <c r="E164" s="141" t="s">
        <v>991</v>
      </c>
      <c r="F164" s="144" t="s">
        <v>1601</v>
      </c>
      <c r="G164" s="141">
        <v>43</v>
      </c>
      <c r="H164" s="158">
        <f t="shared" ca="1" si="0"/>
        <v>48.986301369863014</v>
      </c>
      <c r="I164" s="141" t="s">
        <v>1182</v>
      </c>
      <c r="J164" s="150">
        <v>28343</v>
      </c>
      <c r="K164" s="141" t="s">
        <v>1157</v>
      </c>
      <c r="L164" s="141" t="s">
        <v>1213</v>
      </c>
      <c r="M164" s="141" t="s">
        <v>1602</v>
      </c>
    </row>
    <row r="165" spans="1:13">
      <c r="A165">
        <v>160</v>
      </c>
      <c r="B165" s="140">
        <v>218</v>
      </c>
      <c r="C165" s="170" t="s">
        <v>227</v>
      </c>
      <c r="D165" s="143" t="s">
        <v>1603</v>
      </c>
      <c r="E165" s="141" t="s">
        <v>991</v>
      </c>
      <c r="F165" s="144" t="s">
        <v>1604</v>
      </c>
      <c r="G165" s="141">
        <v>34</v>
      </c>
      <c r="H165" s="158">
        <f t="shared" ca="1" si="0"/>
        <v>39.630136986301373</v>
      </c>
      <c r="I165" s="141" t="s">
        <v>1156</v>
      </c>
      <c r="J165" s="150">
        <v>31758</v>
      </c>
      <c r="K165" s="141" t="s">
        <v>1201</v>
      </c>
      <c r="L165" s="141"/>
      <c r="M165" s="141" t="s">
        <v>1605</v>
      </c>
    </row>
    <row r="166" spans="1:13">
      <c r="A166" s="27"/>
      <c r="B166" s="140">
        <v>219</v>
      </c>
      <c r="C166" s="170" t="s">
        <v>1680</v>
      </c>
      <c r="D166" s="143" t="s">
        <v>1606</v>
      </c>
      <c r="E166" s="165" t="s">
        <v>991</v>
      </c>
      <c r="F166" s="144" t="s">
        <v>1607</v>
      </c>
      <c r="G166" s="141">
        <v>44</v>
      </c>
      <c r="H166" s="158">
        <f t="shared" ca="1" si="0"/>
        <v>49.057534246575344</v>
      </c>
      <c r="I166" s="144" t="s">
        <v>1156</v>
      </c>
      <c r="J166" s="150">
        <v>28317</v>
      </c>
      <c r="K166" s="166"/>
      <c r="L166" s="141"/>
      <c r="M166" s="141" t="s">
        <v>1608</v>
      </c>
    </row>
    <row r="167" spans="1:13">
      <c r="A167" s="27"/>
      <c r="B167" s="140">
        <v>220</v>
      </c>
      <c r="C167" s="170" t="s">
        <v>220</v>
      </c>
      <c r="D167" s="143" t="s">
        <v>1609</v>
      </c>
      <c r="E167" s="165" t="s">
        <v>991</v>
      </c>
      <c r="F167" s="144" t="s">
        <v>1610</v>
      </c>
      <c r="G167" s="141">
        <v>54</v>
      </c>
      <c r="H167" s="158">
        <f t="shared" ca="1" si="0"/>
        <v>59.252054794520546</v>
      </c>
      <c r="I167" s="144" t="s">
        <v>1156</v>
      </c>
      <c r="J167" s="150">
        <v>24596</v>
      </c>
      <c r="K167" s="166" t="s">
        <v>1611</v>
      </c>
      <c r="L167" s="141"/>
      <c r="M167" s="141" t="s">
        <v>1612</v>
      </c>
    </row>
    <row r="168" spans="1:13">
      <c r="A168" s="27"/>
      <c r="B168" s="167">
        <v>221</v>
      </c>
      <c r="C168" s="170" t="s">
        <v>223</v>
      </c>
      <c r="D168" s="143" t="s">
        <v>1613</v>
      </c>
      <c r="E168" s="165"/>
      <c r="F168" s="144" t="s">
        <v>1614</v>
      </c>
      <c r="G168" s="141"/>
      <c r="H168" s="158"/>
      <c r="I168" s="144" t="s">
        <v>1156</v>
      </c>
      <c r="J168" s="150"/>
      <c r="K168" s="166"/>
      <c r="L168" s="141"/>
      <c r="M168" s="141" t="s">
        <v>1615</v>
      </c>
    </row>
    <row r="169" spans="1:13">
      <c r="A169" s="27"/>
      <c r="B169" s="143">
        <v>222</v>
      </c>
      <c r="C169" s="170" t="s">
        <v>226</v>
      </c>
      <c r="D169" s="143" t="s">
        <v>1616</v>
      </c>
      <c r="E169" s="165" t="s">
        <v>991</v>
      </c>
      <c r="F169" s="144" t="s">
        <v>1617</v>
      </c>
      <c r="G169" s="141">
        <v>34</v>
      </c>
      <c r="H169" s="158">
        <f t="shared" ca="1" si="0"/>
        <v>40.172602739726024</v>
      </c>
      <c r="I169" s="144" t="s">
        <v>1156</v>
      </c>
      <c r="J169" s="150">
        <v>31560</v>
      </c>
      <c r="K169" s="166" t="s">
        <v>1157</v>
      </c>
      <c r="L169" s="144" t="s">
        <v>1618</v>
      </c>
      <c r="M169" s="144" t="s">
        <v>1619</v>
      </c>
    </row>
    <row r="170" spans="1:13">
      <c r="A170" s="27"/>
      <c r="B170" s="143">
        <v>223</v>
      </c>
      <c r="C170" s="170" t="s">
        <v>161</v>
      </c>
      <c r="D170" s="143"/>
      <c r="E170" s="165"/>
      <c r="F170" s="144"/>
      <c r="G170" s="141"/>
      <c r="H170" s="158"/>
      <c r="I170" s="144"/>
      <c r="J170" s="150"/>
      <c r="K170" s="166"/>
      <c r="L170" s="144"/>
      <c r="M170" s="144" t="s">
        <v>1620</v>
      </c>
    </row>
    <row r="171" spans="1:13">
      <c r="A171" s="27"/>
      <c r="B171" s="143">
        <v>224</v>
      </c>
      <c r="C171" s="170" t="s">
        <v>1621</v>
      </c>
      <c r="D171" s="143" t="s">
        <v>1622</v>
      </c>
      <c r="E171" s="165"/>
      <c r="F171" s="144" t="s">
        <v>1623</v>
      </c>
      <c r="G171" s="141"/>
      <c r="H171" s="158"/>
      <c r="I171" s="144"/>
      <c r="J171" s="150"/>
      <c r="K171" s="166"/>
      <c r="L171" s="144"/>
      <c r="M171" s="144" t="s">
        <v>1624</v>
      </c>
    </row>
    <row r="172" spans="1:13">
      <c r="A172" s="27"/>
      <c r="B172" s="140">
        <v>20</v>
      </c>
      <c r="C172" s="169" t="s">
        <v>1625</v>
      </c>
      <c r="D172" s="140"/>
      <c r="E172" s="141"/>
      <c r="F172" s="141"/>
      <c r="G172" s="141"/>
      <c r="H172" s="158"/>
      <c r="I172" s="141"/>
      <c r="J172" s="150"/>
      <c r="K172" s="141"/>
      <c r="L172" s="141"/>
      <c r="M172" s="141"/>
    </row>
    <row r="173" spans="1:13">
      <c r="A173" s="27"/>
      <c r="B173" s="140">
        <v>30</v>
      </c>
      <c r="C173" s="169" t="s">
        <v>1626</v>
      </c>
      <c r="D173" s="140"/>
      <c r="E173" s="141"/>
      <c r="F173" s="141"/>
      <c r="G173" s="141"/>
      <c r="H173" s="141"/>
      <c r="I173" s="141"/>
      <c r="J173" s="150"/>
      <c r="K173" s="141"/>
      <c r="L173" s="141"/>
      <c r="M173" s="141"/>
    </row>
    <row r="174" spans="1:13">
      <c r="A174" s="27"/>
      <c r="B174" s="167">
        <v>31</v>
      </c>
      <c r="C174" s="169" t="s">
        <v>1627</v>
      </c>
      <c r="D174" s="140"/>
      <c r="E174" s="141"/>
      <c r="F174" s="141"/>
      <c r="G174" s="141"/>
      <c r="H174" s="141"/>
      <c r="I174" s="141"/>
      <c r="J174" s="150"/>
      <c r="K174" s="141"/>
      <c r="L174" s="141"/>
      <c r="M174" s="141"/>
    </row>
    <row r="175" spans="1:13">
      <c r="A175" s="27"/>
      <c r="B175" s="140">
        <v>34</v>
      </c>
      <c r="C175" s="169" t="s">
        <v>1628</v>
      </c>
      <c r="D175" s="140"/>
      <c r="E175" s="141"/>
      <c r="F175" s="141"/>
      <c r="G175" s="141"/>
      <c r="H175" s="141"/>
      <c r="I175" s="141"/>
      <c r="J175" s="150"/>
      <c r="K175" s="141"/>
      <c r="L175" s="141"/>
      <c r="M175" s="141"/>
    </row>
    <row r="176" spans="1:13">
      <c r="A176" s="27"/>
      <c r="B176" s="140">
        <v>153</v>
      </c>
      <c r="C176" s="169" t="s">
        <v>1629</v>
      </c>
      <c r="D176" s="140"/>
      <c r="E176" s="141"/>
      <c r="F176" s="141"/>
      <c r="G176" s="141"/>
      <c r="H176" s="141"/>
      <c r="I176" s="141"/>
      <c r="J176" s="150"/>
      <c r="K176" s="141"/>
      <c r="L176" s="141"/>
      <c r="M176" s="141"/>
    </row>
    <row r="177" spans="1:15">
      <c r="A177" s="27"/>
      <c r="B177" s="143">
        <v>156</v>
      </c>
      <c r="C177" s="169" t="s">
        <v>1630</v>
      </c>
      <c r="D177" s="140"/>
      <c r="E177" s="144"/>
      <c r="F177" s="141"/>
      <c r="G177" s="141"/>
      <c r="H177" s="141"/>
      <c r="I177" s="141"/>
      <c r="J177" s="150"/>
      <c r="K177" s="141"/>
      <c r="L177" s="141"/>
      <c r="M177" s="141"/>
    </row>
    <row r="178" spans="1:15">
      <c r="A178" s="27"/>
      <c r="B178" s="140">
        <v>160</v>
      </c>
      <c r="C178" s="169" t="s">
        <v>1631</v>
      </c>
      <c r="D178" s="140" t="s">
        <v>1632</v>
      </c>
      <c r="E178" s="141" t="s">
        <v>1633</v>
      </c>
      <c r="F178" s="141" t="s">
        <v>1634</v>
      </c>
      <c r="G178" s="141">
        <v>50</v>
      </c>
      <c r="H178" s="158">
        <f ca="1">(TODAY()-J178)/365</f>
        <v>58.939726027397263</v>
      </c>
      <c r="I178" s="141" t="s">
        <v>1182</v>
      </c>
      <c r="J178" s="150">
        <v>24710</v>
      </c>
      <c r="K178" s="141" t="s">
        <v>1157</v>
      </c>
      <c r="L178" s="141" t="s">
        <v>1635</v>
      </c>
      <c r="M178" s="141" t="s">
        <v>1636</v>
      </c>
    </row>
    <row r="179" spans="1:15">
      <c r="A179" s="27"/>
      <c r="B179" s="140">
        <v>160</v>
      </c>
      <c r="C179" s="169" t="s">
        <v>1637</v>
      </c>
      <c r="D179" s="140"/>
      <c r="E179" s="141" t="s">
        <v>1633</v>
      </c>
      <c r="F179" s="141"/>
      <c r="G179" s="141"/>
      <c r="H179" s="141"/>
      <c r="I179" s="141"/>
      <c r="J179" s="150"/>
      <c r="K179" s="141"/>
      <c r="L179" s="141"/>
      <c r="M179" s="141" t="s">
        <v>1638</v>
      </c>
    </row>
    <row r="180" spans="1:15">
      <c r="A180" s="27"/>
      <c r="B180" s="140">
        <v>171</v>
      </c>
      <c r="C180" s="170" t="s">
        <v>1639</v>
      </c>
      <c r="D180" s="143" t="s">
        <v>1640</v>
      </c>
      <c r="E180" s="141" t="s">
        <v>1633</v>
      </c>
      <c r="F180" s="144" t="s">
        <v>1641</v>
      </c>
      <c r="G180" s="141">
        <v>40</v>
      </c>
      <c r="H180" s="158">
        <f ca="1">(TODAY()-J180)/365</f>
        <v>47.816438356164383</v>
      </c>
      <c r="I180" s="144" t="s">
        <v>1182</v>
      </c>
      <c r="J180" s="150">
        <v>28770</v>
      </c>
      <c r="K180" s="144" t="s">
        <v>1201</v>
      </c>
      <c r="L180" s="141"/>
      <c r="M180" s="141" t="s">
        <v>1642</v>
      </c>
    </row>
    <row r="181" spans="1:15">
      <c r="A181" s="228">
        <v>171</v>
      </c>
      <c r="B181" s="229">
        <v>229</v>
      </c>
      <c r="C181" s="230" t="s">
        <v>239</v>
      </c>
      <c r="D181" s="229"/>
      <c r="E181" s="141"/>
      <c r="F181" s="141"/>
      <c r="G181" s="141"/>
      <c r="H181" s="141"/>
      <c r="I181" s="144"/>
      <c r="J181" s="150"/>
      <c r="K181" s="144"/>
      <c r="L181" s="141"/>
      <c r="M181" s="229" t="s">
        <v>1681</v>
      </c>
    </row>
    <row r="182" spans="1:15">
      <c r="A182" s="27"/>
      <c r="B182" s="140">
        <v>230</v>
      </c>
      <c r="C182" s="169" t="s">
        <v>1110</v>
      </c>
      <c r="D182" s="140" t="s">
        <v>1682</v>
      </c>
      <c r="E182" s="141"/>
      <c r="F182" s="141" t="s">
        <v>1683</v>
      </c>
      <c r="G182" s="141"/>
      <c r="H182" s="141"/>
      <c r="I182" s="144"/>
      <c r="J182" s="150"/>
      <c r="K182" s="144"/>
      <c r="L182" s="141"/>
      <c r="M182" s="141" t="s">
        <v>1684</v>
      </c>
      <c r="N182" t="s">
        <v>1685</v>
      </c>
    </row>
    <row r="183" spans="1:15">
      <c r="A183" s="27"/>
      <c r="B183" s="140">
        <v>231</v>
      </c>
      <c r="C183" s="169" t="s">
        <v>1114</v>
      </c>
      <c r="D183" s="140" t="s">
        <v>1686</v>
      </c>
      <c r="E183" s="141"/>
      <c r="F183" s="141" t="s">
        <v>1697</v>
      </c>
      <c r="G183" s="141"/>
      <c r="H183" s="141"/>
      <c r="I183" s="144"/>
      <c r="J183" s="150"/>
      <c r="K183" s="144"/>
      <c r="L183" s="141"/>
      <c r="M183" s="141" t="s">
        <v>1698</v>
      </c>
    </row>
    <row r="184" spans="1:15">
      <c r="A184" s="27"/>
      <c r="B184" s="140">
        <v>232</v>
      </c>
      <c r="C184" s="169" t="s">
        <v>1118</v>
      </c>
      <c r="D184" s="140" t="s">
        <v>1699</v>
      </c>
      <c r="E184" s="141"/>
      <c r="F184" s="141" t="s">
        <v>1700</v>
      </c>
      <c r="G184" s="141"/>
      <c r="H184" s="141"/>
      <c r="I184" s="144"/>
      <c r="J184" s="150"/>
      <c r="K184" s="144"/>
      <c r="L184" s="141"/>
      <c r="M184" s="141" t="s">
        <v>1701</v>
      </c>
    </row>
    <row r="185" spans="1:15">
      <c r="A185" s="27"/>
      <c r="B185" s="140">
        <v>233</v>
      </c>
      <c r="C185" s="169" t="s">
        <v>1122</v>
      </c>
      <c r="D185" s="140" t="s">
        <v>1702</v>
      </c>
      <c r="E185" s="141"/>
      <c r="F185" s="141" t="s">
        <v>1703</v>
      </c>
      <c r="G185" s="141"/>
      <c r="H185" s="141"/>
      <c r="I185" s="144"/>
      <c r="J185" s="150"/>
      <c r="K185" s="144"/>
      <c r="L185" s="141"/>
      <c r="M185" s="141" t="s">
        <v>1192</v>
      </c>
    </row>
    <row r="186" spans="1:15">
      <c r="A186" s="27"/>
      <c r="B186" s="140">
        <v>234</v>
      </c>
      <c r="C186" s="169" t="s">
        <v>1126</v>
      </c>
      <c r="D186" s="140" t="s">
        <v>1706</v>
      </c>
      <c r="E186" s="141"/>
      <c r="F186" s="141" t="s">
        <v>1707</v>
      </c>
      <c r="G186" s="141"/>
      <c r="H186" s="141"/>
      <c r="I186" s="144"/>
      <c r="J186" s="150"/>
      <c r="K186" s="144"/>
      <c r="L186" s="141"/>
      <c r="M186" s="141" t="s">
        <v>1708</v>
      </c>
    </row>
    <row r="187" spans="1:15">
      <c r="A187" s="27"/>
      <c r="B187" s="140">
        <v>235</v>
      </c>
      <c r="C187" s="169" t="s">
        <v>1129</v>
      </c>
      <c r="D187" s="140" t="s">
        <v>1709</v>
      </c>
      <c r="E187" s="141"/>
      <c r="F187" s="141" t="s">
        <v>1710</v>
      </c>
      <c r="G187" s="141"/>
      <c r="H187" s="141"/>
      <c r="I187" s="144"/>
      <c r="J187" s="150"/>
      <c r="K187" s="144"/>
      <c r="L187" s="141"/>
      <c r="M187" s="141" t="s">
        <v>1711</v>
      </c>
    </row>
    <row r="188" spans="1:15">
      <c r="A188" s="27"/>
      <c r="B188" s="140">
        <v>236</v>
      </c>
      <c r="C188" s="169" t="s">
        <v>1133</v>
      </c>
      <c r="D188" s="140" t="s">
        <v>917</v>
      </c>
      <c r="E188" s="141"/>
      <c r="F188" s="141" t="s">
        <v>1712</v>
      </c>
      <c r="G188" s="141"/>
      <c r="H188" s="141"/>
      <c r="I188" s="144"/>
      <c r="J188" s="150"/>
      <c r="K188" s="144"/>
      <c r="L188" s="141"/>
      <c r="M188" s="141" t="s">
        <v>1713</v>
      </c>
      <c r="O188" t="s">
        <v>3</v>
      </c>
    </row>
    <row r="189" spans="1:15">
      <c r="A189" s="27"/>
      <c r="B189" s="140">
        <v>237</v>
      </c>
      <c r="C189" s="169" t="s">
        <v>1137</v>
      </c>
      <c r="D189" s="140" t="s">
        <v>1714</v>
      </c>
      <c r="E189" s="141"/>
      <c r="F189" s="141" t="s">
        <v>1715</v>
      </c>
      <c r="G189" s="141"/>
      <c r="H189" s="141"/>
      <c r="I189" s="144"/>
      <c r="J189" s="150"/>
      <c r="K189" s="144"/>
      <c r="L189" s="141"/>
      <c r="M189" s="141" t="s">
        <v>1716</v>
      </c>
    </row>
    <row r="190" spans="1:15">
      <c r="A190" s="27"/>
      <c r="B190" s="140">
        <v>238</v>
      </c>
      <c r="C190" s="169" t="s">
        <v>1141</v>
      </c>
      <c r="D190" s="140" t="s">
        <v>1695</v>
      </c>
      <c r="E190" s="141"/>
      <c r="F190" s="141" t="s">
        <v>1696</v>
      </c>
      <c r="G190" s="141"/>
      <c r="H190" s="141"/>
      <c r="I190" s="144"/>
      <c r="J190" s="150"/>
      <c r="K190" s="144"/>
      <c r="L190" s="141"/>
      <c r="M190" s="141" t="s">
        <v>1648</v>
      </c>
    </row>
    <row r="191" spans="1:15">
      <c r="B191" s="140">
        <v>239</v>
      </c>
      <c r="C191" s="169" t="s">
        <v>1669</v>
      </c>
      <c r="D191" s="140" t="s">
        <v>1717</v>
      </c>
      <c r="E191" s="141"/>
      <c r="F191" s="141" t="s">
        <v>1718</v>
      </c>
      <c r="G191" s="141"/>
      <c r="H191" s="141"/>
      <c r="I191" s="144"/>
      <c r="J191" s="150"/>
      <c r="K191" s="144"/>
      <c r="L191" s="141"/>
      <c r="M191" s="141" t="s">
        <v>1719</v>
      </c>
    </row>
    <row r="192" spans="1:15">
      <c r="B192" s="143">
        <v>240</v>
      </c>
      <c r="C192" s="170" t="s">
        <v>1670</v>
      </c>
      <c r="D192" s="143" t="s">
        <v>1720</v>
      </c>
      <c r="E192" s="143"/>
      <c r="F192" s="144" t="s">
        <v>1721</v>
      </c>
      <c r="G192" s="143"/>
      <c r="H192" s="143"/>
      <c r="I192" s="143"/>
      <c r="J192" s="143"/>
      <c r="K192" s="143"/>
      <c r="L192" s="143"/>
      <c r="M192" s="144" t="s">
        <v>1690</v>
      </c>
    </row>
    <row r="193" spans="2:13">
      <c r="B193" s="143">
        <v>241</v>
      </c>
      <c r="C193" s="170" t="s">
        <v>1688</v>
      </c>
      <c r="D193" s="143"/>
      <c r="E193" s="143"/>
      <c r="F193" s="144"/>
      <c r="G193" s="143"/>
      <c r="H193" s="143"/>
      <c r="I193" s="143"/>
      <c r="J193" s="143"/>
      <c r="K193" s="143"/>
      <c r="L193" s="143"/>
      <c r="M193" s="144" t="s">
        <v>1184</v>
      </c>
    </row>
    <row r="194" spans="2:13">
      <c r="B194" s="143">
        <v>242</v>
      </c>
      <c r="C194" s="170" t="s">
        <v>1689</v>
      </c>
      <c r="D194" s="143"/>
      <c r="E194" s="143"/>
      <c r="F194" s="144"/>
      <c r="G194" s="143"/>
      <c r="H194" s="143"/>
      <c r="I194" s="143"/>
      <c r="J194" s="143"/>
      <c r="K194" s="143"/>
      <c r="L194" s="143"/>
      <c r="M194" s="144" t="s">
        <v>1690</v>
      </c>
    </row>
  </sheetData>
  <autoFilter ref="A3:AE194" xr:uid="{6AC27FEF-A399-476A-92A4-73350F96E8E5}"/>
  <phoneticPr fontId="35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���e<n<n
</file>

<file path=customXml/item10.xml>��
</file>

<file path=customXml/item11.xml>��
</file>

<file path=customXml/item12.xml>���e<n<n�e<n<n
</file>

<file path=customXml/item13.xml>��
</file>

<file path=customXml/item14.xml>���e<n<n�e<n<n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9D9B86A-1FED-4534-BB2D-85E00B95895A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23E64DEC-ADE6-4B58-90DF-8CD944EA3684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E4FB1E47-9BC9-49BD-9B0A-CD669D525402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3073C40D-256D-4F9F-9290-65528373CE13}">
  <ds:schemaRefs>
    <ds:schemaRef ds:uri="http://gemini/pivotcustomization/LinkedTableUpdateMode"/>
  </ds:schemaRefs>
</ds:datastoreItem>
</file>

<file path=customXml/itemProps5.xml><?xml version="1.0" encoding="utf-8"?>
<ds:datastoreItem xmlns:ds="http://schemas.openxmlformats.org/officeDocument/2006/customXml" ds:itemID="{CE45C0FF-77E5-4089-8ED6-632FFAEF784A}">
  <ds:schemaRefs>
    <ds:schemaRef ds:uri="http://gemini/pivotcustomization/ErrorCache"/>
  </ds:schemaRefs>
</ds:datastoreItem>
</file>

<file path=customXml/itemProps6.xml><?xml version="1.0" encoding="utf-8"?>
<ds:datastoreItem xmlns:ds="http://schemas.openxmlformats.org/officeDocument/2006/customXml" ds:itemID="{745F1537-8732-4C74-8B13-538778FE3B1B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178AECBB-78BB-454C-BE8D-875B089784D6}">
  <ds:schemaRefs>
    <ds:schemaRef ds:uri="http://gemini/pivotcustomization/IsSandboxEmbedded"/>
  </ds:schemaRefs>
</ds:datastoreItem>
</file>

<file path=customXml/itemProps8.xml><?xml version="1.0" encoding="utf-8"?>
<ds:datastoreItem xmlns:ds="http://schemas.openxmlformats.org/officeDocument/2006/customXml" ds:itemID="{A05419CB-C605-4582-9BC7-77C3118E1068}">
  <ds:schemaRefs>
    <ds:schemaRef ds:uri="http://gemini/pivotcustomization/SandboxNonEmpty"/>
  </ds:schemaRefs>
</ds:datastoreItem>
</file>

<file path=customXml/itemProps9.xml><?xml version="1.0" encoding="utf-8"?>
<ds:datastoreItem xmlns:ds="http://schemas.openxmlformats.org/officeDocument/2006/customXml" ds:itemID="{6906C7D2-F2E2-4E02-9F85-0DA20135E988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AD66B6E1-A9AC-468C-8E43-34D3DA5E6222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B62C1EDE-F1B4-4715-B9D5-514785878740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6128CAC2-D181-425E-9A7C-CDD1681774E8}">
  <ds:schemaRefs>
    <ds:schemaRef ds:uri="http://gemini/pivotcustomization/Diagrams"/>
  </ds:schemaRefs>
</ds:datastoreItem>
</file>

<file path=customXml/itemProps13.xml><?xml version="1.0" encoding="utf-8"?>
<ds:datastoreItem xmlns:ds="http://schemas.openxmlformats.org/officeDocument/2006/customXml" ds:itemID="{1D8F2A86-49DA-40BD-842B-78491FCA1566}">
  <ds:schemaRefs>
    <ds:schemaRef ds:uri="http://gemini/pivotcustomization/ShowImplicitMeasures"/>
  </ds:schemaRefs>
</ds:datastoreItem>
</file>

<file path=customXml/itemProps14.xml><?xml version="1.0" encoding="utf-8"?>
<ds:datastoreItem xmlns:ds="http://schemas.openxmlformats.org/officeDocument/2006/customXml" ds:itemID="{A464BAB3-E017-4739-A867-02740C221B0C}">
  <ds:schemaRefs>
    <ds:schemaRef ds:uri="http://gemini/pivotcustomization/TableXML_Table1"/>
  </ds:schemaRefs>
</ds:datastoreItem>
</file>

<file path=customXml/itemProps15.xml><?xml version="1.0" encoding="utf-8"?>
<ds:datastoreItem xmlns:ds="http://schemas.openxmlformats.org/officeDocument/2006/customXml" ds:itemID="{82363487-548B-4E85-8E0E-73D4D9228DC7}">
  <ds:schemaRefs>
    <ds:schemaRef ds:uri="http://gemini/pivotcustomization/PowerPivotVersion"/>
  </ds:schemaRefs>
</ds:datastoreItem>
</file>

<file path=customXml/itemProps16.xml><?xml version="1.0" encoding="utf-8"?>
<ds:datastoreItem xmlns:ds="http://schemas.openxmlformats.org/officeDocument/2006/customXml" ds:itemID="{0BE8A3E2-61BA-4C06-9660-CC0D643F829A}">
  <ds:schemaRefs>
    <ds:schemaRef ds:uri="http://gemini/pivotcustomization/FormulaBarState"/>
  </ds:schemaRefs>
</ds:datastoreItem>
</file>

<file path=customXml/itemProps17.xml><?xml version="1.0" encoding="utf-8"?>
<ds:datastoreItem xmlns:ds="http://schemas.openxmlformats.org/officeDocument/2006/customXml" ds:itemID="{B76EACBF-5B93-4C10-A60A-6C657E266678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7</vt:i4>
      </vt:variant>
    </vt:vector>
  </HeadingPairs>
  <TitlesOfParts>
    <vt:vector size="33" baseType="lpstr">
      <vt:lpstr>Jan-25</vt:lpstr>
      <vt:lpstr>Feb-25</vt:lpstr>
      <vt:lpstr>Mar-25</vt:lpstr>
      <vt:lpstr>Apr-25</vt:lpstr>
      <vt:lpstr>May-25</vt:lpstr>
      <vt:lpstr>May-25 (New)</vt:lpstr>
      <vt:lpstr>Jun-25</vt:lpstr>
      <vt:lpstr>Jun-25 (New)</vt:lpstr>
      <vt:lpstr>Jul-25</vt:lpstr>
      <vt:lpstr>Jul-25(New)</vt:lpstr>
      <vt:lpstr>Aug-25 (New)</vt:lpstr>
      <vt:lpstr>Sep-25</vt:lpstr>
      <vt:lpstr>Oct-25</vt:lpstr>
      <vt:lpstr>Nov-25</vt:lpstr>
      <vt:lpstr>Dec-25</vt:lpstr>
      <vt:lpstr>Jan-26</vt:lpstr>
      <vt:lpstr>Feb-26</vt:lpstr>
      <vt:lpstr>Mar-26</vt:lpstr>
      <vt:lpstr>Apr-26</vt:lpstr>
      <vt:lpstr>May-26</vt:lpstr>
      <vt:lpstr>Jun-26</vt:lpstr>
      <vt:lpstr>Jul-26</vt:lpstr>
      <vt:lpstr>Aug-26</vt:lpstr>
      <vt:lpstr>Blank_Master</vt:lpstr>
      <vt:lpstr>MASTER Name List</vt:lpstr>
      <vt:lpstr>Summary</vt:lpstr>
      <vt:lpstr>'Apr-25'!Print_Area</vt:lpstr>
      <vt:lpstr>'Feb-25'!Print_Area</vt:lpstr>
      <vt:lpstr>'Jan-25'!Print_Area</vt:lpstr>
      <vt:lpstr>'Mar-25'!Print_Area</vt:lpstr>
      <vt:lpstr>'Apr-25'!Print_Titles</vt:lpstr>
      <vt:lpstr>'Jan-25'!Print_Titles</vt:lpstr>
      <vt:lpstr>'Mar-25'!Print_Titles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Sulvian Wong</dc:creator>
  <cp:keywords/>
  <dc:description/>
  <cp:lastModifiedBy>williamsiew0827@gmail.com</cp:lastModifiedBy>
  <cp:revision/>
  <dcterms:created xsi:type="dcterms:W3CDTF">2016-05-16T14:35:21Z</dcterms:created>
  <dcterms:modified xsi:type="dcterms:W3CDTF">2026-07-20T07:05:11Z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etDate">
    <vt:lpwstr>2020-12-20T07:57:32Z</vt:lpwstr>
  </property>
  <property fmtid="{D5CDD505-2E9C-101B-9397-08002B2CF9AE}" pid="4" name="MSIP_Label_4929bff8-5b33-42aa-95d2-28f72e792cb0_Method">
    <vt:lpwstr>Standard</vt:lpwstr>
  </property>
  <property fmtid="{D5CDD505-2E9C-101B-9397-08002B2CF9AE}" pid="5" name="MSIP_Label_4929bff8-5b33-42aa-95d2-28f72e792cb0_Name">
    <vt:lpwstr>Internal</vt:lpwstr>
  </property>
  <property fmtid="{D5CDD505-2E9C-101B-9397-08002B2CF9AE}" pid="6" name="MSIP_Label_4929bff8-5b33-42aa-95d2-28f72e792cb0_SiteId">
    <vt:lpwstr>f35a6974-607f-47d4-82d7-ff31d7dc53a5</vt:lpwstr>
  </property>
  <property fmtid="{D5CDD505-2E9C-101B-9397-08002B2CF9AE}" pid="7" name="MSIP_Label_4929bff8-5b33-42aa-95d2-28f72e792cb0_ActionId">
    <vt:lpwstr>77c8dba6-efd3-4327-b39c-4f2ac617d29f</vt:lpwstr>
  </property>
  <property fmtid="{D5CDD505-2E9C-101B-9397-08002B2CF9AE}" pid="8" name="MSIP_Label_4929bff8-5b33-42aa-95d2-28f72e792cb0_ContentBits">
    <vt:lpwstr>0</vt:lpwstr>
  </property>
</Properties>
</file>