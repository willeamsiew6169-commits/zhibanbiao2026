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673f26581c4feb4/XLFM Cheras GYT Account/"/>
    </mc:Choice>
  </mc:AlternateContent>
  <xr:revisionPtr revIDLastSave="427" documentId="13_ncr:1_{8738D921-F56D-4A3D-8E4B-D5224B464C37}" xr6:coauthVersionLast="47" xr6:coauthVersionMax="47" xr10:uidLastSave="{8EC2445A-AFF7-45DA-B438-0753A8F7E93E}"/>
  <bookViews>
    <workbookView xWindow="19090" yWindow="-110" windowWidth="19420" windowHeight="10300" xr2:uid="{555B0DB8-B66B-45C6-855D-0CCCAEFF12AB}"/>
  </bookViews>
  <sheets>
    <sheet name="Sheet1" sheetId="1" r:id="rId1"/>
    <sheet name="Sheet3" sheetId="11" r:id="rId2"/>
    <sheet name="Sheet2" sheetId="10" r:id="rId3"/>
  </sheets>
  <definedNames>
    <definedName name="_xlnm._FilterDatabase" localSheetId="0" hidden="1">Sheet1!$K$1:$Q$203</definedName>
    <definedName name="_xlcn.WorksheetConnection_Book1Table11" hidden="1">Table1[]</definedName>
    <definedName name="_xlnm.Print_Area" localSheetId="0">Table1[#All]</definedName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3" i="1" l="1"/>
  <c r="P203" i="1"/>
  <c r="Q203" i="1"/>
  <c r="K203" i="1"/>
  <c r="K202" i="1"/>
  <c r="O202" i="1"/>
  <c r="P202" i="1"/>
  <c r="Q202" i="1"/>
  <c r="K200" i="1"/>
  <c r="K201" i="1"/>
  <c r="O201" i="1"/>
  <c r="P201" i="1"/>
  <c r="Q201" i="1"/>
  <c r="O200" i="1"/>
  <c r="P200" i="1"/>
  <c r="Q200" i="1"/>
  <c r="M207" i="1"/>
  <c r="M209" i="1"/>
  <c r="K197" i="1"/>
  <c r="K198" i="1"/>
  <c r="K199" i="1"/>
  <c r="O199" i="1"/>
  <c r="P199" i="1"/>
  <c r="Q199" i="1"/>
  <c r="O198" i="1"/>
  <c r="P198" i="1"/>
  <c r="Q198" i="1"/>
  <c r="O197" i="1"/>
  <c r="P197" i="1"/>
  <c r="Q197" i="1"/>
  <c r="K192" i="1"/>
  <c r="K193" i="1"/>
  <c r="K194" i="1"/>
  <c r="K195" i="1"/>
  <c r="K196" i="1"/>
  <c r="O196" i="1"/>
  <c r="P196" i="1"/>
  <c r="Q196" i="1"/>
  <c r="O195" i="1"/>
  <c r="P195" i="1"/>
  <c r="Q195" i="1"/>
  <c r="O194" i="1"/>
  <c r="P194" i="1"/>
  <c r="Q194" i="1"/>
  <c r="O193" i="1"/>
  <c r="P193" i="1"/>
  <c r="Q193" i="1"/>
  <c r="O192" i="1"/>
  <c r="P192" i="1"/>
  <c r="Q192" i="1"/>
  <c r="O191" i="1"/>
  <c r="P191" i="1"/>
  <c r="Q191" i="1"/>
  <c r="K191" i="1"/>
  <c r="K185" i="1"/>
  <c r="K186" i="1"/>
  <c r="K187" i="1"/>
  <c r="K188" i="1"/>
  <c r="K189" i="1"/>
  <c r="K190" i="1"/>
  <c r="K184" i="1" l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M210" i="1"/>
  <c r="M211" i="1" a="1"/>
  <c r="M211" i="1" s="1"/>
  <c r="M214" i="1" l="1"/>
  <c r="M212" i="1" l="1"/>
  <c r="Q190" i="1" l="1"/>
  <c r="P190" i="1"/>
  <c r="O190" i="1"/>
  <c r="Q189" i="1"/>
  <c r="P189" i="1"/>
  <c r="O189" i="1"/>
  <c r="Q188" i="1"/>
  <c r="P188" i="1"/>
  <c r="O188" i="1"/>
  <c r="Q187" i="1"/>
  <c r="P187" i="1"/>
  <c r="O187" i="1"/>
  <c r="Q186" i="1"/>
  <c r="P186" i="1"/>
  <c r="O186" i="1"/>
  <c r="Q185" i="1"/>
  <c r="P185" i="1"/>
  <c r="O185" i="1"/>
  <c r="Q184" i="1"/>
  <c r="P184" i="1"/>
  <c r="O184" i="1"/>
  <c r="Q183" i="1"/>
  <c r="P183" i="1"/>
  <c r="O183" i="1"/>
  <c r="Q182" i="1"/>
  <c r="P182" i="1"/>
  <c r="O182" i="1"/>
  <c r="Q181" i="1"/>
  <c r="P181" i="1"/>
  <c r="O181" i="1"/>
  <c r="Q180" i="1"/>
  <c r="P180" i="1"/>
  <c r="O180" i="1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5" i="1"/>
  <c r="O46" i="1"/>
  <c r="O47" i="1"/>
  <c r="O48" i="1"/>
  <c r="O49" i="1"/>
  <c r="O50" i="1"/>
  <c r="O51" i="1"/>
  <c r="O52" i="1"/>
  <c r="O53" i="1"/>
  <c r="O55" i="1"/>
  <c r="O56" i="1"/>
  <c r="O57" i="1"/>
  <c r="O58" i="1"/>
  <c r="O59" i="1"/>
  <c r="O60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4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9" i="1"/>
  <c r="O170" i="1"/>
  <c r="O171" i="1"/>
  <c r="O172" i="1"/>
  <c r="O173" i="1"/>
  <c r="O174" i="1"/>
  <c r="O175" i="1"/>
  <c r="O176" i="1"/>
  <c r="O177" i="1"/>
  <c r="O178" i="1"/>
  <c r="O179" i="1"/>
  <c r="O2" i="1"/>
  <c r="C2" i="10"/>
  <c r="C20" i="10"/>
  <c r="C19" i="10"/>
  <c r="C18" i="10"/>
  <c r="C17" i="10"/>
  <c r="C16" i="10"/>
  <c r="C14" i="10"/>
  <c r="C13" i="10"/>
  <c r="C12" i="10"/>
  <c r="C11" i="10"/>
  <c r="C10" i="10"/>
  <c r="C9" i="10"/>
  <c r="C8" i="10"/>
  <c r="C7" i="10"/>
  <c r="C6" i="10"/>
  <c r="C5" i="10"/>
  <c r="C4" i="10"/>
  <c r="C3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5" i="10"/>
  <c r="C46" i="10"/>
  <c r="C47" i="10"/>
  <c r="C48" i="10"/>
  <c r="C49" i="10"/>
  <c r="C50" i="10"/>
  <c r="C51" i="10"/>
  <c r="C52" i="10"/>
  <c r="C53" i="10"/>
  <c r="C55" i="10"/>
  <c r="C56" i="10"/>
  <c r="C57" i="10"/>
  <c r="C58" i="10"/>
  <c r="C59" i="10"/>
  <c r="C60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4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9" i="10"/>
  <c r="C170" i="10"/>
  <c r="C171" i="10"/>
  <c r="C172" i="10"/>
  <c r="C173" i="10"/>
  <c r="C174" i="10"/>
  <c r="C175" i="10"/>
  <c r="C176" i="10"/>
  <c r="C177" i="10"/>
  <c r="C178" i="10"/>
  <c r="C179" i="10"/>
  <c r="R63" i="1" l="1"/>
  <c r="S63" i="1" s="1"/>
  <c r="R39" i="1"/>
  <c r="S39" i="1" s="1"/>
  <c r="R31" i="1"/>
  <c r="S31" i="1" s="1"/>
  <c r="R23" i="1"/>
  <c r="S23" i="1" s="1"/>
  <c r="R15" i="1"/>
  <c r="S15" i="1" s="1"/>
  <c r="R175" i="1"/>
  <c r="S175" i="1" s="1"/>
  <c r="R167" i="1"/>
  <c r="S167" i="1" s="1"/>
  <c r="R159" i="1"/>
  <c r="S159" i="1" s="1"/>
  <c r="R151" i="1"/>
  <c r="S151" i="1" s="1"/>
  <c r="R143" i="1"/>
  <c r="S143" i="1" s="1"/>
  <c r="R135" i="1"/>
  <c r="S135" i="1" s="1"/>
  <c r="R127" i="1"/>
  <c r="S127" i="1" s="1"/>
  <c r="R119" i="1"/>
  <c r="S119" i="1" s="1"/>
  <c r="R111" i="1"/>
  <c r="S111" i="1" s="1"/>
  <c r="R103" i="1"/>
  <c r="S103" i="1" s="1"/>
  <c r="R95" i="1"/>
  <c r="S95" i="1" s="1"/>
  <c r="R87" i="1"/>
  <c r="S87" i="1" s="1"/>
  <c r="R79" i="1"/>
  <c r="S79" i="1" s="1"/>
  <c r="R71" i="1"/>
  <c r="S71" i="1" s="1"/>
  <c r="R55" i="1"/>
  <c r="S55" i="1" s="1"/>
  <c r="R47" i="1"/>
  <c r="S47" i="1" s="1"/>
  <c r="R173" i="1"/>
  <c r="S173" i="1" s="1"/>
  <c r="R165" i="1"/>
  <c r="S165" i="1" s="1"/>
  <c r="R157" i="1"/>
  <c r="S157" i="1" s="1"/>
  <c r="R149" i="1"/>
  <c r="S149" i="1" s="1"/>
  <c r="R141" i="1"/>
  <c r="S141" i="1" s="1"/>
  <c r="R133" i="1"/>
  <c r="S133" i="1" s="1"/>
  <c r="R125" i="1"/>
  <c r="S125" i="1" s="1"/>
  <c r="R117" i="1"/>
  <c r="S117" i="1" s="1"/>
  <c r="R109" i="1"/>
  <c r="S109" i="1" s="1"/>
  <c r="R101" i="1"/>
  <c r="S101" i="1" s="1"/>
  <c r="R93" i="1"/>
  <c r="S93" i="1" s="1"/>
  <c r="R85" i="1"/>
  <c r="S85" i="1" s="1"/>
  <c r="R77" i="1"/>
  <c r="S77" i="1" s="1"/>
  <c r="R69" i="1"/>
  <c r="S69" i="1" s="1"/>
  <c r="R61" i="1"/>
  <c r="S61" i="1" s="1"/>
  <c r="R53" i="1"/>
  <c r="S53" i="1" s="1"/>
  <c r="R45" i="1"/>
  <c r="S45" i="1" s="1"/>
  <c r="R37" i="1"/>
  <c r="S37" i="1" s="1"/>
  <c r="R29" i="1"/>
  <c r="S29" i="1" s="1"/>
  <c r="R21" i="1"/>
  <c r="S21" i="1" s="1"/>
  <c r="R13" i="1"/>
  <c r="S13" i="1" s="1"/>
  <c r="R146" i="1"/>
  <c r="S146" i="1" s="1"/>
  <c r="R138" i="1"/>
  <c r="S138" i="1" s="1"/>
  <c r="R130" i="1"/>
  <c r="S130" i="1" s="1"/>
  <c r="R122" i="1"/>
  <c r="S122" i="1" s="1"/>
  <c r="R114" i="1"/>
  <c r="S114" i="1" s="1"/>
  <c r="R106" i="1"/>
  <c r="S106" i="1" s="1"/>
  <c r="R98" i="1"/>
  <c r="S98" i="1" s="1"/>
  <c r="R90" i="1"/>
  <c r="S90" i="1" s="1"/>
  <c r="R82" i="1"/>
  <c r="S82" i="1" s="1"/>
  <c r="R74" i="1"/>
  <c r="S74" i="1" s="1"/>
  <c r="R66" i="1"/>
  <c r="S66" i="1" s="1"/>
  <c r="R58" i="1"/>
  <c r="S58" i="1" s="1"/>
  <c r="R50" i="1"/>
  <c r="S50" i="1" s="1"/>
  <c r="R42" i="1"/>
  <c r="S42" i="1" s="1"/>
  <c r="R34" i="1"/>
  <c r="S34" i="1" s="1"/>
  <c r="R26" i="1"/>
  <c r="S26" i="1" s="1"/>
  <c r="R18" i="1"/>
  <c r="S18" i="1" s="1"/>
  <c r="R10" i="1"/>
  <c r="S10" i="1" s="1"/>
  <c r="R7" i="1"/>
  <c r="S7" i="1" s="1"/>
  <c r="R2" i="1"/>
  <c r="S2" i="1" s="1"/>
  <c r="R179" i="1"/>
  <c r="S179" i="1" s="1"/>
  <c r="R171" i="1"/>
  <c r="S171" i="1" s="1"/>
  <c r="R163" i="1"/>
  <c r="S163" i="1" s="1"/>
  <c r="R155" i="1"/>
  <c r="S155" i="1" s="1"/>
  <c r="R147" i="1"/>
  <c r="S147" i="1" s="1"/>
  <c r="R139" i="1"/>
  <c r="S139" i="1" s="1"/>
  <c r="R131" i="1"/>
  <c r="S131" i="1" s="1"/>
  <c r="R123" i="1"/>
  <c r="S123" i="1" s="1"/>
  <c r="R115" i="1"/>
  <c r="S115" i="1" s="1"/>
  <c r="R107" i="1"/>
  <c r="S107" i="1" s="1"/>
  <c r="R99" i="1"/>
  <c r="S99" i="1" s="1"/>
  <c r="R91" i="1"/>
  <c r="S91" i="1" s="1"/>
  <c r="R83" i="1"/>
  <c r="S83" i="1" s="1"/>
  <c r="R75" i="1"/>
  <c r="S75" i="1" s="1"/>
  <c r="R67" i="1"/>
  <c r="S67" i="1" s="1"/>
  <c r="R59" i="1"/>
  <c r="S59" i="1" s="1"/>
  <c r="R51" i="1"/>
  <c r="S51" i="1" s="1"/>
  <c r="R43" i="1"/>
  <c r="S43" i="1" s="1"/>
  <c r="R35" i="1"/>
  <c r="S35" i="1" s="1"/>
  <c r="R27" i="1"/>
  <c r="S27" i="1" s="1"/>
  <c r="R19" i="1"/>
  <c r="S19" i="1" s="1"/>
  <c r="R11" i="1"/>
  <c r="S11" i="1" s="1"/>
  <c r="R3" i="1"/>
  <c r="S3" i="1" s="1"/>
  <c r="R5" i="1"/>
  <c r="S5" i="1" s="1"/>
  <c r="R174" i="1"/>
  <c r="S174" i="1" s="1"/>
  <c r="R166" i="1"/>
  <c r="S166" i="1" s="1"/>
  <c r="R158" i="1"/>
  <c r="S158" i="1" s="1"/>
  <c r="R150" i="1"/>
  <c r="S150" i="1" s="1"/>
  <c r="R142" i="1"/>
  <c r="S142" i="1" s="1"/>
  <c r="R134" i="1"/>
  <c r="S134" i="1" s="1"/>
  <c r="R126" i="1"/>
  <c r="S126" i="1" s="1"/>
  <c r="R118" i="1"/>
  <c r="S118" i="1" s="1"/>
  <c r="R110" i="1"/>
  <c r="S110" i="1" s="1"/>
  <c r="R102" i="1"/>
  <c r="S102" i="1" s="1"/>
  <c r="R94" i="1"/>
  <c r="S94" i="1" s="1"/>
  <c r="R86" i="1"/>
  <c r="S86" i="1" s="1"/>
  <c r="R78" i="1"/>
  <c r="S78" i="1" s="1"/>
  <c r="R70" i="1"/>
  <c r="S70" i="1" s="1"/>
  <c r="R62" i="1"/>
  <c r="S62" i="1" s="1"/>
  <c r="R54" i="1"/>
  <c r="S54" i="1" s="1"/>
  <c r="R46" i="1"/>
  <c r="S46" i="1" s="1"/>
  <c r="R38" i="1"/>
  <c r="S38" i="1" s="1"/>
  <c r="R30" i="1"/>
  <c r="S30" i="1" s="1"/>
  <c r="R22" i="1"/>
  <c r="S22" i="1" s="1"/>
  <c r="R14" i="1"/>
  <c r="S14" i="1" s="1"/>
  <c r="R6" i="1"/>
  <c r="S6" i="1" s="1"/>
  <c r="R177" i="1"/>
  <c r="S177" i="1" s="1"/>
  <c r="R169" i="1"/>
  <c r="S169" i="1" s="1"/>
  <c r="R161" i="1"/>
  <c r="S161" i="1" s="1"/>
  <c r="R153" i="1"/>
  <c r="S153" i="1" s="1"/>
  <c r="R145" i="1"/>
  <c r="S145" i="1" s="1"/>
  <c r="R137" i="1"/>
  <c r="S137" i="1" s="1"/>
  <c r="R129" i="1"/>
  <c r="S129" i="1" s="1"/>
  <c r="R121" i="1"/>
  <c r="S121" i="1" s="1"/>
  <c r="R113" i="1"/>
  <c r="S113" i="1" s="1"/>
  <c r="R105" i="1"/>
  <c r="S105" i="1" s="1"/>
  <c r="R97" i="1"/>
  <c r="S97" i="1" s="1"/>
  <c r="R89" i="1"/>
  <c r="S89" i="1" s="1"/>
  <c r="R81" i="1"/>
  <c r="S81" i="1" s="1"/>
  <c r="R73" i="1"/>
  <c r="S73" i="1" s="1"/>
  <c r="R65" i="1"/>
  <c r="S65" i="1" s="1"/>
  <c r="R57" i="1"/>
  <c r="S57" i="1" s="1"/>
  <c r="R49" i="1"/>
  <c r="S49" i="1" s="1"/>
  <c r="R41" i="1"/>
  <c r="S41" i="1" s="1"/>
  <c r="R33" i="1"/>
  <c r="S33" i="1" s="1"/>
  <c r="R25" i="1"/>
  <c r="S25" i="1" s="1"/>
  <c r="R17" i="1"/>
  <c r="S17" i="1" s="1"/>
  <c r="R9" i="1"/>
  <c r="S9" i="1" s="1"/>
  <c r="R176" i="1"/>
  <c r="S176" i="1" s="1"/>
  <c r="R168" i="1"/>
  <c r="S168" i="1" s="1"/>
  <c r="R160" i="1"/>
  <c r="S160" i="1" s="1"/>
  <c r="R152" i="1"/>
  <c r="S152" i="1" s="1"/>
  <c r="R144" i="1"/>
  <c r="S144" i="1" s="1"/>
  <c r="R136" i="1"/>
  <c r="S136" i="1" s="1"/>
  <c r="R128" i="1"/>
  <c r="S128" i="1" s="1"/>
  <c r="R120" i="1"/>
  <c r="S120" i="1" s="1"/>
  <c r="R112" i="1"/>
  <c r="S112" i="1" s="1"/>
  <c r="R104" i="1"/>
  <c r="S104" i="1" s="1"/>
  <c r="R96" i="1"/>
  <c r="S96" i="1" s="1"/>
  <c r="R88" i="1"/>
  <c r="S88" i="1" s="1"/>
  <c r="R80" i="1"/>
  <c r="S80" i="1" s="1"/>
  <c r="R72" i="1"/>
  <c r="S72" i="1" s="1"/>
  <c r="R64" i="1"/>
  <c r="S64" i="1" s="1"/>
  <c r="R56" i="1"/>
  <c r="S56" i="1" s="1"/>
  <c r="R48" i="1"/>
  <c r="S48" i="1" s="1"/>
  <c r="R40" i="1"/>
  <c r="S40" i="1" s="1"/>
  <c r="R32" i="1"/>
  <c r="S32" i="1" s="1"/>
  <c r="R24" i="1"/>
  <c r="S24" i="1" s="1"/>
  <c r="R16" i="1"/>
  <c r="S16" i="1" s="1"/>
  <c r="R8" i="1"/>
  <c r="S8" i="1" s="1"/>
  <c r="R172" i="1"/>
  <c r="S172" i="1" s="1"/>
  <c r="R164" i="1"/>
  <c r="S164" i="1" s="1"/>
  <c r="R156" i="1"/>
  <c r="S156" i="1" s="1"/>
  <c r="R148" i="1"/>
  <c r="S148" i="1" s="1"/>
  <c r="R140" i="1"/>
  <c r="S140" i="1" s="1"/>
  <c r="R132" i="1"/>
  <c r="S132" i="1" s="1"/>
  <c r="R124" i="1"/>
  <c r="S124" i="1" s="1"/>
  <c r="R116" i="1"/>
  <c r="S116" i="1" s="1"/>
  <c r="R108" i="1"/>
  <c r="S108" i="1" s="1"/>
  <c r="R100" i="1"/>
  <c r="S100" i="1" s="1"/>
  <c r="R92" i="1"/>
  <c r="S92" i="1" s="1"/>
  <c r="R84" i="1"/>
  <c r="S84" i="1" s="1"/>
  <c r="R76" i="1"/>
  <c r="S76" i="1" s="1"/>
  <c r="R68" i="1"/>
  <c r="S68" i="1" s="1"/>
  <c r="R60" i="1"/>
  <c r="S60" i="1" s="1"/>
  <c r="R52" i="1"/>
  <c r="S52" i="1" s="1"/>
  <c r="R44" i="1"/>
  <c r="S44" i="1" s="1"/>
  <c r="R36" i="1"/>
  <c r="S36" i="1" s="1"/>
  <c r="R28" i="1"/>
  <c r="S28" i="1" s="1"/>
  <c r="R20" i="1"/>
  <c r="S20" i="1" s="1"/>
  <c r="R12" i="1"/>
  <c r="S12" i="1" s="1"/>
  <c r="R4" i="1"/>
  <c r="S4" i="1" s="1"/>
  <c r="R178" i="1"/>
  <c r="S178" i="1" s="1"/>
  <c r="R170" i="1"/>
  <c r="S170" i="1" s="1"/>
  <c r="R162" i="1"/>
  <c r="S162" i="1" s="1"/>
  <c r="R154" i="1"/>
  <c r="S154" i="1" s="1"/>
  <c r="C125" i="10" l="1"/>
  <c r="O125" i="1"/>
  <c r="O123" i="1"/>
  <c r="C123" i="10"/>
  <c r="C61" i="10"/>
  <c r="O61" i="1"/>
  <c r="O15" i="1"/>
  <c r="C15" i="10"/>
  <c r="C54" i="10"/>
  <c r="O54" i="1"/>
  <c r="C44" i="10"/>
  <c r="O44" i="1"/>
  <c r="C168" i="10"/>
  <c r="O1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Anesia Tang Boon Kiang</author>
  </authors>
  <commentList>
    <comment ref="B366" authorId="0" shapeId="0" xr:uid="{2E484231-C9AB-4135-AF0C-89D98E970E22}">
      <text>
        <r>
          <rPr>
            <b/>
            <sz val="9"/>
            <color indexed="81"/>
            <rFont val="Tahoma"/>
            <family val="2"/>
          </rPr>
          <t>Anesia Tang Boon Kiang:</t>
        </r>
        <r>
          <rPr>
            <sz val="9"/>
            <color indexed="81"/>
            <rFont val="Tahoma"/>
            <family val="2"/>
          </rPr>
          <t xml:space="preserve">
Correction on 14/4/26. Previous CHE000888 (10/7/2024) was paid for Jan~Jun2025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04F49-2A31-48E6-9B4D-B39BBBC5F62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B5F98C-21B8-45C1-B4A9-1FD7CD15D1F3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Book1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<sst xmlns="http://schemas.openxmlformats.org/spreadsheetml/2006/main" count="1685" uniqueCount="791">
  <si>
    <t>日期
Date</t>
  </si>
  <si>
    <t>收据编号 
Official Receipt No</t>
  </si>
  <si>
    <t>编号 No/</t>
  </si>
  <si>
    <t>捐款人
姓名
Name</t>
  </si>
  <si>
    <t>START MONTH</t>
  </si>
  <si>
    <t>END MONTH</t>
  </si>
  <si>
    <t>No/ of Mth</t>
  </si>
  <si>
    <t>Total Amt</t>
  </si>
  <si>
    <t>CHE MEMBER</t>
  </si>
  <si>
    <t>Status</t>
  </si>
  <si>
    <t>会员编号</t>
  </si>
  <si>
    <t>姓名</t>
  </si>
  <si>
    <t>Total Payment</t>
  </si>
  <si>
    <t>Start Month</t>
  </si>
  <si>
    <t>End Month</t>
  </si>
  <si>
    <t>CHE 0001056</t>
  </si>
  <si>
    <t>Anna Justina</t>
  </si>
  <si>
    <t>CHE</t>
  </si>
  <si>
    <t>邹运金</t>
  </si>
  <si>
    <t>CHE 0001091</t>
  </si>
  <si>
    <t xml:space="preserve">Anna Justina </t>
  </si>
  <si>
    <t>STW</t>
  </si>
  <si>
    <t>林姵辰</t>
  </si>
  <si>
    <t>CHE 0001183</t>
  </si>
  <si>
    <t>张婷奕</t>
  </si>
  <si>
    <t>CHE 0001276</t>
  </si>
  <si>
    <t>吴添玉</t>
  </si>
  <si>
    <t>CHE 0001445</t>
  </si>
  <si>
    <t>方玉芬</t>
  </si>
  <si>
    <t>CHE 0001449</t>
  </si>
  <si>
    <t>黄欣仪</t>
  </si>
  <si>
    <t>CHE 0001450</t>
  </si>
  <si>
    <t>黄慧霞</t>
  </si>
  <si>
    <t>CHE 0001077</t>
  </si>
  <si>
    <t>廖佳韵</t>
  </si>
  <si>
    <t>CHE 0001136</t>
  </si>
  <si>
    <t>王婉娟</t>
  </si>
  <si>
    <t>CHE 0001159</t>
  </si>
  <si>
    <t>退 (Jan-26)</t>
  </si>
  <si>
    <t>江杰骏</t>
  </si>
  <si>
    <t>CHE 0001174</t>
  </si>
  <si>
    <t>廖秋华</t>
  </si>
  <si>
    <t>CHE 0001255</t>
  </si>
  <si>
    <t>黄淑晴</t>
  </si>
  <si>
    <t>CHE 0001287</t>
  </si>
  <si>
    <t>罗彩瑛</t>
  </si>
  <si>
    <t>CHE0001223</t>
  </si>
  <si>
    <t>陈淑心</t>
  </si>
  <si>
    <t>何艺寿</t>
  </si>
  <si>
    <t>CHE 0001427</t>
  </si>
  <si>
    <t>陈莉莉</t>
  </si>
  <si>
    <t>CHE 0001094</t>
  </si>
  <si>
    <t>王万龄</t>
  </si>
  <si>
    <t>CHE 0001404</t>
  </si>
  <si>
    <t>CHE-X</t>
  </si>
  <si>
    <t>吴丽娟</t>
  </si>
  <si>
    <t>CHE0001211</t>
  </si>
  <si>
    <t>房薇玲</t>
  </si>
  <si>
    <t>CHE0001245</t>
  </si>
  <si>
    <t>王家宝</t>
  </si>
  <si>
    <t>钱淑娟</t>
  </si>
  <si>
    <t>CHE0001231</t>
  </si>
  <si>
    <t>何梅歆</t>
  </si>
  <si>
    <t>曾宪康</t>
  </si>
  <si>
    <t>CHE0001230</t>
  </si>
  <si>
    <t>李俐赪</t>
  </si>
  <si>
    <t>CHE 0001055</t>
  </si>
  <si>
    <t>江嘉峻</t>
  </si>
  <si>
    <t>林德成</t>
  </si>
  <si>
    <t>CHE 0001191</t>
  </si>
  <si>
    <t>林丽燕</t>
  </si>
  <si>
    <t>CHE 0001070</t>
  </si>
  <si>
    <t>叶鏸郧</t>
  </si>
  <si>
    <t>CHE 0001178</t>
  </si>
  <si>
    <t>陈俊达</t>
  </si>
  <si>
    <t>CHE 0001192</t>
  </si>
  <si>
    <t>陈宝蓉</t>
  </si>
  <si>
    <t>CHE 0001410</t>
  </si>
  <si>
    <t>张媄绮</t>
  </si>
  <si>
    <t>CHE 0001080</t>
  </si>
  <si>
    <t>罗彩云</t>
  </si>
  <si>
    <t>黄丽玲</t>
  </si>
  <si>
    <t>CHE 0001163</t>
  </si>
  <si>
    <t>退 (Apr-21)</t>
  </si>
  <si>
    <t>詹联明</t>
  </si>
  <si>
    <t>CHE 0001266</t>
  </si>
  <si>
    <t>黄素彬</t>
  </si>
  <si>
    <t>CHE 0001291</t>
  </si>
  <si>
    <t>叶淑芳</t>
  </si>
  <si>
    <t>CHE 0001429</t>
  </si>
  <si>
    <t>潘祤洁</t>
  </si>
  <si>
    <t>CHE0001031</t>
  </si>
  <si>
    <t>韦素枝</t>
  </si>
  <si>
    <t>CHE0001226</t>
  </si>
  <si>
    <t>林光辉</t>
  </si>
  <si>
    <t>CHE0001320</t>
  </si>
  <si>
    <t>沈观胜</t>
  </si>
  <si>
    <t>CHE0001365</t>
  </si>
  <si>
    <t>卢锭伟</t>
  </si>
  <si>
    <t>CHE 0001057</t>
  </si>
  <si>
    <t>李䘤帷</t>
  </si>
  <si>
    <t>CHE0001225</t>
  </si>
  <si>
    <t>房丽珍</t>
  </si>
  <si>
    <t>CHE0001022</t>
  </si>
  <si>
    <t>何月琼</t>
  </si>
  <si>
    <t>CHE0001032</t>
  </si>
  <si>
    <t>李宝明</t>
  </si>
  <si>
    <t>CHE0001208</t>
  </si>
  <si>
    <t>黄得财</t>
  </si>
  <si>
    <t>CHE 0001110</t>
  </si>
  <si>
    <t>退(Jul-22)</t>
  </si>
  <si>
    <t>黄小燕</t>
  </si>
  <si>
    <t>CHE 0001270</t>
  </si>
  <si>
    <t>江永成</t>
  </si>
  <si>
    <t>CHE 0001074</t>
  </si>
  <si>
    <t>江錦仁</t>
  </si>
  <si>
    <t>CHE 0001409</t>
  </si>
  <si>
    <t>黄淑芬</t>
  </si>
  <si>
    <t>CHE0000886</t>
  </si>
  <si>
    <t>Hoo Mei Sing</t>
  </si>
  <si>
    <t>陈淑玲</t>
  </si>
  <si>
    <t>CHE0000963</t>
  </si>
  <si>
    <t>卓凤明</t>
  </si>
  <si>
    <t>CHE0001222</t>
  </si>
  <si>
    <t>退(Jan-23)</t>
  </si>
  <si>
    <t>李彩虹</t>
  </si>
  <si>
    <t>CHE0001236</t>
  </si>
  <si>
    <t>蔡祥贤</t>
  </si>
  <si>
    <t>CHE0001305</t>
  </si>
  <si>
    <t>叶碧燕</t>
  </si>
  <si>
    <t>CHE0001323</t>
  </si>
  <si>
    <t>程秋萍</t>
  </si>
  <si>
    <t>CHE0001335</t>
  </si>
  <si>
    <t>叶碧玉</t>
  </si>
  <si>
    <t>许僡芳</t>
  </si>
  <si>
    <t>余合福</t>
  </si>
  <si>
    <t>退 (Jan-21)</t>
  </si>
  <si>
    <t>刘黛娣</t>
  </si>
  <si>
    <t>CHE0001035</t>
  </si>
  <si>
    <t>余丽苹</t>
  </si>
  <si>
    <t>CHE 0001082</t>
  </si>
  <si>
    <t>李俐祯</t>
  </si>
  <si>
    <t>陈素秋</t>
  </si>
  <si>
    <t>CHE 0001167</t>
  </si>
  <si>
    <t>吴滟芳</t>
  </si>
  <si>
    <t>CHE 0001407</t>
  </si>
  <si>
    <t>温媜帏</t>
  </si>
  <si>
    <t>CHE 0001099</t>
  </si>
  <si>
    <t>刘千凤</t>
  </si>
  <si>
    <t>CHE 0001139</t>
  </si>
  <si>
    <t>戴川凤</t>
  </si>
  <si>
    <t>CHE 0001197</t>
  </si>
  <si>
    <t>林采諺</t>
  </si>
  <si>
    <t>CHE 0001428</t>
  </si>
  <si>
    <t>连美丽</t>
  </si>
  <si>
    <t>CHE 0001439</t>
  </si>
  <si>
    <t>文渼媄</t>
  </si>
  <si>
    <t>CHE0001034</t>
  </si>
  <si>
    <t>退 (Jul-23)</t>
  </si>
  <si>
    <t>梁袁诚</t>
  </si>
  <si>
    <t>CHE0001333</t>
  </si>
  <si>
    <t>退 (Jul-24)</t>
  </si>
  <si>
    <t>陈吉珠</t>
  </si>
  <si>
    <t>CHE0001350</t>
  </si>
  <si>
    <t>退 (Nov-22)</t>
  </si>
  <si>
    <t>李美燕</t>
  </si>
  <si>
    <t>陈世海</t>
  </si>
  <si>
    <t>CHE 0001441</t>
  </si>
  <si>
    <t>卓梅枝</t>
  </si>
  <si>
    <t>CHE0001334</t>
  </si>
  <si>
    <t>刁修淋</t>
  </si>
  <si>
    <t>李薇薇</t>
  </si>
  <si>
    <t>CHE0001221</t>
  </si>
  <si>
    <t>张志文</t>
  </si>
  <si>
    <t>CHE0001308</t>
  </si>
  <si>
    <t>王碧琳</t>
  </si>
  <si>
    <t>CHE0001329</t>
  </si>
  <si>
    <t>黄丽娟</t>
  </si>
  <si>
    <t>CHE0001346</t>
  </si>
  <si>
    <t>退 (Jan-25)</t>
  </si>
  <si>
    <t>高渼惠</t>
  </si>
  <si>
    <t>CHE0001367</t>
  </si>
  <si>
    <t>张凤</t>
  </si>
  <si>
    <t>陈梅兰</t>
  </si>
  <si>
    <t>萧势襁</t>
  </si>
  <si>
    <t>王丽珠</t>
  </si>
  <si>
    <t>CHE0001043</t>
  </si>
  <si>
    <t>王康芬</t>
  </si>
  <si>
    <t>CHE 0001425</t>
  </si>
  <si>
    <t>陈杍䍿</t>
  </si>
  <si>
    <t>CHE0000891</t>
  </si>
  <si>
    <t>黄丽萍</t>
  </si>
  <si>
    <t>CHE 0001106</t>
  </si>
  <si>
    <t>刘永耀</t>
  </si>
  <si>
    <t>CHE0001243</t>
  </si>
  <si>
    <t>赖宝珍</t>
  </si>
  <si>
    <t>CHE 0001456</t>
  </si>
  <si>
    <t>赖美珍</t>
  </si>
  <si>
    <t>CHE0001242</t>
  </si>
  <si>
    <t>李六妹</t>
  </si>
  <si>
    <t>黄宝芝</t>
  </si>
  <si>
    <t>CHE0001049</t>
  </si>
  <si>
    <t>张舒惠</t>
  </si>
  <si>
    <t>CHE 0001171</t>
  </si>
  <si>
    <t>张畯宏</t>
  </si>
  <si>
    <t>CHE 0001296</t>
  </si>
  <si>
    <t>退 ( Feb-22)</t>
  </si>
  <si>
    <t>章伟声</t>
  </si>
  <si>
    <t>CHE0001202</t>
  </si>
  <si>
    <t>退 ( Jan-24)</t>
  </si>
  <si>
    <t>李涍萍</t>
  </si>
  <si>
    <t>CHE0001336</t>
  </si>
  <si>
    <t>许俊豪</t>
  </si>
  <si>
    <t>CHE0001347</t>
  </si>
  <si>
    <t>李威康</t>
  </si>
  <si>
    <t>黄玉莲</t>
  </si>
  <si>
    <t>CHE0001038</t>
  </si>
  <si>
    <t>Roger Lim</t>
  </si>
  <si>
    <t>陈松腾</t>
  </si>
  <si>
    <t>CHE0001216</t>
  </si>
  <si>
    <t>黄茗尉</t>
  </si>
  <si>
    <t>CHE0001317</t>
  </si>
  <si>
    <t>翁俊斌</t>
  </si>
  <si>
    <t>CHE0001359</t>
  </si>
  <si>
    <t>卢元爱</t>
  </si>
  <si>
    <t>谢富生</t>
  </si>
  <si>
    <t>李宝珠</t>
  </si>
  <si>
    <t>CHE 0001092</t>
  </si>
  <si>
    <t>退 (Jan-22)</t>
  </si>
  <si>
    <t>杨嘉风</t>
  </si>
  <si>
    <t>CHE 0001138</t>
  </si>
  <si>
    <t>退 ( Jul-23)</t>
  </si>
  <si>
    <t>许俍富</t>
  </si>
  <si>
    <t>CHE 0001406</t>
  </si>
  <si>
    <t>郑筱頵</t>
  </si>
  <si>
    <t>CHE0000986</t>
  </si>
  <si>
    <t>退</t>
  </si>
  <si>
    <t>董志存</t>
  </si>
  <si>
    <t>CHE0001324</t>
  </si>
  <si>
    <t>方惠贤</t>
  </si>
  <si>
    <t>退 (Oct-25)</t>
  </si>
  <si>
    <t>周玉暹</t>
  </si>
  <si>
    <t>CHE 0001073</t>
  </si>
  <si>
    <t>梁佩仪（馨尹）</t>
  </si>
  <si>
    <t>CHE 0001128</t>
  </si>
  <si>
    <t>罗紫纶</t>
  </si>
  <si>
    <t>CHE 0001179</t>
  </si>
  <si>
    <t>王秋蓉</t>
  </si>
  <si>
    <t>CHE 0001265</t>
  </si>
  <si>
    <t>黄真妮</t>
  </si>
  <si>
    <t>CHE 0001088</t>
  </si>
  <si>
    <t>陈柔霓</t>
  </si>
  <si>
    <t>CHE 0001147</t>
  </si>
  <si>
    <t>蔡均镅</t>
  </si>
  <si>
    <t>CHE 0001252</t>
  </si>
  <si>
    <t>张杍䌻</t>
  </si>
  <si>
    <t>CHE 0001413</t>
  </si>
  <si>
    <t>许茹慧</t>
  </si>
  <si>
    <t>CHE 0001075</t>
  </si>
  <si>
    <t>洪鼎惟</t>
  </si>
  <si>
    <t>CHE 0001155</t>
  </si>
  <si>
    <t>谢蕙冰</t>
  </si>
  <si>
    <t>CHE 0001418</t>
  </si>
  <si>
    <t>陈桂香</t>
  </si>
  <si>
    <t>CHE 0001446</t>
  </si>
  <si>
    <t>颜美葒</t>
  </si>
  <si>
    <t>CHE0001036</t>
  </si>
  <si>
    <t>陈金娣</t>
  </si>
  <si>
    <t>蔡健铭</t>
  </si>
  <si>
    <t>陈金清</t>
  </si>
  <si>
    <t>CHE0001048</t>
  </si>
  <si>
    <t>退(Jan-21)</t>
  </si>
  <si>
    <t>黄微润</t>
  </si>
  <si>
    <t>CHE0001024</t>
  </si>
  <si>
    <t>郭丽诗</t>
  </si>
  <si>
    <t>CHE0001205</t>
  </si>
  <si>
    <t>赖奕坊</t>
  </si>
  <si>
    <t>CHE0001213</t>
  </si>
  <si>
    <t>羅梅瑂</t>
  </si>
  <si>
    <t>CHE0001228</t>
  </si>
  <si>
    <t>刘玉云</t>
  </si>
  <si>
    <t>CHE0001247</t>
  </si>
  <si>
    <t>张玉凤</t>
  </si>
  <si>
    <t>CHE0001310</t>
  </si>
  <si>
    <t>许银玲</t>
  </si>
  <si>
    <t>CHE0001325</t>
  </si>
  <si>
    <t>张秀杏</t>
  </si>
  <si>
    <t>CHE0001337</t>
  </si>
  <si>
    <t>退 (Dec-21)</t>
  </si>
  <si>
    <t>曾静敏</t>
  </si>
  <si>
    <t>CHE0001355</t>
  </si>
  <si>
    <t>锺鏸堬</t>
  </si>
  <si>
    <t>CHE0001369</t>
  </si>
  <si>
    <t>锺堉煒</t>
  </si>
  <si>
    <t>许艾婷</t>
  </si>
  <si>
    <t>杨建成</t>
  </si>
  <si>
    <t>田玉英</t>
  </si>
  <si>
    <t>退 (Mar-21)</t>
  </si>
  <si>
    <t>蔡美容</t>
  </si>
  <si>
    <t>CHE0001212</t>
  </si>
  <si>
    <t>STW - 退 (Jan-26)</t>
  </si>
  <si>
    <t>李诗媚</t>
  </si>
  <si>
    <t>CHE 0001129</t>
  </si>
  <si>
    <t>李思群</t>
  </si>
  <si>
    <t>CHE 0001180</t>
  </si>
  <si>
    <t>叶翠芬</t>
  </si>
  <si>
    <t>CHE 0001264</t>
  </si>
  <si>
    <t>范庆华</t>
  </si>
  <si>
    <t>CHE0001240</t>
  </si>
  <si>
    <t>退 (Feb-21)</t>
  </si>
  <si>
    <t>陈凯凤</t>
  </si>
  <si>
    <t>叶宝钻</t>
  </si>
  <si>
    <t>CHE 0001068</t>
  </si>
  <si>
    <t>退 (Jan-24)</t>
  </si>
  <si>
    <t>黄仕章</t>
  </si>
  <si>
    <t>CHE 0001417</t>
  </si>
  <si>
    <t>蔡乙綵</t>
  </si>
  <si>
    <t>CHE 0001104</t>
  </si>
  <si>
    <t>李雁琼</t>
  </si>
  <si>
    <t>CHE 0001459</t>
  </si>
  <si>
    <t>陈天赐</t>
  </si>
  <si>
    <t>CHE0001309</t>
  </si>
  <si>
    <t>Lim Kok Sing</t>
  </si>
  <si>
    <t>萧志倫</t>
  </si>
  <si>
    <t>CHE 0001109</t>
  </si>
  <si>
    <t>郭奕杏</t>
  </si>
  <si>
    <t>CHE 0001164</t>
  </si>
  <si>
    <t>谢安妮</t>
  </si>
  <si>
    <t>CHE 0001268</t>
  </si>
  <si>
    <t>宋丽英</t>
  </si>
  <si>
    <t>CHE 0001072</t>
  </si>
  <si>
    <t>许愫苓</t>
  </si>
  <si>
    <t>CHE 0001150</t>
  </si>
  <si>
    <t>赖芓妘</t>
  </si>
  <si>
    <t>CHE 0001196</t>
  </si>
  <si>
    <t>苏淑祯</t>
  </si>
  <si>
    <t>CHE 0001275</t>
  </si>
  <si>
    <t>黄荟菏</t>
  </si>
  <si>
    <t>CHE 0001411</t>
  </si>
  <si>
    <t>石秀萍</t>
  </si>
  <si>
    <t>CHE 0001084</t>
  </si>
  <si>
    <t>吴毓遴</t>
  </si>
  <si>
    <t>萧埏潤</t>
  </si>
  <si>
    <t>CHE 0001125</t>
  </si>
  <si>
    <t>退 (May-21)</t>
  </si>
  <si>
    <t>范明丽</t>
  </si>
  <si>
    <t>CHE 0001170</t>
  </si>
  <si>
    <t>伍尉枋</t>
  </si>
  <si>
    <t>CHE 0001401</t>
  </si>
  <si>
    <t>赖清桂</t>
  </si>
  <si>
    <t>CHE0001037</t>
  </si>
  <si>
    <t>林淑仪</t>
  </si>
  <si>
    <t>CHE0001027</t>
  </si>
  <si>
    <t>江伝卉</t>
  </si>
  <si>
    <t>CHE0001218</t>
  </si>
  <si>
    <t>戴川风</t>
  </si>
  <si>
    <t>黄莉珍</t>
  </si>
  <si>
    <t>CHE0001331</t>
  </si>
  <si>
    <t xml:space="preserve">黄文勝 </t>
  </si>
  <si>
    <t>CHE0001352</t>
  </si>
  <si>
    <t>蔡适蔧</t>
  </si>
  <si>
    <t>陈诗施</t>
  </si>
  <si>
    <t>郑秀娟</t>
  </si>
  <si>
    <t>凌秀莲</t>
  </si>
  <si>
    <t>CHE 0001102</t>
  </si>
  <si>
    <t>林采谚</t>
  </si>
  <si>
    <t>江文明</t>
  </si>
  <si>
    <t>CHE 0001156</t>
  </si>
  <si>
    <t>刘亚宝</t>
  </si>
  <si>
    <t>杨远铧</t>
  </si>
  <si>
    <t>冯珖玹</t>
  </si>
  <si>
    <t>CHE 0001453</t>
  </si>
  <si>
    <t>林道良</t>
  </si>
  <si>
    <t>CHE0001044</t>
  </si>
  <si>
    <t>陈丽珍</t>
  </si>
  <si>
    <t>CHE0001237</t>
  </si>
  <si>
    <t>陈巧欢</t>
  </si>
  <si>
    <t>CHE0001318</t>
  </si>
  <si>
    <t>锺镒壕</t>
  </si>
  <si>
    <t>CHE0001357</t>
  </si>
  <si>
    <t>丘佳盈</t>
  </si>
  <si>
    <t>黄诗霞</t>
  </si>
  <si>
    <t>陈汶娟</t>
  </si>
  <si>
    <t>CHE 0001064</t>
  </si>
  <si>
    <t>106</t>
  </si>
  <si>
    <t>文渼渼</t>
  </si>
  <si>
    <t>Nov-24</t>
  </si>
  <si>
    <t>Dec-24</t>
  </si>
  <si>
    <t>2</t>
  </si>
  <si>
    <t>陈仪伶</t>
  </si>
  <si>
    <t>CHE 0001065</t>
  </si>
  <si>
    <t>张菁倪</t>
  </si>
  <si>
    <t>CHE 0001165</t>
  </si>
  <si>
    <t>张国齐</t>
  </si>
  <si>
    <t>CHE 0001298</t>
  </si>
  <si>
    <t>林嘉雯</t>
  </si>
  <si>
    <t>CHE 0001299</t>
  </si>
  <si>
    <t>苏素瑢</t>
  </si>
  <si>
    <t>CHE 0001300</t>
  </si>
  <si>
    <t>叶秀彩</t>
  </si>
  <si>
    <t>CHE 0001081</t>
  </si>
  <si>
    <t>林建兴</t>
  </si>
  <si>
    <t>CHE 0001119</t>
  </si>
  <si>
    <t>张桂玲</t>
  </si>
  <si>
    <t>CHE 0001162</t>
  </si>
  <si>
    <t>刘铧亿</t>
  </si>
  <si>
    <t>CHE0001368</t>
  </si>
  <si>
    <t>钟錥汉</t>
  </si>
  <si>
    <t>CHE0001020</t>
  </si>
  <si>
    <t>文嘉诚</t>
  </si>
  <si>
    <t>CHE0001041</t>
  </si>
  <si>
    <t>何玉凤</t>
  </si>
  <si>
    <t>CHE0001219</t>
  </si>
  <si>
    <t>欧慧菁</t>
  </si>
  <si>
    <t>CHE0001232</t>
  </si>
  <si>
    <t>陈映如</t>
  </si>
  <si>
    <t>CHE0001250</t>
  </si>
  <si>
    <t>CHE0001313</t>
  </si>
  <si>
    <t>何玉珍</t>
  </si>
  <si>
    <t>CHE0001327</t>
  </si>
  <si>
    <t>黎嘉祺</t>
  </si>
  <si>
    <t>CHE0001340</t>
  </si>
  <si>
    <t>蔡诗琳</t>
  </si>
  <si>
    <t>蔡诗婷</t>
  </si>
  <si>
    <t>CHE0001361</t>
  </si>
  <si>
    <t>Total member</t>
  </si>
  <si>
    <t>CHE Active</t>
  </si>
  <si>
    <t>CHE (uncertain)</t>
  </si>
  <si>
    <t>CHE (2025 ~ 2026  退)</t>
  </si>
  <si>
    <t>CHE0001021</t>
  </si>
  <si>
    <t>CHE0001042</t>
  </si>
  <si>
    <t>CHE0001220</t>
  </si>
  <si>
    <t>Sitiawan</t>
  </si>
  <si>
    <t>CHE0001233</t>
  </si>
  <si>
    <t>CHE0001301</t>
  </si>
  <si>
    <t>CHE0001314</t>
  </si>
  <si>
    <t>CHE0001328</t>
  </si>
  <si>
    <t>CHE0001341</t>
  </si>
  <si>
    <t>CHE0001348</t>
  </si>
  <si>
    <t>CHE0001362</t>
  </si>
  <si>
    <t>CHE 0001085</t>
  </si>
  <si>
    <t>CHE 0001402</t>
  </si>
  <si>
    <t>CHE0001210</t>
  </si>
  <si>
    <t>CHE0001235</t>
  </si>
  <si>
    <t>CHE0001364</t>
  </si>
  <si>
    <t>CHE0001047</t>
  </si>
  <si>
    <t>CHE 0001076</t>
  </si>
  <si>
    <t>CHE 0001141</t>
  </si>
  <si>
    <t>CHE 0001182</t>
  </si>
  <si>
    <t>CHE 0001274</t>
  </si>
  <si>
    <t>CHE 0001416</t>
  </si>
  <si>
    <t>CHE 0001444</t>
  </si>
  <si>
    <t>CHE 0001095</t>
  </si>
  <si>
    <t>CHE 0001420</t>
  </si>
  <si>
    <t>CHE0000992</t>
  </si>
  <si>
    <t>Saw See Keong</t>
  </si>
  <si>
    <t>CHE0001246</t>
  </si>
  <si>
    <t>萧势镪</t>
  </si>
  <si>
    <t>CHE0001307</t>
  </si>
  <si>
    <t>CHE 0001090</t>
  </si>
  <si>
    <t>CHE 0001144</t>
  </si>
  <si>
    <t>CHE 0001157</t>
  </si>
  <si>
    <t>CHE 0001256</t>
  </si>
  <si>
    <t>CHE 0001424</t>
  </si>
  <si>
    <t>CHE 0001436</t>
  </si>
  <si>
    <t>CHE 0001063</t>
  </si>
  <si>
    <t>CHE 0001111</t>
  </si>
  <si>
    <t>CHE 0001137</t>
  </si>
  <si>
    <t>CHE 0001169</t>
  </si>
  <si>
    <t>CHE 0001284</t>
  </si>
  <si>
    <t>CHE 0001423</t>
  </si>
  <si>
    <t>CHE 0001443</t>
  </si>
  <si>
    <t>CHE 0001132</t>
  </si>
  <si>
    <t>CHE 0001258</t>
  </si>
  <si>
    <t>CHE 0001133</t>
  </si>
  <si>
    <t>CHE 0001259</t>
  </si>
  <si>
    <t>CHE 0001126</t>
  </si>
  <si>
    <t>CHE 0001271</t>
  </si>
  <si>
    <t>CHE0001026</t>
  </si>
  <si>
    <t>CHE0001201</t>
  </si>
  <si>
    <t>CHE0001227</t>
  </si>
  <si>
    <t>CHE0001238</t>
  </si>
  <si>
    <t>CHE 0001135</t>
  </si>
  <si>
    <t>CHE0001316</t>
  </si>
  <si>
    <t>CHE0001332</t>
  </si>
  <si>
    <t>CHE0001342</t>
  </si>
  <si>
    <t>CHE0001353</t>
  </si>
  <si>
    <t>CHE0001366</t>
  </si>
  <si>
    <t>CHE0001241</t>
  </si>
  <si>
    <t>CHE0001244</t>
  </si>
  <si>
    <t>CHE0001312</t>
  </si>
  <si>
    <t>CHE0001358</t>
  </si>
  <si>
    <t>CHE 0001113</t>
  </si>
  <si>
    <t>CHE 0001437</t>
  </si>
  <si>
    <t>CHE 0001060</t>
  </si>
  <si>
    <t>翁骏娬</t>
  </si>
  <si>
    <t>CHE 0001281</t>
  </si>
  <si>
    <t>CHE0001028</t>
  </si>
  <si>
    <t>Chia Foo Sang</t>
  </si>
  <si>
    <t>CHE0001203</t>
  </si>
  <si>
    <t>CHE0001239</t>
  </si>
  <si>
    <t>CHE0001321</t>
  </si>
  <si>
    <t>CHE 0001187</t>
  </si>
  <si>
    <t>CHE 0001253</t>
  </si>
  <si>
    <t>CHE 0001061</t>
  </si>
  <si>
    <t>CHE0001217</t>
  </si>
  <si>
    <t>CHE0001039</t>
  </si>
  <si>
    <t>CHE0001234</t>
  </si>
  <si>
    <t>CHE0001303</t>
  </si>
  <si>
    <t>CHE0001330</t>
  </si>
  <si>
    <t>CHE0001360</t>
  </si>
  <si>
    <t>CHE 0001261</t>
  </si>
  <si>
    <t>CHE 0001117</t>
  </si>
  <si>
    <t>梁佩仪</t>
  </si>
  <si>
    <t>CHE 0001134</t>
  </si>
  <si>
    <t>CHE 0001435</t>
  </si>
  <si>
    <t>CHE 0001105</t>
  </si>
  <si>
    <t>CHE 0001460</t>
  </si>
  <si>
    <t>CHE 0001108</t>
  </si>
  <si>
    <t>CHE 0001142</t>
  </si>
  <si>
    <t>CHE 0001145</t>
  </si>
  <si>
    <t>CHE 0001190</t>
  </si>
  <si>
    <t>CHE 0001260</t>
  </si>
  <si>
    <t>CHE 0001280</t>
  </si>
  <si>
    <t>CHE 0001419</t>
  </si>
  <si>
    <t>CHE 0001098</t>
  </si>
  <si>
    <t>CHE 0001121</t>
  </si>
  <si>
    <t>CHE 0001168</t>
  </si>
  <si>
    <t>CHE 0001185</t>
  </si>
  <si>
    <t>CHE 0001193</t>
  </si>
  <si>
    <t>CHE 0001277</t>
  </si>
  <si>
    <t>CHE 0001292</t>
  </si>
  <si>
    <t>CHE 0001434</t>
  </si>
  <si>
    <t>CHE 0001457</t>
  </si>
  <si>
    <t>CHE0001209</t>
  </si>
  <si>
    <t>CHE0001304</t>
  </si>
  <si>
    <t>CHE0001319</t>
  </si>
  <si>
    <t>CHE0001343</t>
  </si>
  <si>
    <t>CHE0001363</t>
  </si>
  <si>
    <t>CHE 0001059</t>
  </si>
  <si>
    <t>CHE0001302</t>
  </si>
  <si>
    <t>CHE0001349</t>
  </si>
  <si>
    <t>CHE 0001283</t>
  </si>
  <si>
    <t>CHE0001019</t>
  </si>
  <si>
    <t>CHE0001033</t>
  </si>
  <si>
    <t>CHE0001046</t>
  </si>
  <si>
    <t>CHE0001215</t>
  </si>
  <si>
    <t>CHE0001249</t>
  </si>
  <si>
    <t>CHE0001306</t>
  </si>
  <si>
    <t>CHE0001322</t>
  </si>
  <si>
    <t>CHE0001344</t>
  </si>
  <si>
    <t>CHE0001345</t>
  </si>
  <si>
    <t>CHE0001354</t>
  </si>
  <si>
    <t>CHE0001045</t>
  </si>
  <si>
    <t>CHE 0001067</t>
  </si>
  <si>
    <t>CHE 0001122</t>
  </si>
  <si>
    <t>CHE 0001160</t>
  </si>
  <si>
    <t>CHE 0001288</t>
  </si>
  <si>
    <t>CHE 0001052</t>
  </si>
  <si>
    <t>颜美荭</t>
  </si>
  <si>
    <t>CHE 0001078</t>
  </si>
  <si>
    <t>CHE 0001093</t>
  </si>
  <si>
    <t>CHE 0001143</t>
  </si>
  <si>
    <t>CHE 0001149</t>
  </si>
  <si>
    <t>CHE 0001158</t>
  </si>
  <si>
    <t>CHE 0001198</t>
  </si>
  <si>
    <t>CHE 0001262</t>
  </si>
  <si>
    <t>CHE 0001272</t>
  </si>
  <si>
    <t>CHE 0001289</t>
  </si>
  <si>
    <t>CHE 0001422</t>
  </si>
  <si>
    <t>CHE 0001440</t>
  </si>
  <si>
    <t>CHE 0001127</t>
  </si>
  <si>
    <t>CHE 0001181</t>
  </si>
  <si>
    <t>CHE 0001263</t>
  </si>
  <si>
    <t>CHE 0001087</t>
  </si>
  <si>
    <t>CHE 0001120</t>
  </si>
  <si>
    <t>CHE 0001153</t>
  </si>
  <si>
    <t>CHE 0001188</t>
  </si>
  <si>
    <t>CHE 0001282</t>
  </si>
  <si>
    <t>CHE 0001293</t>
  </si>
  <si>
    <t>CHE 0001438</t>
  </si>
  <si>
    <t>CHE 0001101</t>
  </si>
  <si>
    <t>CHE 0001152</t>
  </si>
  <si>
    <t>CHE 0001433</t>
  </si>
  <si>
    <t>CHE 0001058</t>
  </si>
  <si>
    <t>CHE 0001107</t>
  </si>
  <si>
    <t>CHE 0001131</t>
  </si>
  <si>
    <t>CHE 0001154</t>
  </si>
  <si>
    <t>CHE 0001194</t>
  </si>
  <si>
    <t>CHE 0001290</t>
  </si>
  <si>
    <t>CHE 0001430</t>
  </si>
  <si>
    <t>CHE 0001054</t>
  </si>
  <si>
    <t>CHE 0001089</t>
  </si>
  <si>
    <t>CHE 0001140</t>
  </si>
  <si>
    <t>CHE 0001175</t>
  </si>
  <si>
    <t>CHE 0001251</t>
  </si>
  <si>
    <t>CHE 0001414</t>
  </si>
  <si>
    <t>CHE 0001415</t>
  </si>
  <si>
    <t>CHE 0001079</t>
  </si>
  <si>
    <t>CHE 0001118</t>
  </si>
  <si>
    <t>CHE 0001146</t>
  </si>
  <si>
    <t>CHE 0001176</t>
  </si>
  <si>
    <t>CHE 0001199</t>
  </si>
  <si>
    <t>CHE 0001273</t>
  </si>
  <si>
    <t>CHE 0001431</t>
  </si>
  <si>
    <t>CHE0001204</t>
  </si>
  <si>
    <t>CHE 0001451</t>
  </si>
  <si>
    <t>CHE 0001071</t>
  </si>
  <si>
    <t>CHE 0001294</t>
  </si>
  <si>
    <t>CHE 0001096</t>
  </si>
  <si>
    <t>CHE 0001447</t>
  </si>
  <si>
    <t>CHE 0001069</t>
  </si>
  <si>
    <t>CHE 0001442</t>
  </si>
  <si>
    <t>CHE 0001448</t>
  </si>
  <si>
    <t>CHE0001029</t>
  </si>
  <si>
    <t>CHE 0000113</t>
  </si>
  <si>
    <t>CHE 0001408</t>
  </si>
  <si>
    <t>CHE 0001454</t>
  </si>
  <si>
    <t>CHE 0001115</t>
  </si>
  <si>
    <t>田玉美</t>
  </si>
  <si>
    <t>CHE 0001426</t>
  </si>
  <si>
    <t>CHE 0001455</t>
  </si>
  <si>
    <t>CHE0001023</t>
  </si>
  <si>
    <t>CHE 0001103</t>
  </si>
  <si>
    <t>CHE0001040</t>
  </si>
  <si>
    <t>CHE0001339</t>
  </si>
  <si>
    <t>CHE 0001295</t>
  </si>
  <si>
    <t>CHE 0001083</t>
  </si>
  <si>
    <t>萧志伦</t>
  </si>
  <si>
    <t>CHE 0001114</t>
  </si>
  <si>
    <t>苏志伦</t>
  </si>
  <si>
    <t>CHE 0001123</t>
  </si>
  <si>
    <t>CHE 0001148</t>
  </si>
  <si>
    <t>CHE 0001184</t>
  </si>
  <si>
    <t>CHE 0001189</t>
  </si>
  <si>
    <t>CHE 0001200</t>
  </si>
  <si>
    <t>CHE 0001254</t>
  </si>
  <si>
    <t>CHE 0001278</t>
  </si>
  <si>
    <t>CHE 0001297</t>
  </si>
  <si>
    <t>CHE 0001432</t>
  </si>
  <si>
    <t>CHE 0001458</t>
  </si>
  <si>
    <t>CHE0001224</t>
  </si>
  <si>
    <t>CHE 0001066</t>
  </si>
  <si>
    <t>苏素镇</t>
  </si>
  <si>
    <t>CHE 0001130</t>
  </si>
  <si>
    <t xml:space="preserve">苏素禛 </t>
  </si>
  <si>
    <t>CHE 0001172</t>
  </si>
  <si>
    <t>苏淑禛</t>
  </si>
  <si>
    <t>CHE 0001257</t>
  </si>
  <si>
    <t>CHE 0001403</t>
  </si>
  <si>
    <t>CHE0001030</t>
  </si>
  <si>
    <t>CHE 0001412</t>
  </si>
  <si>
    <t>伍蔚枋</t>
  </si>
  <si>
    <t>CHE0001050</t>
  </si>
  <si>
    <t>CHE 0001112</t>
  </si>
  <si>
    <t>CHE 0001177</t>
  </si>
  <si>
    <t>CHE 0001267</t>
  </si>
  <si>
    <t>CHE 0001452</t>
  </si>
  <si>
    <t>CHE0001025</t>
  </si>
  <si>
    <t>黄文胜</t>
  </si>
  <si>
    <t>CHE0001206</t>
  </si>
  <si>
    <t>CHE0001214</t>
  </si>
  <si>
    <t>CHE0001229</t>
  </si>
  <si>
    <t>CHE0001248</t>
  </si>
  <si>
    <t>CHE0001311</t>
  </si>
  <si>
    <t>CHE0001326</t>
  </si>
  <si>
    <t>CHE0001338</t>
  </si>
  <si>
    <t>CHE0001356</t>
  </si>
  <si>
    <t>CHE0001370</t>
  </si>
  <si>
    <t>CHE0001207</t>
  </si>
  <si>
    <t>CHE 0001269</t>
  </si>
  <si>
    <t>CHE 0001405</t>
  </si>
  <si>
    <t>CHE 0001097</t>
  </si>
  <si>
    <t>CHE 0001161</t>
  </si>
  <si>
    <t>CHE 0001186</t>
  </si>
  <si>
    <t>CHE 0001279</t>
  </si>
  <si>
    <t>CHE 0001421</t>
  </si>
  <si>
    <t>CHE 0001086</t>
  </si>
  <si>
    <t>丘桂盈</t>
  </si>
  <si>
    <t>CHE 0001124</t>
  </si>
  <si>
    <t>CHE 0001461</t>
  </si>
  <si>
    <t>CHE0000894</t>
  </si>
  <si>
    <t>CHE 0001166</t>
  </si>
  <si>
    <t>CHE 0001062</t>
  </si>
  <si>
    <t>CHE 0001116</t>
  </si>
  <si>
    <t>CHE 0001151</t>
  </si>
  <si>
    <t>CHE 0001195</t>
  </si>
  <si>
    <t>CHE 0001285</t>
  </si>
  <si>
    <t>CHE 0001286</t>
  </si>
  <si>
    <t>CHE 0001462</t>
  </si>
  <si>
    <t>CHE 0001463</t>
  </si>
  <si>
    <t>CHE 0001464</t>
  </si>
  <si>
    <t>CHE 0001053</t>
  </si>
  <si>
    <t>cancel</t>
  </si>
  <si>
    <t>-</t>
  </si>
  <si>
    <t>CHE 0001173</t>
  </si>
  <si>
    <t>CHE0001351</t>
  </si>
  <si>
    <t>No</t>
  </si>
  <si>
    <t>Donator</t>
  </si>
  <si>
    <t>Alice</t>
  </si>
  <si>
    <t>Emily</t>
  </si>
  <si>
    <t>编号</t>
  </si>
  <si>
    <t>张美绮</t>
  </si>
  <si>
    <t>莲美丽</t>
  </si>
  <si>
    <t>郑少君</t>
  </si>
  <si>
    <t>苏淑真</t>
  </si>
  <si>
    <t>CHE0001315</t>
  </si>
  <si>
    <t>cancelled</t>
  </si>
  <si>
    <t>CANCELLED</t>
  </si>
  <si>
    <t>CHE0001371</t>
  </si>
  <si>
    <t>CHE0001372</t>
  </si>
  <si>
    <t>CHE0001373</t>
  </si>
  <si>
    <t>CHE0001374</t>
  </si>
  <si>
    <t>CHE0001375</t>
  </si>
  <si>
    <t>CHE0001376</t>
  </si>
  <si>
    <t>CHE0001377</t>
  </si>
  <si>
    <t>CHE0001378</t>
  </si>
  <si>
    <t>CHE0001379</t>
  </si>
  <si>
    <t>CHE0001380</t>
  </si>
  <si>
    <t>CHE0001381</t>
  </si>
  <si>
    <t>CHE0001382</t>
  </si>
  <si>
    <t>CHE0001383</t>
  </si>
  <si>
    <t>CHE0001384</t>
  </si>
  <si>
    <t>CHE0001385</t>
  </si>
  <si>
    <t>CHE0001386</t>
  </si>
  <si>
    <t>CHE0001387</t>
  </si>
  <si>
    <t>CHE0001388</t>
  </si>
  <si>
    <t>CHE0001389</t>
  </si>
  <si>
    <t>CHE0001390</t>
  </si>
  <si>
    <t>CHE0001391</t>
  </si>
  <si>
    <t>CHE0001392</t>
  </si>
  <si>
    <t>CHE0001393</t>
  </si>
  <si>
    <t>CHE0001394</t>
  </si>
  <si>
    <t>CHE0001395</t>
  </si>
  <si>
    <t>CHE0001396</t>
  </si>
  <si>
    <t>CHE0001397</t>
  </si>
  <si>
    <t>CHE0001398</t>
  </si>
  <si>
    <t>CHE0001399</t>
  </si>
  <si>
    <t>CHE0001400</t>
  </si>
  <si>
    <t>CHE0001501</t>
  </si>
  <si>
    <t>CHE0001502</t>
  </si>
  <si>
    <t>CHE0001503</t>
  </si>
  <si>
    <t>CHE0001504</t>
  </si>
  <si>
    <t>CHE0001505</t>
  </si>
  <si>
    <t>CHE0001506</t>
  </si>
  <si>
    <t>CHE0001507</t>
  </si>
  <si>
    <t>CHE0001508</t>
  </si>
  <si>
    <t>CHE0001509</t>
  </si>
  <si>
    <t>CHE0001510</t>
  </si>
  <si>
    <t>CHE0001511</t>
  </si>
  <si>
    <t>CHE0001512</t>
  </si>
  <si>
    <t>CHE0001513</t>
  </si>
  <si>
    <t>CHE0001514</t>
  </si>
  <si>
    <t>CHE0001515</t>
  </si>
  <si>
    <t>CHE0001516</t>
  </si>
  <si>
    <t>CHE0001517</t>
  </si>
  <si>
    <t>CHE0001518</t>
  </si>
  <si>
    <t>CHE0001519</t>
  </si>
  <si>
    <t>CHE0001520</t>
  </si>
  <si>
    <t>CHE0001521</t>
  </si>
  <si>
    <t>CHE 0001465</t>
  </si>
  <si>
    <t>CHE 0001466</t>
  </si>
  <si>
    <t>CHE 0001467</t>
  </si>
  <si>
    <t>CHE 0001468</t>
  </si>
  <si>
    <t>CHE 0001469</t>
  </si>
  <si>
    <t>CHE 0001470</t>
  </si>
  <si>
    <t>CHE 0001471</t>
  </si>
  <si>
    <t>CHE 0001472</t>
  </si>
  <si>
    <t>CHE 0001473</t>
  </si>
  <si>
    <t>CHE 0001474</t>
  </si>
  <si>
    <t>CHE 0001475</t>
  </si>
  <si>
    <t>CHE 0001476</t>
  </si>
  <si>
    <t>CHE 0001477</t>
  </si>
  <si>
    <t>CHE 0001478</t>
  </si>
  <si>
    <t>CHE 0001479</t>
  </si>
  <si>
    <t>CHE 0001480</t>
  </si>
  <si>
    <t>CHE0001474</t>
  </si>
  <si>
    <t>CHE 0001481</t>
  </si>
  <si>
    <t>CHE 0001482</t>
  </si>
  <si>
    <t>CHE 0001483</t>
  </si>
  <si>
    <t>CHE 0001484</t>
  </si>
  <si>
    <t>CHE 0001485</t>
  </si>
  <si>
    <t>CHE 0001486</t>
  </si>
  <si>
    <t>CHE 0001487</t>
  </si>
  <si>
    <t>CHE 0001488</t>
  </si>
  <si>
    <t>CHE 0001489</t>
  </si>
  <si>
    <t>CHE 0001490</t>
  </si>
  <si>
    <t>CHE 0001491</t>
  </si>
  <si>
    <t>CHE 0001492</t>
  </si>
  <si>
    <t>CHE 0001493</t>
  </si>
  <si>
    <t>CHE 0001494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</si>
</sst>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#,##0_ ;[Red]\-#,##0\ 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FangSong"/>
      <family val="3"/>
    </font>
    <font>
      <sz val="11"/>
      <color indexed="8"/>
      <name val="FangSong"/>
      <family val="3"/>
    </font>
    <font>
      <b/>
      <sz val="10"/>
      <color indexed="8"/>
      <name val="Calibri"/>
      <family val="2"/>
    </font>
    <font>
      <b/>
      <sz val="11"/>
      <color indexed="8"/>
      <name val="FangSong"/>
      <family val="3"/>
    </font>
    <font>
      <b/>
      <sz val="10"/>
      <color theme="0"/>
      <name val="Aptos Narrow"/>
      <family val="2"/>
      <scheme val="minor"/>
    </font>
    <font>
      <b/>
      <sz val="8"/>
      <color rgb="FF000000"/>
      <name val="Calibri"/>
      <family val="2"/>
      <charset val="134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1"/>
      <name val="FangSong"/>
      <family val="3"/>
    </font>
    <font>
      <b/>
      <sz val="14"/>
      <color rgb="FF000000"/>
      <name val="FangSong"/>
      <family val="3"/>
    </font>
    <font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sz val="14"/>
      <color rgb="FF000000"/>
      <name val="FangSong"/>
      <family val="3"/>
    </font>
    <font>
      <sz val="14"/>
      <color theme="1"/>
      <name val="FangSong"/>
      <family val="3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DCDB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B2EE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64" fontId="12" fillId="0" borderId="0" applyFont="0" applyFill="0" applyBorder="0" applyAlignment="0" applyProtection="0"/>
  </cellStyleXfs>
  <cellXfs count="101">
    <xf numFmtId="0" fontId="0" fillId="0" borderId="0" xfId="0"/>
    <xf numFmtId="17" fontId="0" fillId="0" borderId="0" xfId="0" applyNumberFormat="1"/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40" fontId="0" fillId="0" borderId="0" xfId="1" applyNumberFormat="1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40" fontId="2" fillId="0" borderId="1" xfId="1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left"/>
    </xf>
    <xf numFmtId="0" fontId="9" fillId="0" borderId="2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4" borderId="2" xfId="0" applyFont="1" applyFill="1" applyBorder="1"/>
    <xf numFmtId="0" fontId="10" fillId="5" borderId="2" xfId="0" applyFont="1" applyFill="1" applyBorder="1"/>
    <xf numFmtId="0" fontId="10" fillId="6" borderId="2" xfId="0" applyFont="1" applyFill="1" applyBorder="1"/>
    <xf numFmtId="0" fontId="10" fillId="4" borderId="2" xfId="0" quotePrefix="1" applyFont="1" applyFill="1" applyBorder="1"/>
    <xf numFmtId="0" fontId="10" fillId="7" borderId="2" xfId="0" applyFont="1" applyFill="1" applyBorder="1"/>
    <xf numFmtId="0" fontId="10" fillId="0" borderId="2" xfId="0" applyFont="1" applyBorder="1"/>
    <xf numFmtId="0" fontId="10" fillId="8" borderId="2" xfId="0" applyFont="1" applyFill="1" applyBorder="1"/>
    <xf numFmtId="0" fontId="11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7" fontId="6" fillId="2" borderId="2" xfId="0" applyNumberFormat="1" applyFont="1" applyFill="1" applyBorder="1" applyAlignment="1">
      <alignment horizontal="center" vertical="center" wrapText="1"/>
    </xf>
    <xf numFmtId="17" fontId="8" fillId="2" borderId="2" xfId="0" applyNumberFormat="1" applyFont="1" applyFill="1" applyBorder="1" applyAlignment="1">
      <alignment horizontal="center" vertical="center" wrapText="1"/>
    </xf>
    <xf numFmtId="40" fontId="6" fillId="2" borderId="2" xfId="1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3" fontId="0" fillId="3" borderId="4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43" fontId="0" fillId="0" borderId="2" xfId="1" applyFont="1" applyBorder="1" applyAlignment="1">
      <alignment vertical="center"/>
    </xf>
    <xf numFmtId="17" fontId="0" fillId="0" borderId="2" xfId="0" applyNumberFormat="1" applyBorder="1" applyAlignment="1">
      <alignment vertical="center"/>
    </xf>
    <xf numFmtId="43" fontId="0" fillId="10" borderId="2" xfId="1" applyFont="1" applyFill="1" applyBorder="1" applyAlignment="1">
      <alignment vertical="center" wrapText="1"/>
    </xf>
    <xf numFmtId="17" fontId="0" fillId="10" borderId="2" xfId="0" applyNumberForma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166" fontId="0" fillId="0" borderId="0" xfId="0" applyNumberFormat="1"/>
    <xf numFmtId="165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0" fontId="4" fillId="11" borderId="0" xfId="0" applyFont="1" applyFill="1" applyAlignment="1">
      <alignment horizontal="center" vertical="center"/>
    </xf>
    <xf numFmtId="17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3" fontId="0" fillId="11" borderId="0" xfId="1" applyFont="1" applyFill="1" applyAlignment="1">
      <alignment horizontal="center" vertical="center"/>
    </xf>
    <xf numFmtId="165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3" fontId="13" fillId="0" borderId="0" xfId="1" applyFont="1" applyFill="1" applyAlignment="1">
      <alignment horizontal="center" vertical="center"/>
    </xf>
    <xf numFmtId="0" fontId="0" fillId="0" borderId="2" xfId="0" applyBorder="1"/>
    <xf numFmtId="43" fontId="0" fillId="13" borderId="2" xfId="1" applyFont="1" applyFill="1" applyBorder="1" applyAlignment="1">
      <alignment vertical="center"/>
    </xf>
    <xf numFmtId="17" fontId="0" fillId="13" borderId="2" xfId="0" applyNumberFormat="1" applyFill="1" applyBorder="1" applyAlignment="1">
      <alignment vertical="center"/>
    </xf>
    <xf numFmtId="0" fontId="0" fillId="10" borderId="2" xfId="0" applyFill="1" applyBorder="1"/>
    <xf numFmtId="0" fontId="0" fillId="0" borderId="2" xfId="0" applyBorder="1" applyAlignment="1">
      <alignment wrapText="1"/>
    </xf>
    <xf numFmtId="0" fontId="0" fillId="0" borderId="0" xfId="0" applyAlignment="1">
      <alignment horizontal="right"/>
    </xf>
    <xf numFmtId="0" fontId="0" fillId="0" borderId="2" xfId="0" quotePrefix="1" applyBorder="1"/>
    <xf numFmtId="0" fontId="15" fillId="10" borderId="2" xfId="0" applyFont="1" applyFill="1" applyBorder="1" applyAlignment="1">
      <alignment horizontal="center" wrapText="1"/>
    </xf>
    <xf numFmtId="0" fontId="16" fillId="4" borderId="1" xfId="0" applyFont="1" applyFill="1" applyBorder="1"/>
    <xf numFmtId="0" fontId="16" fillId="4" borderId="2" xfId="0" applyFont="1" applyFill="1" applyBorder="1"/>
    <xf numFmtId="0" fontId="16" fillId="6" borderId="2" xfId="0" applyFont="1" applyFill="1" applyBorder="1"/>
    <xf numFmtId="0" fontId="16" fillId="0" borderId="2" xfId="0" applyFont="1" applyBorder="1"/>
    <xf numFmtId="0" fontId="16" fillId="8" borderId="2" xfId="0" applyFont="1" applyFill="1" applyBorder="1"/>
    <xf numFmtId="0" fontId="16" fillId="0" borderId="2" xfId="0" applyFont="1" applyBorder="1" applyAlignment="1">
      <alignment horizontal="right" vertical="center"/>
    </xf>
    <xf numFmtId="0" fontId="17" fillId="0" borderId="2" xfId="0" applyFont="1" applyBorder="1"/>
    <xf numFmtId="0" fontId="17" fillId="0" borderId="0" xfId="0" applyFont="1"/>
    <xf numFmtId="0" fontId="17" fillId="0" borderId="5" xfId="0" applyFont="1" applyBorder="1"/>
    <xf numFmtId="0" fontId="15" fillId="9" borderId="2" xfId="0" applyFont="1" applyFill="1" applyBorder="1" applyAlignment="1">
      <alignment horizontal="center"/>
    </xf>
    <xf numFmtId="0" fontId="18" fillId="4" borderId="2" xfId="0" applyFont="1" applyFill="1" applyBorder="1"/>
    <xf numFmtId="0" fontId="18" fillId="4" borderId="2" xfId="0" quotePrefix="1" applyFont="1" applyFill="1" applyBorder="1"/>
    <xf numFmtId="0" fontId="18" fillId="4" borderId="2" xfId="0" applyFont="1" applyFill="1" applyBorder="1" applyAlignment="1">
      <alignment horizontal="left" vertical="center"/>
    </xf>
    <xf numFmtId="0" fontId="19" fillId="12" borderId="2" xfId="0" applyFont="1" applyFill="1" applyBorder="1"/>
    <xf numFmtId="0" fontId="19" fillId="0" borderId="0" xfId="0" applyFont="1"/>
    <xf numFmtId="43" fontId="0" fillId="0" borderId="2" xfId="1" applyFont="1" applyFill="1" applyBorder="1" applyAlignment="1">
      <alignment vertical="center"/>
    </xf>
    <xf numFmtId="0" fontId="20" fillId="14" borderId="2" xfId="0" applyFont="1" applyFill="1" applyBorder="1"/>
    <xf numFmtId="0" fontId="17" fillId="14" borderId="2" xfId="0" applyFont="1" applyFill="1" applyBorder="1"/>
    <xf numFmtId="0" fontId="0" fillId="14" borderId="2" xfId="0" applyFill="1" applyBorder="1"/>
    <xf numFmtId="0" fontId="19" fillId="14" borderId="2" xfId="0" applyFont="1" applyFill="1" applyBorder="1"/>
    <xf numFmtId="165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</cellXfs>
  <cellStyles count="9">
    <cellStyle name="Comma" xfId="1" builtinId="3"/>
    <cellStyle name="Comma 4" xfId="8" xr:uid="{C3F9060D-0F31-4126-9DFD-3A827A59483E}"/>
    <cellStyle name="Normal" xfId="0" builtinId="0"/>
    <cellStyle name="Normal 12" xfId="4" xr:uid="{A4563C3C-049E-4CEC-B7FA-547F3AC26DCD}"/>
    <cellStyle name="Normal 12 2" xfId="6" xr:uid="{3390E943-1665-41FA-BF6E-A070136CA69F}"/>
    <cellStyle name="Normal 12 3" xfId="7" xr:uid="{6B946CB9-39FF-49D5-85AC-B98932249BE6}"/>
    <cellStyle name="Normal 6 2" xfId="2" xr:uid="{65F48333-3B6A-4B46-8B41-26845D1481F9}"/>
    <cellStyle name="Normal 6 2 5 3" xfId="3" xr:uid="{C16B17D3-0315-45C4-9548-A1777EC55C11}"/>
    <cellStyle name="Normal 6 2 5 4" xfId="5" xr:uid="{D1EF467F-38E4-4C92-B4D2-201A2FB49AD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angSong"/>
        <family val="3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A0CFA-BEA0-42CD-9D01-6C75BF94EE77}" name="Table1" displayName="Table1" ref="A1:H560" totalsRowShown="0" headerRowBorderDxfId="10" tableBorderDxfId="11">
  <autoFilter ref="A1:H560" xr:uid="{BF0A0CFA-BEA0-42CD-9D01-6C75BF94EE77}"/>
  <sortState xmlns:xlrd2="http://schemas.microsoft.com/office/spreadsheetml/2017/richdata2" ref="A2:H560">
    <sortCondition ref="C2:C560"/>
    <sortCondition ref="A2:A560"/>
    <sortCondition ref="E2:E560"/>
  </sortState>
  <tableColumns count="8">
    <tableColumn id="1" xr3:uid="{C72BD3E8-7617-485F-9E9B-CCEA4B647979}" name="日期_x000a_Date" dataDxfId="9"/>
    <tableColumn id="2" xr3:uid="{61AAEFEB-5B9D-481E-A808-27B034A8752E}" name="收据编号 _x000a_Official Receipt No" dataDxfId="8"/>
    <tableColumn id="3" xr3:uid="{24D528FD-8A95-4328-8416-A916DD5D2E32}" name="编号 No/" dataDxfId="7"/>
    <tableColumn id="4" xr3:uid="{3954340A-82EB-43E2-A829-7C2980A7FA33}" name="捐款人_x000a_姓名_x000a_Name" dataDxfId="6"/>
    <tableColumn id="5" xr3:uid="{E0972BB5-6C4D-4076-B652-3C89924485CC}" name="START MONTH" dataDxfId="5"/>
    <tableColumn id="6" xr3:uid="{2BD5B354-9C80-462B-83B0-A844A0706B82}" name="END MONTH" dataDxfId="4"/>
    <tableColumn id="7" xr3:uid="{24FCA798-253A-42CE-900C-761BECB8A8F6}" name="No/ of Mth" dataDxfId="3"/>
    <tableColumn id="8" xr3:uid="{9851AC18-47BD-423C-A2DE-15B5B7342F0E}" name="Total Amt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D47F-A395-4E44-A53C-9812EDDE21E3}">
  <dimension ref="A1:S560"/>
  <sheetViews>
    <sheetView tabSelected="1" zoomScale="110" zoomScaleNormal="110" workbookViewId="0">
      <selection activeCell="I1" sqref="I1"/>
    </sheetView>
  </sheetViews>
  <sheetFormatPr defaultRowHeight="19"/>
  <cols>
    <col min="1" max="1" width="14.26953125" style="5" customWidth="1"/>
    <col min="2" max="2" width="16.453125" style="5" bestFit="1" customWidth="1"/>
    <col min="3" max="3" width="9.7265625" style="3" customWidth="1"/>
    <col min="4" max="4" width="19.54296875" style="6" bestFit="1" customWidth="1"/>
    <col min="5" max="5" width="14.1796875" style="1" customWidth="1"/>
    <col min="6" max="6" width="12.26953125" style="1" customWidth="1"/>
    <col min="7" max="7" width="11.1796875" style="3" customWidth="1"/>
    <col min="8" max="8" width="10.26953125" style="7" customWidth="1"/>
    <col min="10" max="10" width="10.54296875" customWidth="1"/>
    <col min="12" max="12" width="15.7265625" customWidth="1"/>
    <col min="13" max="13" width="8.26953125" style="81" customWidth="1"/>
    <col min="14" max="14" width="19" style="88" bestFit="1" customWidth="1"/>
    <col min="15" max="15" width="12.7265625" style="45" customWidth="1"/>
    <col min="16" max="16" width="12.7265625" style="44" customWidth="1"/>
    <col min="17" max="17" width="12.7265625" style="43" customWidth="1"/>
    <col min="18" max="18" width="8.7265625" style="51"/>
  </cols>
  <sheetData>
    <row r="1" spans="1:19" ht="42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0" t="s">
        <v>6</v>
      </c>
      <c r="H1" s="14" t="s">
        <v>7</v>
      </c>
      <c r="K1" s="70" t="s">
        <v>8</v>
      </c>
      <c r="L1" s="69" t="s">
        <v>9</v>
      </c>
      <c r="M1" s="73" t="s">
        <v>10</v>
      </c>
      <c r="N1" s="83" t="s">
        <v>11</v>
      </c>
      <c r="O1" s="48" t="s">
        <v>12</v>
      </c>
      <c r="P1" s="49" t="s">
        <v>13</v>
      </c>
      <c r="Q1" s="50" t="s">
        <v>14</v>
      </c>
    </row>
    <row r="2" spans="1:19">
      <c r="A2" s="16">
        <v>45644</v>
      </c>
      <c r="B2" s="5" t="s">
        <v>15</v>
      </c>
      <c r="C2" s="3">
        <v>3</v>
      </c>
      <c r="D2" s="6" t="s">
        <v>16</v>
      </c>
      <c r="E2" s="2">
        <v>45658</v>
      </c>
      <c r="F2" s="2">
        <v>45689</v>
      </c>
      <c r="G2" s="4">
        <v>2</v>
      </c>
      <c r="H2" s="15">
        <v>100</v>
      </c>
      <c r="K2" s="66">
        <f>IF(L2="CHE", COUNTIF($L$2:L2, "CHE"), "")</f>
        <v>1</v>
      </c>
      <c r="L2" s="66" t="s">
        <v>17</v>
      </c>
      <c r="M2" s="74">
        <v>3</v>
      </c>
      <c r="N2" s="84" t="s">
        <v>16</v>
      </c>
      <c r="O2" s="46">
        <f>SUMIF(C:C,M2,H:H)</f>
        <v>750</v>
      </c>
      <c r="P2" s="47">
        <f>_xlfn.MINIFS($E:$E,$C:$C,$M2)</f>
        <v>45658</v>
      </c>
      <c r="Q2" s="47">
        <f>_xlfn.MAXIFS($F:$F,$C:$C,$M2)</f>
        <v>46082</v>
      </c>
      <c r="R2" s="51">
        <f>DATEDIF(P2,Q2,"M")+1</f>
        <v>15</v>
      </c>
      <c r="S2">
        <f>50*R2</f>
        <v>750</v>
      </c>
    </row>
    <row r="3" spans="1:19">
      <c r="A3" s="16">
        <v>45686</v>
      </c>
      <c r="B3" s="5" t="s">
        <v>19</v>
      </c>
      <c r="C3" s="3">
        <v>3</v>
      </c>
      <c r="D3" s="6" t="s">
        <v>20</v>
      </c>
      <c r="E3" s="2">
        <v>45717</v>
      </c>
      <c r="F3" s="2">
        <v>45809</v>
      </c>
      <c r="G3" s="4">
        <v>4</v>
      </c>
      <c r="H3" s="15">
        <v>200</v>
      </c>
      <c r="K3" s="66">
        <f>IF(L3="CHE", COUNTIF($L$2:L3, "CHE"), "")</f>
        <v>2</v>
      </c>
      <c r="L3" s="66" t="s">
        <v>17</v>
      </c>
      <c r="M3" s="75">
        <v>4</v>
      </c>
      <c r="N3" s="84" t="s">
        <v>18</v>
      </c>
      <c r="O3" s="46">
        <f>SUMIF(C:C,M3,H:H)</f>
        <v>900</v>
      </c>
      <c r="P3" s="47">
        <f>_xlfn.MINIFS($E:$E,$C:$C,$M3)</f>
        <v>45658</v>
      </c>
      <c r="Q3" s="47">
        <f>_xlfn.MAXIFS($F:$F,$C:$C,$M3)</f>
        <v>46174</v>
      </c>
      <c r="R3" s="51">
        <f t="shared" ref="R3:R66" si="0">DATEDIF(P3,Q3,"M")+1</f>
        <v>18</v>
      </c>
      <c r="S3">
        <f t="shared" ref="S3:S66" si="1">50*R3</f>
        <v>900</v>
      </c>
    </row>
    <row r="4" spans="1:19">
      <c r="A4" s="16">
        <v>45854</v>
      </c>
      <c r="B4" s="5" t="s">
        <v>23</v>
      </c>
      <c r="C4" s="3">
        <v>3</v>
      </c>
      <c r="D4" s="6" t="s">
        <v>16</v>
      </c>
      <c r="E4" s="2">
        <v>45839</v>
      </c>
      <c r="F4" s="2">
        <v>45870</v>
      </c>
      <c r="G4" s="4">
        <v>2</v>
      </c>
      <c r="H4" s="15">
        <v>100</v>
      </c>
      <c r="K4" s="66" t="str">
        <f>IF(L4="CHE", COUNTIF($L$2:L4, "CHE"), "")</f>
        <v/>
      </c>
      <c r="L4" s="66" t="s">
        <v>21</v>
      </c>
      <c r="M4" s="75">
        <v>5</v>
      </c>
      <c r="N4" s="84" t="s">
        <v>22</v>
      </c>
      <c r="O4" s="46">
        <f>SUMIF(C:C,M4,H:H)</f>
        <v>0</v>
      </c>
      <c r="P4" s="47">
        <f>_xlfn.MINIFS($E:$E,$C:$C,$M4)</f>
        <v>0</v>
      </c>
      <c r="Q4" s="47">
        <f>_xlfn.MAXIFS($F:$F,$C:$C,$M4)</f>
        <v>0</v>
      </c>
      <c r="R4" s="51">
        <f t="shared" si="0"/>
        <v>1</v>
      </c>
      <c r="S4">
        <f t="shared" si="1"/>
        <v>50</v>
      </c>
    </row>
    <row r="5" spans="1:19">
      <c r="A5" s="16">
        <v>45970</v>
      </c>
      <c r="B5" s="5" t="s">
        <v>25</v>
      </c>
      <c r="C5" s="3">
        <v>3</v>
      </c>
      <c r="D5" s="6" t="s">
        <v>16</v>
      </c>
      <c r="E5" s="2">
        <v>45901</v>
      </c>
      <c r="F5" s="2">
        <v>45931</v>
      </c>
      <c r="G5" s="4">
        <v>2</v>
      </c>
      <c r="H5" s="15">
        <v>100</v>
      </c>
      <c r="K5" s="66">
        <f>IF(L5="CHE", COUNTIF($L$2:L5, "CHE"), "")</f>
        <v>3</v>
      </c>
      <c r="L5" s="66" t="s">
        <v>17</v>
      </c>
      <c r="M5" s="75">
        <v>6</v>
      </c>
      <c r="N5" s="84" t="s">
        <v>24</v>
      </c>
      <c r="O5" s="46">
        <f>SUMIF(C:C,M5,H:H)</f>
        <v>1200</v>
      </c>
      <c r="P5" s="47">
        <f>_xlfn.MINIFS($E:$E,$C:$C,$M5)</f>
        <v>45658</v>
      </c>
      <c r="Q5" s="47">
        <f>_xlfn.MAXIFS($F:$F,$C:$C,$M5)</f>
        <v>46357</v>
      </c>
      <c r="R5" s="51">
        <f t="shared" si="0"/>
        <v>24</v>
      </c>
      <c r="S5">
        <f t="shared" si="1"/>
        <v>1200</v>
      </c>
    </row>
    <row r="6" spans="1:19">
      <c r="A6" s="16">
        <v>46084</v>
      </c>
      <c r="B6" s="5" t="s">
        <v>27</v>
      </c>
      <c r="C6" s="3">
        <v>3</v>
      </c>
      <c r="D6" s="6" t="s">
        <v>16</v>
      </c>
      <c r="E6" s="2">
        <v>45962</v>
      </c>
      <c r="F6" s="2">
        <v>45992</v>
      </c>
      <c r="G6" s="4">
        <v>2</v>
      </c>
      <c r="H6" s="15">
        <v>100</v>
      </c>
      <c r="K6" s="66">
        <f>IF(L6="CHE", COUNTIF($L$2:L6, "CHE"), "")</f>
        <v>4</v>
      </c>
      <c r="L6" s="66" t="s">
        <v>17</v>
      </c>
      <c r="M6" s="75">
        <v>10</v>
      </c>
      <c r="N6" s="84" t="s">
        <v>26</v>
      </c>
      <c r="O6" s="89">
        <f>SUMIF(C:C,M6,H:H)</f>
        <v>600</v>
      </c>
      <c r="P6" s="47">
        <f>_xlfn.MINIFS($E:$E,$C:$C,$M6)</f>
        <v>46023</v>
      </c>
      <c r="Q6" s="47">
        <f>_xlfn.MAXIFS($F:$F,$C:$C,$M6)</f>
        <v>46357</v>
      </c>
      <c r="R6" s="51">
        <f t="shared" si="0"/>
        <v>12</v>
      </c>
      <c r="S6">
        <f t="shared" si="1"/>
        <v>600</v>
      </c>
    </row>
    <row r="7" spans="1:19">
      <c r="A7" s="16">
        <v>46096</v>
      </c>
      <c r="B7" s="5" t="s">
        <v>29</v>
      </c>
      <c r="C7" s="3">
        <v>3</v>
      </c>
      <c r="D7" s="6" t="s">
        <v>16</v>
      </c>
      <c r="E7" s="2">
        <v>46023</v>
      </c>
      <c r="F7" s="2">
        <v>46054</v>
      </c>
      <c r="G7" s="4">
        <v>2</v>
      </c>
      <c r="H7" s="15">
        <v>100</v>
      </c>
      <c r="K7" s="66">
        <f>IF(L7="CHE", COUNTIF($L$2:L7, "CHE"), "")</f>
        <v>5</v>
      </c>
      <c r="L7" s="66" t="s">
        <v>17</v>
      </c>
      <c r="M7" s="75">
        <v>11</v>
      </c>
      <c r="N7" s="84" t="s">
        <v>28</v>
      </c>
      <c r="O7" s="46">
        <f>SUMIF(C:C,M7,H:H)</f>
        <v>1200</v>
      </c>
      <c r="P7" s="47">
        <f>_xlfn.MINIFS($E:$E,$C:$C,$M7)</f>
        <v>45658</v>
      </c>
      <c r="Q7" s="47">
        <f>_xlfn.MAXIFS($F:$F,$C:$C,$M7)</f>
        <v>46357</v>
      </c>
      <c r="R7" s="51">
        <f t="shared" si="0"/>
        <v>24</v>
      </c>
      <c r="S7">
        <f t="shared" si="1"/>
        <v>1200</v>
      </c>
    </row>
    <row r="8" spans="1:19">
      <c r="A8" s="16">
        <v>46096</v>
      </c>
      <c r="B8" s="5" t="s">
        <v>31</v>
      </c>
      <c r="C8" s="3">
        <v>3</v>
      </c>
      <c r="D8" s="6" t="s">
        <v>16</v>
      </c>
      <c r="E8" s="2">
        <v>46082</v>
      </c>
      <c r="F8" s="2">
        <v>46082</v>
      </c>
      <c r="G8" s="4">
        <v>1</v>
      </c>
      <c r="H8" s="15">
        <v>50</v>
      </c>
      <c r="K8" s="66" t="str">
        <f>IF(L8="CHE", COUNTIF($L$2:L8, "CHE"), "")</f>
        <v/>
      </c>
      <c r="L8" s="66" t="s">
        <v>21</v>
      </c>
      <c r="M8" s="75">
        <v>12</v>
      </c>
      <c r="N8" s="84" t="s">
        <v>30</v>
      </c>
      <c r="O8" s="46">
        <f>SUMIF(C:C,M8,H:H)</f>
        <v>0</v>
      </c>
      <c r="P8" s="47">
        <f>_xlfn.MINIFS($E:$E,$C:$C,$M8)</f>
        <v>0</v>
      </c>
      <c r="Q8" s="47">
        <f>_xlfn.MAXIFS($F:$F,$C:$C,$M8)</f>
        <v>0</v>
      </c>
      <c r="R8" s="51">
        <f t="shared" si="0"/>
        <v>1</v>
      </c>
      <c r="S8">
        <f t="shared" si="1"/>
        <v>50</v>
      </c>
    </row>
    <row r="9" spans="1:19">
      <c r="A9" s="16">
        <v>45665</v>
      </c>
      <c r="B9" s="5" t="s">
        <v>33</v>
      </c>
      <c r="C9" s="3">
        <v>4</v>
      </c>
      <c r="D9" s="6" t="s">
        <v>18</v>
      </c>
      <c r="E9" s="2">
        <v>45658</v>
      </c>
      <c r="F9" s="2">
        <v>45689</v>
      </c>
      <c r="G9" s="4">
        <v>2</v>
      </c>
      <c r="H9" s="15">
        <v>100</v>
      </c>
      <c r="K9" s="66">
        <f>IF(L9="CHE", COUNTIF($L$2:L9, "CHE"), "")</f>
        <v>6</v>
      </c>
      <c r="L9" s="66" t="s">
        <v>17</v>
      </c>
      <c r="M9" s="75">
        <v>13</v>
      </c>
      <c r="N9" s="84" t="s">
        <v>32</v>
      </c>
      <c r="O9" s="46">
        <f>SUMIF(C:C,M9,H:H)</f>
        <v>700</v>
      </c>
      <c r="P9" s="47">
        <f>_xlfn.MINIFS($E:$E,$C:$C,$M9)</f>
        <v>45658</v>
      </c>
      <c r="Q9" s="47">
        <f>_xlfn.MAXIFS($F:$F,$C:$C,$M9)</f>
        <v>46054</v>
      </c>
      <c r="R9" s="51">
        <f t="shared" si="0"/>
        <v>14</v>
      </c>
      <c r="S9">
        <f t="shared" si="1"/>
        <v>700</v>
      </c>
    </row>
    <row r="10" spans="1:19">
      <c r="A10" s="16">
        <v>45749</v>
      </c>
      <c r="B10" s="5" t="s">
        <v>35</v>
      </c>
      <c r="C10" s="3">
        <v>4</v>
      </c>
      <c r="D10" s="6" t="s">
        <v>18</v>
      </c>
      <c r="E10" s="2">
        <v>45717</v>
      </c>
      <c r="F10" s="2">
        <v>45748</v>
      </c>
      <c r="G10" s="4">
        <v>2</v>
      </c>
      <c r="H10" s="15">
        <v>100</v>
      </c>
      <c r="K10" s="66">
        <f>IF(L10="CHE", COUNTIF($L$2:L10, "CHE"), "")</f>
        <v>7</v>
      </c>
      <c r="L10" s="66" t="s">
        <v>17</v>
      </c>
      <c r="M10" s="75">
        <v>14</v>
      </c>
      <c r="N10" s="84" t="s">
        <v>34</v>
      </c>
      <c r="O10" s="46">
        <f>SUMIF(C:C,M10,H:H)</f>
        <v>700</v>
      </c>
      <c r="P10" s="47">
        <f>_xlfn.MINIFS($E:$E,$C:$C,$M10)</f>
        <v>45597</v>
      </c>
      <c r="Q10" s="47">
        <f>_xlfn.MAXIFS($F:$F,$C:$C,$M10)</f>
        <v>45992</v>
      </c>
      <c r="R10" s="51">
        <f t="shared" si="0"/>
        <v>14</v>
      </c>
      <c r="S10">
        <f t="shared" si="1"/>
        <v>700</v>
      </c>
    </row>
    <row r="11" spans="1:19">
      <c r="A11" s="16">
        <v>45811</v>
      </c>
      <c r="B11" s="5" t="s">
        <v>37</v>
      </c>
      <c r="C11" s="3">
        <v>4</v>
      </c>
      <c r="D11" s="6" t="s">
        <v>18</v>
      </c>
      <c r="E11" s="2">
        <v>45778</v>
      </c>
      <c r="F11" s="2">
        <v>45809</v>
      </c>
      <c r="G11" s="4">
        <v>2</v>
      </c>
      <c r="H11" s="15">
        <v>100</v>
      </c>
      <c r="K11" s="66">
        <f>IF(L11="CHE", COUNTIF($L$2:L11, "CHE"), "")</f>
        <v>8</v>
      </c>
      <c r="L11" s="66" t="s">
        <v>17</v>
      </c>
      <c r="M11" s="75">
        <v>17</v>
      </c>
      <c r="N11" s="84" t="s">
        <v>36</v>
      </c>
      <c r="O11" s="46">
        <f>SUMIF(C:C,M11,H:H)</f>
        <v>300</v>
      </c>
      <c r="P11" s="47">
        <f>_xlfn.MINIFS($E:$E,$C:$C,$M11)</f>
        <v>45658</v>
      </c>
      <c r="Q11" s="47">
        <f>_xlfn.MAXIFS($F:$F,$C:$C,$M11)</f>
        <v>45809</v>
      </c>
      <c r="R11" s="51">
        <f t="shared" si="0"/>
        <v>6</v>
      </c>
      <c r="S11">
        <f t="shared" si="1"/>
        <v>300</v>
      </c>
    </row>
    <row r="12" spans="1:19">
      <c r="A12" s="16">
        <v>45840</v>
      </c>
      <c r="B12" s="5" t="s">
        <v>40</v>
      </c>
      <c r="C12" s="3">
        <v>4</v>
      </c>
      <c r="D12" s="6" t="s">
        <v>18</v>
      </c>
      <c r="E12" s="2">
        <v>45839</v>
      </c>
      <c r="F12" s="2">
        <v>45870</v>
      </c>
      <c r="G12" s="4">
        <v>2</v>
      </c>
      <c r="H12" s="15">
        <v>100</v>
      </c>
      <c r="K12" s="66" t="str">
        <f>IF(L12="CHE", COUNTIF($L$2:L12, "CHE"), "")</f>
        <v/>
      </c>
      <c r="L12" s="72" t="s">
        <v>38</v>
      </c>
      <c r="M12" s="75">
        <v>18</v>
      </c>
      <c r="N12" s="84" t="s">
        <v>39</v>
      </c>
      <c r="O12" s="46">
        <f>SUMIF(C:C,M12,H:H)</f>
        <v>350</v>
      </c>
      <c r="P12" s="47">
        <f>_xlfn.MINIFS($E:$E,$C:$C,$M12)</f>
        <v>45505</v>
      </c>
      <c r="Q12" s="47">
        <f>_xlfn.MAXIFS($F:$F,$C:$C,$M12)</f>
        <v>45689</v>
      </c>
      <c r="R12" s="51">
        <f t="shared" si="0"/>
        <v>7</v>
      </c>
      <c r="S12">
        <f t="shared" si="1"/>
        <v>350</v>
      </c>
    </row>
    <row r="13" spans="1:19">
      <c r="A13" s="16">
        <v>45922</v>
      </c>
      <c r="B13" s="5" t="s">
        <v>42</v>
      </c>
      <c r="C13" s="3">
        <v>4</v>
      </c>
      <c r="D13" s="6" t="s">
        <v>18</v>
      </c>
      <c r="E13" s="2">
        <v>45901</v>
      </c>
      <c r="F13" s="2">
        <v>45992</v>
      </c>
      <c r="G13" s="4">
        <v>4</v>
      </c>
      <c r="H13" s="15">
        <v>200</v>
      </c>
      <c r="K13" s="66">
        <f>IF(L13="CHE", COUNTIF($L$2:L13, "CHE"), "")</f>
        <v>9</v>
      </c>
      <c r="L13" s="66" t="s">
        <v>17</v>
      </c>
      <c r="M13" s="75">
        <v>19</v>
      </c>
      <c r="N13" s="84" t="s">
        <v>41</v>
      </c>
      <c r="O13" s="46">
        <f>SUMIF(C:C,M13,H:H)</f>
        <v>900</v>
      </c>
      <c r="P13" s="47">
        <f>_xlfn.MINIFS($E:$E,$C:$C,$M13)</f>
        <v>45658</v>
      </c>
      <c r="Q13" s="47">
        <f>_xlfn.MAXIFS($F:$F,$C:$C,$M13)</f>
        <v>46174</v>
      </c>
      <c r="R13" s="51">
        <f t="shared" si="0"/>
        <v>18</v>
      </c>
      <c r="S13">
        <f t="shared" si="1"/>
        <v>900</v>
      </c>
    </row>
    <row r="14" spans="1:19">
      <c r="A14" s="16">
        <v>46015</v>
      </c>
      <c r="B14" s="5" t="s">
        <v>44</v>
      </c>
      <c r="C14" s="3">
        <v>4</v>
      </c>
      <c r="D14" s="6" t="s">
        <v>18</v>
      </c>
      <c r="E14" s="2">
        <v>46023</v>
      </c>
      <c r="F14" s="2">
        <v>46082</v>
      </c>
      <c r="G14" s="4">
        <v>3</v>
      </c>
      <c r="H14" s="15">
        <v>150</v>
      </c>
      <c r="K14" s="66" t="str">
        <f>IF(L14="CHE", COUNTIF($L$2:L14, "CHE"), "")</f>
        <v/>
      </c>
      <c r="L14" s="66" t="s">
        <v>21</v>
      </c>
      <c r="M14" s="75">
        <v>22</v>
      </c>
      <c r="N14" s="84" t="s">
        <v>43</v>
      </c>
      <c r="O14" s="46">
        <f>SUMIF(C:C,M14,H:H)</f>
        <v>0</v>
      </c>
      <c r="P14" s="47">
        <f>_xlfn.MINIFS($E:$E,$C:$C,$M14)</f>
        <v>0</v>
      </c>
      <c r="Q14" s="47">
        <f>_xlfn.MAXIFS($F:$F,$C:$C,$M14)</f>
        <v>0</v>
      </c>
      <c r="R14" s="51">
        <f t="shared" si="0"/>
        <v>1</v>
      </c>
      <c r="S14">
        <f t="shared" si="1"/>
        <v>50</v>
      </c>
    </row>
    <row r="15" spans="1:19">
      <c r="A15" s="16">
        <v>46118</v>
      </c>
      <c r="B15" s="5" t="s">
        <v>762</v>
      </c>
      <c r="C15" s="3">
        <v>4</v>
      </c>
      <c r="D15" s="6" t="s">
        <v>18</v>
      </c>
      <c r="E15" s="2">
        <v>46113</v>
      </c>
      <c r="F15" s="2">
        <v>46174</v>
      </c>
      <c r="G15" s="4">
        <v>3</v>
      </c>
      <c r="H15" s="15">
        <v>150</v>
      </c>
      <c r="K15" s="66">
        <f>IF(L15="CHE", COUNTIF($L$2:L15, "CHE"), "")</f>
        <v>10</v>
      </c>
      <c r="L15" s="66" t="s">
        <v>17</v>
      </c>
      <c r="M15" s="75">
        <v>23</v>
      </c>
      <c r="N15" s="84" t="s">
        <v>45</v>
      </c>
      <c r="O15" s="46">
        <f>SUMIF(C:C,M15,H:H)</f>
        <v>900</v>
      </c>
      <c r="P15" s="47">
        <f>_xlfn.MINIFS($E:$E,$C:$C,$M15)</f>
        <v>45658</v>
      </c>
      <c r="Q15" s="47">
        <f>_xlfn.MAXIFS($F:$F,$C:$C,$M15)</f>
        <v>46174</v>
      </c>
      <c r="R15" s="51">
        <f t="shared" si="0"/>
        <v>18</v>
      </c>
      <c r="S15">
        <f t="shared" si="1"/>
        <v>900</v>
      </c>
    </row>
    <row r="16" spans="1:19">
      <c r="A16" s="16">
        <v>45698</v>
      </c>
      <c r="B16" s="5" t="s">
        <v>46</v>
      </c>
      <c r="C16" s="3">
        <v>6</v>
      </c>
      <c r="D16" s="6" t="s">
        <v>24</v>
      </c>
      <c r="E16" s="2">
        <v>45658</v>
      </c>
      <c r="F16" s="2">
        <v>45992</v>
      </c>
      <c r="G16" s="4">
        <v>12</v>
      </c>
      <c r="H16" s="15">
        <v>600</v>
      </c>
      <c r="K16" s="66" t="str">
        <f>IF(L16="CHE", COUNTIF($L$2:L16, "CHE"), "")</f>
        <v/>
      </c>
      <c r="L16" s="72" t="s">
        <v>38</v>
      </c>
      <c r="M16" s="75">
        <v>24</v>
      </c>
      <c r="N16" s="84" t="s">
        <v>47</v>
      </c>
      <c r="O16" s="46">
        <f>SUMIF(C:C,M16,H:H)</f>
        <v>750</v>
      </c>
      <c r="P16" s="47">
        <f>_xlfn.MINIFS($E:$E,$C:$C,$M16)</f>
        <v>45566</v>
      </c>
      <c r="Q16" s="47">
        <f>_xlfn.MAXIFS($F:$F,$C:$C,$M16)</f>
        <v>45992</v>
      </c>
      <c r="R16" s="51">
        <f t="shared" si="0"/>
        <v>15</v>
      </c>
      <c r="S16">
        <f t="shared" si="1"/>
        <v>750</v>
      </c>
    </row>
    <row r="17" spans="1:19">
      <c r="A17" s="16">
        <v>46084</v>
      </c>
      <c r="C17" s="3">
        <v>6</v>
      </c>
      <c r="D17" s="6" t="s">
        <v>24</v>
      </c>
      <c r="E17" s="2">
        <v>46023</v>
      </c>
      <c r="F17" s="2">
        <v>46357</v>
      </c>
      <c r="G17" s="4">
        <v>12</v>
      </c>
      <c r="H17" s="15">
        <v>600</v>
      </c>
      <c r="K17" s="66">
        <f>IF(L17="CHE", COUNTIF($L$2:L17, "CHE"), "")</f>
        <v>11</v>
      </c>
      <c r="L17" s="66" t="s">
        <v>17</v>
      </c>
      <c r="M17" s="75">
        <v>25</v>
      </c>
      <c r="N17" s="84" t="s">
        <v>48</v>
      </c>
      <c r="O17" s="46">
        <f>SUMIF(C:C,M17,H:H)</f>
        <v>1200</v>
      </c>
      <c r="P17" s="47">
        <f>_xlfn.MINIFS($E:$E,$C:$C,$M17)</f>
        <v>45658</v>
      </c>
      <c r="Q17" s="47">
        <f>_xlfn.MAXIFS($F:$F,$C:$C,$M17)</f>
        <v>46357</v>
      </c>
      <c r="R17" s="51">
        <f t="shared" si="0"/>
        <v>24</v>
      </c>
      <c r="S17">
        <f t="shared" si="1"/>
        <v>1200</v>
      </c>
    </row>
    <row r="18" spans="1:19">
      <c r="A18" s="16">
        <v>46055</v>
      </c>
      <c r="B18" s="5" t="s">
        <v>49</v>
      </c>
      <c r="C18" s="3">
        <v>10</v>
      </c>
      <c r="D18" s="6" t="s">
        <v>26</v>
      </c>
      <c r="E18" s="2">
        <v>46023</v>
      </c>
      <c r="F18" s="2">
        <v>46357</v>
      </c>
      <c r="G18" s="4">
        <v>12</v>
      </c>
      <c r="H18" s="15">
        <v>600</v>
      </c>
      <c r="K18" s="66" t="str">
        <f>IF(L18="CHE", COUNTIF($L$2:L18, "CHE"), "")</f>
        <v/>
      </c>
      <c r="L18" s="66" t="s">
        <v>21</v>
      </c>
      <c r="M18" s="75">
        <v>28</v>
      </c>
      <c r="N18" s="84" t="s">
        <v>50</v>
      </c>
      <c r="O18" s="46">
        <f>SUMIF(C:C,M18,H:H)</f>
        <v>0</v>
      </c>
      <c r="P18" s="47">
        <f>_xlfn.MINIFS($E:$E,$C:$C,$M18)</f>
        <v>0</v>
      </c>
      <c r="Q18" s="47">
        <f>_xlfn.MAXIFS($F:$F,$C:$C,$M18)</f>
        <v>0</v>
      </c>
      <c r="R18" s="51">
        <f t="shared" si="0"/>
        <v>1</v>
      </c>
      <c r="S18">
        <f t="shared" si="1"/>
        <v>50</v>
      </c>
    </row>
    <row r="19" spans="1:19">
      <c r="A19" s="16">
        <v>45686</v>
      </c>
      <c r="B19" s="5" t="s">
        <v>51</v>
      </c>
      <c r="C19" s="3">
        <v>11</v>
      </c>
      <c r="D19" s="6" t="s">
        <v>28</v>
      </c>
      <c r="E19" s="2">
        <v>45658</v>
      </c>
      <c r="F19" s="2">
        <v>45992</v>
      </c>
      <c r="G19" s="4">
        <v>12</v>
      </c>
      <c r="H19" s="15">
        <v>600</v>
      </c>
      <c r="K19" s="66" t="str">
        <f>IF(L19="CHE", COUNTIF($L$2:L19, "CHE"), "")</f>
        <v/>
      </c>
      <c r="L19" s="72" t="s">
        <v>38</v>
      </c>
      <c r="M19" s="75">
        <v>29</v>
      </c>
      <c r="N19" s="84" t="s">
        <v>52</v>
      </c>
      <c r="O19" s="46">
        <f>SUMIF(C:C,M19,H:H)</f>
        <v>650</v>
      </c>
      <c r="P19" s="47">
        <f>_xlfn.MINIFS($E:$E,$C:$C,$M19)</f>
        <v>45627</v>
      </c>
      <c r="Q19" s="47">
        <f>_xlfn.MAXIFS($F:$F,$C:$C,$M19)</f>
        <v>45992</v>
      </c>
      <c r="R19" s="51">
        <f t="shared" si="0"/>
        <v>13</v>
      </c>
      <c r="S19">
        <f t="shared" si="1"/>
        <v>650</v>
      </c>
    </row>
    <row r="20" spans="1:19">
      <c r="A20" s="16">
        <v>46025</v>
      </c>
      <c r="B20" s="5" t="s">
        <v>53</v>
      </c>
      <c r="C20" s="3">
        <v>11</v>
      </c>
      <c r="D20" s="6" t="s">
        <v>28</v>
      </c>
      <c r="E20" s="2">
        <v>46023</v>
      </c>
      <c r="F20" s="2">
        <v>46357</v>
      </c>
      <c r="G20" s="4">
        <v>12</v>
      </c>
      <c r="H20" s="15">
        <v>600</v>
      </c>
      <c r="K20" s="66" t="str">
        <f>IF(L20="CHE", COUNTIF($L$2:L20, "CHE"), "")</f>
        <v/>
      </c>
      <c r="L20" s="66" t="s">
        <v>54</v>
      </c>
      <c r="M20" s="75">
        <v>32</v>
      </c>
      <c r="N20" s="84" t="s">
        <v>55</v>
      </c>
      <c r="O20" s="67">
        <f>SUMIF(C:C,M20,H:H)</f>
        <v>0</v>
      </c>
      <c r="P20" s="68">
        <f>_xlfn.MINIFS($E:$E,$C:$C,$M20)</f>
        <v>0</v>
      </c>
      <c r="Q20" s="68">
        <f>_xlfn.MAXIFS($F:$F,$C:$C,$M20)</f>
        <v>0</v>
      </c>
      <c r="R20" s="51">
        <f t="shared" si="0"/>
        <v>1</v>
      </c>
      <c r="S20">
        <f t="shared" si="1"/>
        <v>50</v>
      </c>
    </row>
    <row r="21" spans="1:19">
      <c r="A21" s="16">
        <v>45679</v>
      </c>
      <c r="B21" s="5" t="s">
        <v>56</v>
      </c>
      <c r="C21" s="3">
        <v>13</v>
      </c>
      <c r="D21" s="6" t="s">
        <v>32</v>
      </c>
      <c r="E21" s="2">
        <v>45658</v>
      </c>
      <c r="F21" s="2">
        <v>45689</v>
      </c>
      <c r="G21" s="4">
        <v>2</v>
      </c>
      <c r="H21" s="15">
        <v>100</v>
      </c>
      <c r="K21" s="66">
        <f>IF(L21="CHE", COUNTIF($L$2:L21, "CHE"), "")</f>
        <v>12</v>
      </c>
      <c r="L21" s="66" t="s">
        <v>17</v>
      </c>
      <c r="M21" s="75">
        <v>33</v>
      </c>
      <c r="N21" s="84" t="s">
        <v>57</v>
      </c>
      <c r="O21" s="46">
        <f>SUMIF(C:C,M21,H:H)</f>
        <v>600</v>
      </c>
      <c r="P21" s="47">
        <f>_xlfn.MINIFS($E:$E,$C:$C,$M21)</f>
        <v>45658</v>
      </c>
      <c r="Q21" s="47">
        <f>_xlfn.MAXIFS($F:$F,$C:$C,$M21)</f>
        <v>45992</v>
      </c>
      <c r="R21" s="51">
        <f t="shared" si="0"/>
        <v>12</v>
      </c>
      <c r="S21">
        <f t="shared" si="1"/>
        <v>600</v>
      </c>
    </row>
    <row r="22" spans="1:19">
      <c r="A22" s="16">
        <v>45737</v>
      </c>
      <c r="B22" s="5" t="s">
        <v>58</v>
      </c>
      <c r="C22" s="3">
        <v>13</v>
      </c>
      <c r="D22" s="6" t="s">
        <v>32</v>
      </c>
      <c r="E22" s="2">
        <v>45717</v>
      </c>
      <c r="F22" s="2">
        <v>45992</v>
      </c>
      <c r="G22" s="4">
        <v>10</v>
      </c>
      <c r="H22" s="15">
        <v>500</v>
      </c>
      <c r="K22" s="66" t="str">
        <f>IF(L22="CHE", COUNTIF($L$2:L22, "CHE"), "")</f>
        <v/>
      </c>
      <c r="L22" s="66" t="s">
        <v>21</v>
      </c>
      <c r="M22" s="75">
        <v>35</v>
      </c>
      <c r="N22" s="84" t="s">
        <v>59</v>
      </c>
      <c r="O22" s="46">
        <f>SUMIF(C:C,M22,H:H)</f>
        <v>0</v>
      </c>
      <c r="P22" s="47">
        <f>_xlfn.MINIFS($E:$E,$C:$C,$M22)</f>
        <v>0</v>
      </c>
      <c r="Q22" s="47">
        <f>_xlfn.MAXIFS($F:$F,$C:$C,$M22)</f>
        <v>0</v>
      </c>
      <c r="R22" s="51">
        <f t="shared" si="0"/>
        <v>1</v>
      </c>
      <c r="S22">
        <f t="shared" si="1"/>
        <v>50</v>
      </c>
    </row>
    <row r="23" spans="1:19">
      <c r="A23" s="16">
        <v>46074</v>
      </c>
      <c r="C23" s="3">
        <v>13</v>
      </c>
      <c r="D23" s="6" t="s">
        <v>32</v>
      </c>
      <c r="E23" s="2">
        <v>46023</v>
      </c>
      <c r="F23" s="2">
        <v>46054</v>
      </c>
      <c r="G23" s="4">
        <v>2</v>
      </c>
      <c r="H23" s="15">
        <v>100</v>
      </c>
      <c r="K23" s="66">
        <f>IF(L23="CHE", COUNTIF($L$2:L23, "CHE"), "")</f>
        <v>13</v>
      </c>
      <c r="L23" s="66" t="s">
        <v>17</v>
      </c>
      <c r="M23" s="75">
        <v>36</v>
      </c>
      <c r="N23" s="84" t="s">
        <v>60</v>
      </c>
      <c r="O23" s="46">
        <f>SUMIF(C:C,M23,H:H)</f>
        <v>1200</v>
      </c>
      <c r="P23" s="47">
        <f>_xlfn.MINIFS($E:$E,$C:$C,$M23)</f>
        <v>45658</v>
      </c>
      <c r="Q23" s="47">
        <f>_xlfn.MAXIFS($F:$F,$C:$C,$M23)</f>
        <v>46357</v>
      </c>
      <c r="R23" s="51">
        <f t="shared" si="0"/>
        <v>24</v>
      </c>
      <c r="S23">
        <f t="shared" si="1"/>
        <v>1200</v>
      </c>
    </row>
    <row r="24" spans="1:19">
      <c r="A24" s="16">
        <v>45717</v>
      </c>
      <c r="B24" s="5" t="s">
        <v>61</v>
      </c>
      <c r="C24" s="3">
        <v>14</v>
      </c>
      <c r="D24" s="6" t="s">
        <v>34</v>
      </c>
      <c r="E24" s="2">
        <v>45597</v>
      </c>
      <c r="F24" s="2">
        <v>45748</v>
      </c>
      <c r="G24" s="4">
        <v>6</v>
      </c>
      <c r="H24" s="15">
        <v>300</v>
      </c>
      <c r="K24" s="66">
        <f>IF(L24="CHE", COUNTIF($L$2:L24, "CHE"), "")</f>
        <v>14</v>
      </c>
      <c r="L24" s="66" t="s">
        <v>17</v>
      </c>
      <c r="M24" s="75">
        <v>40</v>
      </c>
      <c r="N24" s="84" t="s">
        <v>62</v>
      </c>
      <c r="O24" s="46">
        <f>SUMIF(C:C,M24,H:H)</f>
        <v>1100</v>
      </c>
      <c r="P24" s="47">
        <f>_xlfn.MINIFS($E:$E,$C:$C,$M24)</f>
        <v>45658</v>
      </c>
      <c r="Q24" s="47">
        <f>_xlfn.MAXIFS($F:$F,$C:$C,$M24)</f>
        <v>46296</v>
      </c>
      <c r="R24" s="51">
        <f t="shared" si="0"/>
        <v>22</v>
      </c>
      <c r="S24">
        <f t="shared" si="1"/>
        <v>1100</v>
      </c>
    </row>
    <row r="25" spans="1:19">
      <c r="A25" s="16">
        <v>45964</v>
      </c>
      <c r="B25" s="5" t="s">
        <v>727</v>
      </c>
      <c r="C25" s="3">
        <v>14</v>
      </c>
      <c r="D25" s="6" t="s">
        <v>34</v>
      </c>
      <c r="E25" s="2">
        <v>45778</v>
      </c>
      <c r="F25" s="2">
        <v>45992</v>
      </c>
      <c r="G25" s="4">
        <v>8</v>
      </c>
      <c r="H25" s="15">
        <v>400</v>
      </c>
      <c r="K25" s="66" t="str">
        <f>IF(L25="CHE", COUNTIF($L$2:L25, "CHE"), "")</f>
        <v/>
      </c>
      <c r="L25" s="66" t="s">
        <v>54</v>
      </c>
      <c r="M25" s="75">
        <v>41</v>
      </c>
      <c r="N25" s="84" t="s">
        <v>63</v>
      </c>
      <c r="O25" s="67">
        <f>SUMIF(C:C,M25,H:H)</f>
        <v>200</v>
      </c>
      <c r="P25" s="68">
        <f>_xlfn.MINIFS($E:$E,$C:$C,$M25)</f>
        <v>45536</v>
      </c>
      <c r="Q25" s="68">
        <f>_xlfn.MAXIFS($F:$F,$C:$C,$M25)</f>
        <v>45627</v>
      </c>
      <c r="R25" s="51">
        <f t="shared" si="0"/>
        <v>4</v>
      </c>
      <c r="S25">
        <f t="shared" si="1"/>
        <v>200</v>
      </c>
    </row>
    <row r="26" spans="1:19">
      <c r="A26" s="16">
        <v>45716</v>
      </c>
      <c r="B26" s="5" t="s">
        <v>64</v>
      </c>
      <c r="C26" s="3">
        <v>17</v>
      </c>
      <c r="D26" s="6" t="s">
        <v>36</v>
      </c>
      <c r="E26" s="2">
        <v>45658</v>
      </c>
      <c r="F26" s="2">
        <v>45809</v>
      </c>
      <c r="G26" s="4">
        <v>6</v>
      </c>
      <c r="H26" s="15">
        <v>300</v>
      </c>
      <c r="K26" s="66">
        <f>IF(L26="CHE", COUNTIF($L$2:L26, "CHE"), "")</f>
        <v>15</v>
      </c>
      <c r="L26" s="66" t="s">
        <v>17</v>
      </c>
      <c r="M26" s="75">
        <v>42</v>
      </c>
      <c r="N26" s="84" t="s">
        <v>65</v>
      </c>
      <c r="O26" s="46">
        <f>SUMIF(C:C,M26,H:H)</f>
        <v>900</v>
      </c>
      <c r="P26" s="47">
        <f>_xlfn.MINIFS($E:$E,$C:$C,$M26)</f>
        <v>45658</v>
      </c>
      <c r="Q26" s="47">
        <f>_xlfn.MAXIFS($F:$F,$C:$C,$M26)</f>
        <v>46174</v>
      </c>
      <c r="R26" s="51">
        <f t="shared" si="0"/>
        <v>18</v>
      </c>
      <c r="S26">
        <f t="shared" si="1"/>
        <v>900</v>
      </c>
    </row>
    <row r="27" spans="1:19">
      <c r="A27" s="16">
        <v>45641</v>
      </c>
      <c r="B27" s="5" t="s">
        <v>66</v>
      </c>
      <c r="C27" s="3">
        <v>18</v>
      </c>
      <c r="D27" s="6" t="s">
        <v>67</v>
      </c>
      <c r="E27" s="2">
        <v>45505</v>
      </c>
      <c r="F27" s="2">
        <v>45627</v>
      </c>
      <c r="G27" s="4">
        <v>5</v>
      </c>
      <c r="H27" s="15">
        <v>250</v>
      </c>
      <c r="K27" s="66">
        <f>IF(L27="CHE", COUNTIF($L$2:L27, "CHE"), "")</f>
        <v>16</v>
      </c>
      <c r="L27" s="66" t="s">
        <v>17</v>
      </c>
      <c r="M27" s="75">
        <v>43</v>
      </c>
      <c r="N27" s="84" t="s">
        <v>68</v>
      </c>
      <c r="O27" s="46">
        <f>SUMIF(C:C,M27,H:H)</f>
        <v>1000</v>
      </c>
      <c r="P27" s="47">
        <f>_xlfn.MINIFS($E:$E,$C:$C,$M27)</f>
        <v>45658</v>
      </c>
      <c r="Q27" s="47">
        <f>_xlfn.MAXIFS($F:$F,$C:$C,$M27)</f>
        <v>46235</v>
      </c>
      <c r="R27" s="51">
        <f t="shared" si="0"/>
        <v>20</v>
      </c>
      <c r="S27">
        <f t="shared" si="1"/>
        <v>1000</v>
      </c>
    </row>
    <row r="28" spans="1:19">
      <c r="A28" s="16">
        <v>45881</v>
      </c>
      <c r="B28" s="5" t="s">
        <v>69</v>
      </c>
      <c r="C28" s="3">
        <v>18</v>
      </c>
      <c r="D28" s="6" t="s">
        <v>39</v>
      </c>
      <c r="E28" s="2">
        <v>45658</v>
      </c>
      <c r="F28" s="2">
        <v>45689</v>
      </c>
      <c r="G28" s="4">
        <v>2</v>
      </c>
      <c r="H28" s="15">
        <v>100</v>
      </c>
      <c r="K28" s="66" t="str">
        <f>IF(L28="CHE", COUNTIF($L$2:L28, "CHE"), "")</f>
        <v/>
      </c>
      <c r="L28" s="66" t="s">
        <v>21</v>
      </c>
      <c r="M28" s="75">
        <v>45</v>
      </c>
      <c r="N28" s="84" t="s">
        <v>70</v>
      </c>
      <c r="O28" s="46">
        <f>SUMIF(C:C,M28,H:H)</f>
        <v>0</v>
      </c>
      <c r="P28" s="47">
        <f>_xlfn.MINIFS($E:$E,$C:$C,$M28)</f>
        <v>0</v>
      </c>
      <c r="Q28" s="47">
        <f>_xlfn.MAXIFS($F:$F,$C:$C,$M28)</f>
        <v>0</v>
      </c>
      <c r="R28" s="51">
        <f t="shared" si="0"/>
        <v>1</v>
      </c>
      <c r="S28">
        <f t="shared" si="1"/>
        <v>50</v>
      </c>
    </row>
    <row r="29" spans="1:19">
      <c r="A29" s="16">
        <v>45660</v>
      </c>
      <c r="B29" s="5" t="s">
        <v>71</v>
      </c>
      <c r="C29" s="3">
        <v>19</v>
      </c>
      <c r="D29" s="6" t="s">
        <v>41</v>
      </c>
      <c r="E29" s="2">
        <v>45658</v>
      </c>
      <c r="F29" s="2">
        <v>45748</v>
      </c>
      <c r="G29" s="4">
        <v>4</v>
      </c>
      <c r="H29" s="15">
        <v>200</v>
      </c>
      <c r="K29" s="66">
        <f>IF(L29="CHE", COUNTIF($L$2:L29, "CHE"), "")</f>
        <v>17</v>
      </c>
      <c r="L29" s="66" t="s">
        <v>17</v>
      </c>
      <c r="M29" s="75">
        <v>48</v>
      </c>
      <c r="N29" s="84" t="s">
        <v>72</v>
      </c>
      <c r="O29" s="46">
        <f>SUMIF(C:C,M29,H:H)</f>
        <v>950</v>
      </c>
      <c r="P29" s="47">
        <f>_xlfn.MINIFS($E:$E,$C:$C,$M29)</f>
        <v>45566</v>
      </c>
      <c r="Q29" s="47">
        <f>_xlfn.MAXIFS($F:$F,$C:$C,$M29)</f>
        <v>46113</v>
      </c>
      <c r="R29" s="51">
        <f t="shared" si="0"/>
        <v>19</v>
      </c>
      <c r="S29">
        <f t="shared" si="1"/>
        <v>950</v>
      </c>
    </row>
    <row r="30" spans="1:19">
      <c r="A30" s="16">
        <v>45849</v>
      </c>
      <c r="B30" s="5" t="s">
        <v>73</v>
      </c>
      <c r="C30" s="3">
        <v>19</v>
      </c>
      <c r="D30" s="6" t="s">
        <v>41</v>
      </c>
      <c r="E30" s="2">
        <v>45778</v>
      </c>
      <c r="F30" s="2">
        <v>45809</v>
      </c>
      <c r="G30" s="4">
        <v>2</v>
      </c>
      <c r="H30" s="15">
        <v>100</v>
      </c>
      <c r="K30" s="66">
        <f>IF(L30="CHE", COUNTIF($L$2:L30, "CHE"), "")</f>
        <v>18</v>
      </c>
      <c r="L30" s="66" t="s">
        <v>17</v>
      </c>
      <c r="M30" s="75">
        <v>50</v>
      </c>
      <c r="N30" s="84" t="s">
        <v>74</v>
      </c>
      <c r="O30" s="46">
        <f>SUMIF(C:C,M30,H:H)</f>
        <v>1200</v>
      </c>
      <c r="P30" s="47">
        <f>_xlfn.MINIFS($E:$E,$C:$C,$M30)</f>
        <v>45658</v>
      </c>
      <c r="Q30" s="47">
        <f>_xlfn.MAXIFS($F:$F,$C:$C,$M30)</f>
        <v>46357</v>
      </c>
      <c r="R30" s="51">
        <f t="shared" si="0"/>
        <v>24</v>
      </c>
      <c r="S30">
        <f t="shared" si="1"/>
        <v>1200</v>
      </c>
    </row>
    <row r="31" spans="1:19">
      <c r="A31" s="16">
        <v>45895</v>
      </c>
      <c r="B31" s="5" t="s">
        <v>75</v>
      </c>
      <c r="C31" s="3">
        <v>19</v>
      </c>
      <c r="D31" s="6" t="s">
        <v>41</v>
      </c>
      <c r="E31" s="2">
        <v>45839</v>
      </c>
      <c r="F31" s="2">
        <v>45992</v>
      </c>
      <c r="G31" s="4">
        <v>6</v>
      </c>
      <c r="H31" s="15">
        <v>300</v>
      </c>
      <c r="K31" s="66">
        <f>IF(L31="CHE", COUNTIF($L$2:L31, "CHE"), "")</f>
        <v>19</v>
      </c>
      <c r="L31" s="66" t="s">
        <v>17</v>
      </c>
      <c r="M31" s="75">
        <v>52</v>
      </c>
      <c r="N31" s="84" t="s">
        <v>76</v>
      </c>
      <c r="O31" s="46">
        <f>SUMIF(C:C,M31,H:H)</f>
        <v>900</v>
      </c>
      <c r="P31" s="47">
        <f>_xlfn.MINIFS($E:$E,$C:$C,$M31)</f>
        <v>45658</v>
      </c>
      <c r="Q31" s="47">
        <f>_xlfn.MAXIFS($F:$F,$C:$C,$M31)</f>
        <v>46174</v>
      </c>
      <c r="R31" s="51">
        <f t="shared" si="0"/>
        <v>18</v>
      </c>
      <c r="S31">
        <f t="shared" si="1"/>
        <v>900</v>
      </c>
    </row>
    <row r="32" spans="1:19">
      <c r="A32" s="16">
        <v>46030</v>
      </c>
      <c r="B32" s="5" t="s">
        <v>77</v>
      </c>
      <c r="C32" s="3">
        <v>19</v>
      </c>
      <c r="D32" s="6" t="s">
        <v>41</v>
      </c>
      <c r="E32" s="2">
        <v>46023</v>
      </c>
      <c r="F32" s="2">
        <v>46174</v>
      </c>
      <c r="G32" s="4">
        <v>6</v>
      </c>
      <c r="H32" s="15">
        <v>300</v>
      </c>
      <c r="K32" s="66">
        <f>IF(L32="CHE", COUNTIF($L$2:L32, "CHE"), "")</f>
        <v>20</v>
      </c>
      <c r="L32" s="66" t="s">
        <v>17</v>
      </c>
      <c r="M32" s="75">
        <v>53</v>
      </c>
      <c r="N32" s="84" t="s">
        <v>78</v>
      </c>
      <c r="O32" s="46">
        <f>SUMIF(C:C,M32,H:H)</f>
        <v>1200</v>
      </c>
      <c r="P32" s="47">
        <f>_xlfn.MINIFS($E:$E,$C:$C,$M32)</f>
        <v>45658</v>
      </c>
      <c r="Q32" s="47">
        <f>_xlfn.MAXIFS($F:$F,$C:$C,$M32)</f>
        <v>46357</v>
      </c>
      <c r="R32" s="51">
        <f t="shared" si="0"/>
        <v>24</v>
      </c>
      <c r="S32">
        <f t="shared" si="1"/>
        <v>1200</v>
      </c>
    </row>
    <row r="33" spans="1:19">
      <c r="A33" s="16">
        <v>45668</v>
      </c>
      <c r="B33" s="5" t="s">
        <v>79</v>
      </c>
      <c r="C33" s="3">
        <v>23</v>
      </c>
      <c r="D33" s="6" t="s">
        <v>80</v>
      </c>
      <c r="E33" s="2">
        <v>45658</v>
      </c>
      <c r="F33" s="2">
        <v>45809</v>
      </c>
      <c r="G33" s="4">
        <v>6</v>
      </c>
      <c r="H33" s="15">
        <v>300</v>
      </c>
      <c r="K33" s="66">
        <f>IF(L33="CHE", COUNTIF($L$2:L33, "CHE"), "")</f>
        <v>21</v>
      </c>
      <c r="L33" s="66" t="s">
        <v>17</v>
      </c>
      <c r="M33" s="75">
        <v>54</v>
      </c>
      <c r="N33" s="84" t="s">
        <v>81</v>
      </c>
      <c r="O33" s="46">
        <f>SUMIF(C:C,M33,H:H)</f>
        <v>800</v>
      </c>
      <c r="P33" s="47">
        <f>_xlfn.MINIFS($E:$E,$C:$C,$M33)</f>
        <v>45658</v>
      </c>
      <c r="Q33" s="47">
        <f>_xlfn.MAXIFS($F:$F,$C:$C,$M33)</f>
        <v>46113</v>
      </c>
      <c r="R33" s="51">
        <f t="shared" si="0"/>
        <v>16</v>
      </c>
      <c r="S33">
        <f t="shared" si="1"/>
        <v>800</v>
      </c>
    </row>
    <row r="34" spans="1:19">
      <c r="A34" s="16">
        <v>45818</v>
      </c>
      <c r="B34" s="5" t="s">
        <v>82</v>
      </c>
      <c r="C34" s="3">
        <v>23</v>
      </c>
      <c r="D34" s="6" t="s">
        <v>45</v>
      </c>
      <c r="E34" s="2">
        <v>45839</v>
      </c>
      <c r="F34" s="2">
        <v>45870</v>
      </c>
      <c r="G34" s="4">
        <v>2</v>
      </c>
      <c r="H34" s="15">
        <v>100</v>
      </c>
      <c r="K34" s="66" t="str">
        <f>IF(L34="CHE", COUNTIF($L$2:L34, "CHE"), "")</f>
        <v/>
      </c>
      <c r="L34" s="72" t="s">
        <v>83</v>
      </c>
      <c r="M34" s="75">
        <v>56</v>
      </c>
      <c r="N34" s="84" t="s">
        <v>84</v>
      </c>
      <c r="O34" s="46">
        <f>SUMIF(C:C,M34,H:H)</f>
        <v>0</v>
      </c>
      <c r="P34" s="47">
        <f>_xlfn.MINIFS($E:$E,$C:$C,$M34)</f>
        <v>0</v>
      </c>
      <c r="Q34" s="47">
        <f>_xlfn.MAXIFS($F:$F,$C:$C,$M34)</f>
        <v>0</v>
      </c>
      <c r="R34" s="51">
        <f t="shared" si="0"/>
        <v>1</v>
      </c>
      <c r="S34">
        <f t="shared" si="1"/>
        <v>50</v>
      </c>
    </row>
    <row r="35" spans="1:19">
      <c r="A35" s="16">
        <v>45940</v>
      </c>
      <c r="B35" s="5" t="s">
        <v>85</v>
      </c>
      <c r="C35" s="3">
        <v>23</v>
      </c>
      <c r="D35" s="6" t="s">
        <v>45</v>
      </c>
      <c r="E35" s="2">
        <v>45901</v>
      </c>
      <c r="F35" s="2">
        <v>45992</v>
      </c>
      <c r="G35" s="4">
        <v>4</v>
      </c>
      <c r="H35" s="15">
        <v>200</v>
      </c>
      <c r="K35" s="66">
        <f>IF(L35="CHE", COUNTIF($L$2:L35, "CHE"), "")</f>
        <v>22</v>
      </c>
      <c r="L35" s="66" t="s">
        <v>17</v>
      </c>
      <c r="M35" s="75">
        <v>61</v>
      </c>
      <c r="N35" s="84" t="s">
        <v>86</v>
      </c>
      <c r="O35" s="46">
        <f>SUMIF(C:C,M35,H:H)</f>
        <v>1200</v>
      </c>
      <c r="P35" s="47">
        <f>_xlfn.MINIFS($E:$E,$C:$C,$M35)</f>
        <v>45839</v>
      </c>
      <c r="Q35" s="47">
        <f>_xlfn.MAXIFS($F:$F,$C:$C,$M35)</f>
        <v>46539</v>
      </c>
      <c r="R35" s="51">
        <f t="shared" si="0"/>
        <v>24</v>
      </c>
      <c r="S35">
        <f t="shared" si="1"/>
        <v>1200</v>
      </c>
    </row>
    <row r="36" spans="1:19">
      <c r="A36" s="16">
        <v>46060</v>
      </c>
      <c r="B36" s="5" t="s">
        <v>89</v>
      </c>
      <c r="C36" s="3">
        <v>23</v>
      </c>
      <c r="D36" s="6" t="s">
        <v>45</v>
      </c>
      <c r="E36" s="2">
        <v>46082</v>
      </c>
      <c r="F36" s="2">
        <v>46113</v>
      </c>
      <c r="G36" s="4">
        <v>2</v>
      </c>
      <c r="H36" s="15">
        <v>100</v>
      </c>
      <c r="K36" s="66">
        <f>IF(L36="CHE", COUNTIF($L$2:L36, "CHE"), "")</f>
        <v>23</v>
      </c>
      <c r="L36" s="66" t="s">
        <v>17</v>
      </c>
      <c r="M36" s="75">
        <v>62</v>
      </c>
      <c r="N36" s="84" t="s">
        <v>88</v>
      </c>
      <c r="O36" s="46">
        <f>SUMIF(C:C,M36,H:H)</f>
        <v>900</v>
      </c>
      <c r="P36" s="47">
        <f>_xlfn.MINIFS($E:$E,$C:$C,$M36)</f>
        <v>45658</v>
      </c>
      <c r="Q36" s="47">
        <f>_xlfn.MAXIFS($F:$F,$C:$C,$M36)</f>
        <v>46174</v>
      </c>
      <c r="R36" s="51">
        <f t="shared" si="0"/>
        <v>18</v>
      </c>
      <c r="S36">
        <f t="shared" si="1"/>
        <v>900</v>
      </c>
    </row>
    <row r="37" spans="1:19">
      <c r="A37" s="16">
        <v>46123</v>
      </c>
      <c r="B37" s="5" t="s">
        <v>767</v>
      </c>
      <c r="C37" s="3">
        <v>23</v>
      </c>
      <c r="D37" s="6" t="s">
        <v>45</v>
      </c>
      <c r="E37" s="2">
        <v>46143</v>
      </c>
      <c r="F37" s="2">
        <v>46174</v>
      </c>
      <c r="G37" s="4">
        <v>2</v>
      </c>
      <c r="H37" s="15">
        <v>100</v>
      </c>
      <c r="K37" s="66" t="str">
        <f>IF(L37="CHE", COUNTIF($L$2:L37, "CHE"), "")</f>
        <v/>
      </c>
      <c r="L37" s="66" t="s">
        <v>21</v>
      </c>
      <c r="M37" s="75">
        <v>63</v>
      </c>
      <c r="N37" s="84" t="s">
        <v>90</v>
      </c>
      <c r="O37" s="46">
        <f>SUMIF(C:C,M37,H:H)</f>
        <v>0</v>
      </c>
      <c r="P37" s="47">
        <f>_xlfn.MINIFS($E:$E,$C:$C,$M37)</f>
        <v>0</v>
      </c>
      <c r="Q37" s="47">
        <f>_xlfn.MAXIFS($F:$F,$C:$C,$M37)</f>
        <v>0</v>
      </c>
      <c r="R37" s="51">
        <f t="shared" si="0"/>
        <v>1</v>
      </c>
      <c r="S37">
        <f t="shared" si="1"/>
        <v>50</v>
      </c>
    </row>
    <row r="38" spans="1:19">
      <c r="A38" s="16">
        <v>46383</v>
      </c>
      <c r="B38" s="5" t="s">
        <v>87</v>
      </c>
      <c r="C38" s="3">
        <v>23</v>
      </c>
      <c r="D38" s="6" t="s">
        <v>45</v>
      </c>
      <c r="E38" s="2">
        <v>46023</v>
      </c>
      <c r="F38" s="2">
        <v>46054</v>
      </c>
      <c r="G38" s="4">
        <v>2</v>
      </c>
      <c r="H38" s="15">
        <v>100</v>
      </c>
      <c r="K38" s="66">
        <f>IF(L38="CHE", COUNTIF($L$2:L38, "CHE"), "")</f>
        <v>24</v>
      </c>
      <c r="L38" s="66" t="s">
        <v>17</v>
      </c>
      <c r="M38" s="75">
        <v>64</v>
      </c>
      <c r="N38" s="84" t="s">
        <v>92</v>
      </c>
      <c r="O38" s="46">
        <f>SUMIF(C:C,M38,H:H)</f>
        <v>1000</v>
      </c>
      <c r="P38" s="47">
        <f>_xlfn.MINIFS($E:$E,$C:$C,$M38)</f>
        <v>45658</v>
      </c>
      <c r="Q38" s="47">
        <f>_xlfn.MAXIFS($F:$F,$C:$C,$M38)</f>
        <v>46235</v>
      </c>
      <c r="R38" s="51">
        <f t="shared" si="0"/>
        <v>20</v>
      </c>
      <c r="S38">
        <f t="shared" si="1"/>
        <v>1000</v>
      </c>
    </row>
    <row r="39" spans="1:19">
      <c r="A39" s="16">
        <v>45641</v>
      </c>
      <c r="B39" s="5" t="s">
        <v>91</v>
      </c>
      <c r="C39" s="3">
        <v>24</v>
      </c>
      <c r="D39" s="6" t="s">
        <v>47</v>
      </c>
      <c r="E39" s="2">
        <v>45566</v>
      </c>
      <c r="F39" s="2">
        <v>45627</v>
      </c>
      <c r="G39" s="4">
        <v>3</v>
      </c>
      <c r="H39" s="15">
        <v>150</v>
      </c>
      <c r="K39" s="66" t="str">
        <f>IF(L39="CHE", COUNTIF($L$2:L39, "CHE"), "")</f>
        <v/>
      </c>
      <c r="L39" s="66" t="s">
        <v>54</v>
      </c>
      <c r="M39" s="75">
        <v>67</v>
      </c>
      <c r="N39" s="84" t="s">
        <v>94</v>
      </c>
      <c r="O39" s="67">
        <f>SUMIF(C:C,M39,H:H)</f>
        <v>150</v>
      </c>
      <c r="P39" s="68">
        <f>_xlfn.MINIFS($E:$E,$C:$C,$M39)</f>
        <v>45566</v>
      </c>
      <c r="Q39" s="68">
        <f>_xlfn.MAXIFS($F:$F,$C:$C,$M39)</f>
        <v>45627</v>
      </c>
      <c r="R39" s="51">
        <f t="shared" si="0"/>
        <v>3</v>
      </c>
      <c r="S39">
        <f t="shared" si="1"/>
        <v>150</v>
      </c>
    </row>
    <row r="40" spans="1:19">
      <c r="A40" s="16">
        <v>45705</v>
      </c>
      <c r="B40" s="5" t="s">
        <v>93</v>
      </c>
      <c r="C40" s="3">
        <v>24</v>
      </c>
      <c r="D40" s="6" t="s">
        <v>47</v>
      </c>
      <c r="E40" s="2">
        <v>45658</v>
      </c>
      <c r="F40" s="2">
        <v>45717</v>
      </c>
      <c r="G40" s="4">
        <v>3</v>
      </c>
      <c r="H40" s="15">
        <v>150</v>
      </c>
      <c r="K40" s="66">
        <f>IF(L40="CHE", COUNTIF($L$2:L40, "CHE"), "")</f>
        <v>25</v>
      </c>
      <c r="L40" s="66" t="s">
        <v>17</v>
      </c>
      <c r="M40" s="75">
        <v>68</v>
      </c>
      <c r="N40" s="84" t="s">
        <v>96</v>
      </c>
      <c r="O40" s="46">
        <f>SUMIF(C:C,M40,H:H)</f>
        <v>900</v>
      </c>
      <c r="P40" s="47">
        <f>_xlfn.MINIFS($E:$E,$C:$C,$M40)</f>
        <v>45658</v>
      </c>
      <c r="Q40" s="47">
        <f>_xlfn.MAXIFS($F:$F,$C:$C,$M40)</f>
        <v>46174</v>
      </c>
      <c r="R40" s="51">
        <f t="shared" si="0"/>
        <v>18</v>
      </c>
      <c r="S40">
        <f t="shared" si="1"/>
        <v>900</v>
      </c>
    </row>
    <row r="41" spans="1:19">
      <c r="A41" s="16">
        <v>45787</v>
      </c>
      <c r="B41" s="5" t="s">
        <v>501</v>
      </c>
      <c r="C41" s="3">
        <v>24</v>
      </c>
      <c r="D41" s="6" t="s">
        <v>47</v>
      </c>
      <c r="E41" s="2">
        <v>45748</v>
      </c>
      <c r="F41" s="2">
        <v>45809</v>
      </c>
      <c r="G41" s="4">
        <v>3</v>
      </c>
      <c r="H41" s="15">
        <v>150</v>
      </c>
      <c r="K41" s="66">
        <f>IF(L41="CHE", COUNTIF($L$2:L41, "CHE"), "")</f>
        <v>26</v>
      </c>
      <c r="L41" s="66" t="s">
        <v>17</v>
      </c>
      <c r="M41" s="75">
        <v>69</v>
      </c>
      <c r="N41" s="84" t="s">
        <v>98</v>
      </c>
      <c r="O41" s="46">
        <f>SUMIF(C:C,M41,H:H)</f>
        <v>900</v>
      </c>
      <c r="P41" s="47">
        <f>_xlfn.MINIFS($E:$E,$C:$C,$M41)</f>
        <v>45658</v>
      </c>
      <c r="Q41" s="47">
        <f>_xlfn.MAXIFS($F:$F,$C:$C,$M41)</f>
        <v>46174</v>
      </c>
      <c r="R41" s="51">
        <f t="shared" si="0"/>
        <v>18</v>
      </c>
      <c r="S41">
        <f t="shared" si="1"/>
        <v>900</v>
      </c>
    </row>
    <row r="42" spans="1:19">
      <c r="A42" s="16">
        <v>45908</v>
      </c>
      <c r="B42" s="5" t="s">
        <v>181</v>
      </c>
      <c r="C42" s="3">
        <v>24</v>
      </c>
      <c r="D42" s="6" t="s">
        <v>47</v>
      </c>
      <c r="E42" s="2">
        <v>45839</v>
      </c>
      <c r="F42" s="2">
        <v>45992</v>
      </c>
      <c r="G42" s="4">
        <v>6</v>
      </c>
      <c r="H42" s="15">
        <v>300</v>
      </c>
      <c r="K42" s="66">
        <f>IF(L42="CHE", COUNTIF($L$2:L42, "CHE"), "")</f>
        <v>27</v>
      </c>
      <c r="L42" s="66" t="s">
        <v>17</v>
      </c>
      <c r="M42" s="75">
        <v>70</v>
      </c>
      <c r="N42" s="84" t="s">
        <v>100</v>
      </c>
      <c r="O42" s="46">
        <f>SUMIF(C:C,M42,H:H)</f>
        <v>650</v>
      </c>
      <c r="P42" s="47">
        <f>_xlfn.MINIFS($E:$E,$C:$C,$M42)</f>
        <v>45658</v>
      </c>
      <c r="Q42" s="47">
        <f>_xlfn.MAXIFS($F:$F,$C:$C,$M42)</f>
        <v>46023</v>
      </c>
      <c r="R42" s="51">
        <f t="shared" si="0"/>
        <v>13</v>
      </c>
      <c r="S42">
        <f t="shared" si="1"/>
        <v>650</v>
      </c>
    </row>
    <row r="43" spans="1:19">
      <c r="A43" s="16">
        <v>45647</v>
      </c>
      <c r="B43" s="5" t="s">
        <v>99</v>
      </c>
      <c r="C43" s="3">
        <v>25</v>
      </c>
      <c r="D43" s="6" t="s">
        <v>48</v>
      </c>
      <c r="E43" s="2">
        <v>45658</v>
      </c>
      <c r="F43" s="2">
        <v>45658</v>
      </c>
      <c r="G43" s="4">
        <v>1</v>
      </c>
      <c r="H43" s="15">
        <v>50</v>
      </c>
      <c r="K43" s="66" t="str">
        <f>IF(L43="CHE", COUNTIF($L$2:L43, "CHE"), "")</f>
        <v/>
      </c>
      <c r="L43" s="72" t="s">
        <v>38</v>
      </c>
      <c r="M43" s="75">
        <v>71</v>
      </c>
      <c r="N43" s="84" t="s">
        <v>102</v>
      </c>
      <c r="O43" s="67">
        <f>SUMIF(C:C,M43,H:H)</f>
        <v>400</v>
      </c>
      <c r="P43" s="68">
        <f>_xlfn.MINIFS($E:$E,$C:$C,$M43)</f>
        <v>45566</v>
      </c>
      <c r="Q43" s="68">
        <f>_xlfn.MAXIFS($F:$F,$C:$C,$M43)</f>
        <v>45778</v>
      </c>
      <c r="R43" s="51">
        <f t="shared" si="0"/>
        <v>8</v>
      </c>
      <c r="S43">
        <f t="shared" si="1"/>
        <v>400</v>
      </c>
    </row>
    <row r="44" spans="1:19">
      <c r="A44" s="16">
        <v>45703</v>
      </c>
      <c r="B44" s="5" t="s">
        <v>101</v>
      </c>
      <c r="C44" s="3">
        <v>25</v>
      </c>
      <c r="D44" s="6" t="s">
        <v>48</v>
      </c>
      <c r="E44" s="2">
        <v>45689</v>
      </c>
      <c r="F44" s="2">
        <v>46023</v>
      </c>
      <c r="G44" s="4">
        <v>12</v>
      </c>
      <c r="H44" s="15">
        <v>600</v>
      </c>
      <c r="K44" s="66">
        <f>IF(L44="CHE", COUNTIF($L$2:L44, "CHE"), "")</f>
        <v>28</v>
      </c>
      <c r="L44" s="66" t="s">
        <v>17</v>
      </c>
      <c r="M44" s="75">
        <v>72</v>
      </c>
      <c r="N44" s="84" t="s">
        <v>104</v>
      </c>
      <c r="O44" s="46">
        <f>SUMIF(C:C,M44,H:H)</f>
        <v>750</v>
      </c>
      <c r="P44" s="47">
        <f>_xlfn.MINIFS($E:$E,$C:$C,$M44)</f>
        <v>45658</v>
      </c>
      <c r="Q44" s="47">
        <f>_xlfn.MAXIFS($F:$F,$C:$C,$M44)</f>
        <v>46082</v>
      </c>
      <c r="R44" s="51">
        <f t="shared" si="0"/>
        <v>15</v>
      </c>
      <c r="S44">
        <f t="shared" si="1"/>
        <v>750</v>
      </c>
    </row>
    <row r="45" spans="1:19">
      <c r="A45" s="16">
        <v>46123</v>
      </c>
      <c r="B45" s="5" t="s">
        <v>776</v>
      </c>
      <c r="C45" s="3">
        <v>25</v>
      </c>
      <c r="D45" s="6" t="s">
        <v>48</v>
      </c>
      <c r="E45" s="2">
        <v>46054</v>
      </c>
      <c r="F45" s="2">
        <v>46357</v>
      </c>
      <c r="G45" s="4">
        <v>11</v>
      </c>
      <c r="H45" s="15">
        <v>550</v>
      </c>
      <c r="K45" s="66">
        <f>IF(L45="CHE", COUNTIF($L$2:L45, "CHE"), "")</f>
        <v>29</v>
      </c>
      <c r="L45" s="66" t="s">
        <v>17</v>
      </c>
      <c r="M45" s="75">
        <v>73</v>
      </c>
      <c r="N45" s="84" t="s">
        <v>106</v>
      </c>
      <c r="O45" s="46">
        <f>SUMIF(C:C,M45,H:H)</f>
        <v>800</v>
      </c>
      <c r="P45" s="47">
        <f>_xlfn.MINIFS($E:$E,$C:$C,$M45)</f>
        <v>45658</v>
      </c>
      <c r="Q45" s="47">
        <f>_xlfn.MAXIFS($F:$F,$C:$C,$M45)</f>
        <v>46113</v>
      </c>
      <c r="R45" s="51">
        <f t="shared" si="0"/>
        <v>16</v>
      </c>
      <c r="S45">
        <f t="shared" si="1"/>
        <v>800</v>
      </c>
    </row>
    <row r="46" spans="1:19">
      <c r="A46" s="16">
        <v>45629</v>
      </c>
      <c r="B46" s="5" t="s">
        <v>103</v>
      </c>
      <c r="C46" s="3">
        <v>29</v>
      </c>
      <c r="D46" s="6" t="s">
        <v>52</v>
      </c>
      <c r="E46" s="2">
        <v>45627</v>
      </c>
      <c r="F46" s="2">
        <v>45627</v>
      </c>
      <c r="G46" s="4">
        <v>1</v>
      </c>
      <c r="H46" s="15">
        <v>50</v>
      </c>
      <c r="K46" s="66">
        <f>IF(L46="CHE", COUNTIF($L$2:L46, "CHE"), "")</f>
        <v>30</v>
      </c>
      <c r="L46" s="66" t="s">
        <v>17</v>
      </c>
      <c r="M46" s="75">
        <v>74</v>
      </c>
      <c r="N46" s="84" t="s">
        <v>108</v>
      </c>
      <c r="O46" s="46">
        <f>SUMIF(C:C,M46,H:H)</f>
        <v>850</v>
      </c>
      <c r="P46" s="47">
        <f>_xlfn.MINIFS($E:$E,$C:$C,$M46)</f>
        <v>45658</v>
      </c>
      <c r="Q46" s="47">
        <f>_xlfn.MAXIFS($F:$F,$C:$C,$M46)</f>
        <v>46143</v>
      </c>
      <c r="R46" s="51">
        <f t="shared" si="0"/>
        <v>17</v>
      </c>
      <c r="S46">
        <f t="shared" si="1"/>
        <v>850</v>
      </c>
    </row>
    <row r="47" spans="1:19">
      <c r="A47" s="16">
        <v>45641</v>
      </c>
      <c r="B47" s="5" t="s">
        <v>105</v>
      </c>
      <c r="C47" s="3">
        <v>29</v>
      </c>
      <c r="D47" s="6" t="s">
        <v>52</v>
      </c>
      <c r="E47" s="2">
        <v>45658</v>
      </c>
      <c r="F47" s="2">
        <v>45658</v>
      </c>
      <c r="G47" s="4">
        <v>1</v>
      </c>
      <c r="H47" s="15">
        <v>50</v>
      </c>
      <c r="K47" s="66" t="str">
        <f>IF(L47="CHE", COUNTIF($L$2:L47, "CHE"), "")</f>
        <v/>
      </c>
      <c r="L47" s="72" t="s">
        <v>110</v>
      </c>
      <c r="M47" s="75">
        <v>75</v>
      </c>
      <c r="N47" s="84" t="s">
        <v>111</v>
      </c>
      <c r="O47" s="46">
        <f>SUMIF(C:C,M47,H:H)</f>
        <v>0</v>
      </c>
      <c r="P47" s="47">
        <f>_xlfn.MINIFS($E:$E,$C:$C,$M47)</f>
        <v>0</v>
      </c>
      <c r="Q47" s="47">
        <f>_xlfn.MAXIFS($F:$F,$C:$C,$M47)</f>
        <v>0</v>
      </c>
      <c r="R47" s="51">
        <f t="shared" si="0"/>
        <v>1</v>
      </c>
      <c r="S47">
        <f t="shared" si="1"/>
        <v>50</v>
      </c>
    </row>
    <row r="48" spans="1:19">
      <c r="A48" s="16">
        <v>45674</v>
      </c>
      <c r="B48" s="5" t="s">
        <v>107</v>
      </c>
      <c r="C48" s="3">
        <v>29</v>
      </c>
      <c r="D48" s="6" t="s">
        <v>52</v>
      </c>
      <c r="E48" s="2">
        <v>45689</v>
      </c>
      <c r="F48" s="2">
        <v>45992</v>
      </c>
      <c r="G48" s="4">
        <v>11</v>
      </c>
      <c r="H48" s="15">
        <v>550</v>
      </c>
      <c r="K48" s="66">
        <f>IF(L48="CHE", COUNTIF($L$2:L48, "CHE"), "")</f>
        <v>31</v>
      </c>
      <c r="L48" s="66" t="s">
        <v>17</v>
      </c>
      <c r="M48" s="75">
        <v>78</v>
      </c>
      <c r="N48" s="84" t="s">
        <v>113</v>
      </c>
      <c r="O48" s="67">
        <f>SUMIF(C:C,M48,H:H)</f>
        <v>1200</v>
      </c>
      <c r="P48" s="68">
        <f>_xlfn.MINIFS($E:$E,$C:$C,$M48)</f>
        <v>45566</v>
      </c>
      <c r="Q48" s="68">
        <f>_xlfn.MAXIFS($F:$F,$C:$C,$M48)</f>
        <v>46174</v>
      </c>
      <c r="R48" s="51">
        <f t="shared" si="0"/>
        <v>21</v>
      </c>
      <c r="S48">
        <f t="shared" si="1"/>
        <v>1050</v>
      </c>
    </row>
    <row r="49" spans="1:19">
      <c r="A49" s="16">
        <v>45700</v>
      </c>
      <c r="B49" s="5" t="s">
        <v>109</v>
      </c>
      <c r="C49" s="3">
        <v>33</v>
      </c>
      <c r="D49" s="6" t="s">
        <v>57</v>
      </c>
      <c r="E49" s="2">
        <v>45658</v>
      </c>
      <c r="F49" s="2">
        <v>45809</v>
      </c>
      <c r="G49" s="4">
        <v>6</v>
      </c>
      <c r="H49" s="15">
        <v>300</v>
      </c>
      <c r="K49" s="66" t="str">
        <f>IF(L49="CHE", COUNTIF($L$2:L49, "CHE"), "")</f>
        <v/>
      </c>
      <c r="L49" s="66" t="s">
        <v>54</v>
      </c>
      <c r="M49" s="75">
        <v>79</v>
      </c>
      <c r="N49" s="84" t="s">
        <v>115</v>
      </c>
      <c r="O49" s="67">
        <f>SUMIF(C:C,M49,H:H)</f>
        <v>250</v>
      </c>
      <c r="P49" s="68">
        <f>_xlfn.MINIFS($E:$E,$C:$C,$M49)</f>
        <v>45536</v>
      </c>
      <c r="Q49" s="68">
        <f>_xlfn.MAXIFS($F:$F,$C:$C,$M49)</f>
        <v>45658</v>
      </c>
      <c r="R49" s="51">
        <f t="shared" si="0"/>
        <v>5</v>
      </c>
      <c r="S49">
        <f t="shared" si="1"/>
        <v>250</v>
      </c>
    </row>
    <row r="50" spans="1:19">
      <c r="A50" s="16">
        <v>45963</v>
      </c>
      <c r="B50" s="5" t="s">
        <v>112</v>
      </c>
      <c r="C50" s="3">
        <v>33</v>
      </c>
      <c r="D50" s="6" t="s">
        <v>57</v>
      </c>
      <c r="E50" s="2">
        <v>45839</v>
      </c>
      <c r="F50" s="2">
        <v>45992</v>
      </c>
      <c r="G50" s="4">
        <v>6</v>
      </c>
      <c r="H50" s="15">
        <v>300</v>
      </c>
      <c r="K50" s="66">
        <f>IF(L50="CHE", COUNTIF($L$2:L50, "CHE"), "")</f>
        <v>32</v>
      </c>
      <c r="L50" s="66" t="s">
        <v>17</v>
      </c>
      <c r="M50" s="75">
        <v>80</v>
      </c>
      <c r="N50" s="84" t="s">
        <v>117</v>
      </c>
      <c r="O50" s="46">
        <f>SUMIF(C:C,M50,H:H)</f>
        <v>900</v>
      </c>
      <c r="P50" s="47">
        <f>_xlfn.MINIFS($E:$E,$C:$C,$M50)</f>
        <v>45597</v>
      </c>
      <c r="Q50" s="47">
        <f>_xlfn.MAXIFS($F:$F,$C:$C,$M50)</f>
        <v>46143</v>
      </c>
      <c r="R50" s="51">
        <f t="shared" si="0"/>
        <v>19</v>
      </c>
      <c r="S50">
        <f t="shared" si="1"/>
        <v>950</v>
      </c>
    </row>
    <row r="51" spans="1:19">
      <c r="A51" s="16">
        <v>45663</v>
      </c>
      <c r="B51" s="5" t="s">
        <v>114</v>
      </c>
      <c r="C51" s="3">
        <v>36</v>
      </c>
      <c r="D51" s="6" t="s">
        <v>60</v>
      </c>
      <c r="E51" s="2">
        <v>45658</v>
      </c>
      <c r="F51" s="2">
        <v>45992</v>
      </c>
      <c r="G51" s="4">
        <v>12</v>
      </c>
      <c r="H51" s="15">
        <v>600</v>
      </c>
      <c r="K51" s="66" t="str">
        <f>IF(L51="CHE", COUNTIF($L$2:L51, "CHE"), "")</f>
        <v/>
      </c>
      <c r="L51" s="72" t="s">
        <v>38</v>
      </c>
      <c r="M51" s="75">
        <v>81</v>
      </c>
      <c r="N51" s="84" t="s">
        <v>120</v>
      </c>
      <c r="O51" s="46">
        <f>SUMIF(C:C,M51,H:H)</f>
        <v>600</v>
      </c>
      <c r="P51" s="47">
        <f>_xlfn.MINIFS($E:$E,$C:$C,$M51)</f>
        <v>45658</v>
      </c>
      <c r="Q51" s="47">
        <f>_xlfn.MAXIFS($F:$F,$C:$C,$M51)</f>
        <v>45992</v>
      </c>
      <c r="R51" s="51">
        <f t="shared" si="0"/>
        <v>12</v>
      </c>
      <c r="S51">
        <f t="shared" si="1"/>
        <v>600</v>
      </c>
    </row>
    <row r="52" spans="1:19">
      <c r="A52" s="16">
        <v>46027</v>
      </c>
      <c r="B52" s="5" t="s">
        <v>116</v>
      </c>
      <c r="C52" s="3">
        <v>36</v>
      </c>
      <c r="D52" s="6" t="s">
        <v>60</v>
      </c>
      <c r="E52" s="2">
        <v>46023</v>
      </c>
      <c r="F52" s="2">
        <v>46357</v>
      </c>
      <c r="G52" s="4">
        <v>12</v>
      </c>
      <c r="H52" s="15">
        <v>600</v>
      </c>
      <c r="K52" s="66" t="str">
        <f>IF(L52="CHE", COUNTIF($L$2:L52, "CHE"), "")</f>
        <v/>
      </c>
      <c r="L52" s="66" t="s">
        <v>21</v>
      </c>
      <c r="M52" s="75">
        <v>82</v>
      </c>
      <c r="N52" s="84" t="s">
        <v>122</v>
      </c>
      <c r="O52" s="46">
        <f>SUMIF(C:C,M52,H:H)</f>
        <v>0</v>
      </c>
      <c r="P52" s="47">
        <f>_xlfn.MINIFS($E:$E,$C:$C,$M52)</f>
        <v>0</v>
      </c>
      <c r="Q52" s="47">
        <f>_xlfn.MAXIFS($F:$F,$C:$C,$M52)</f>
        <v>0</v>
      </c>
      <c r="R52" s="51">
        <f t="shared" si="0"/>
        <v>1</v>
      </c>
      <c r="S52">
        <f t="shared" si="1"/>
        <v>50</v>
      </c>
    </row>
    <row r="53" spans="1:19">
      <c r="A53" s="16">
        <v>45481</v>
      </c>
      <c r="B53" s="5" t="s">
        <v>118</v>
      </c>
      <c r="C53" s="3">
        <v>40</v>
      </c>
      <c r="D53" s="6" t="s">
        <v>119</v>
      </c>
      <c r="E53" s="2">
        <v>45658</v>
      </c>
      <c r="F53" s="2">
        <v>45689</v>
      </c>
      <c r="G53" s="4">
        <v>2</v>
      </c>
      <c r="H53" s="15">
        <v>100</v>
      </c>
      <c r="K53" s="66" t="str">
        <f>IF(L53="CHE", COUNTIF($L$2:L53, "CHE"), "")</f>
        <v/>
      </c>
      <c r="L53" s="72" t="s">
        <v>124</v>
      </c>
      <c r="M53" s="75">
        <v>85</v>
      </c>
      <c r="N53" s="84" t="s">
        <v>125</v>
      </c>
      <c r="O53" s="46">
        <f>SUMIF(C:C,M53,H:H)</f>
        <v>0</v>
      </c>
      <c r="P53" s="47">
        <f>_xlfn.MINIFS($E:$E,$C:$C,$M53)</f>
        <v>0</v>
      </c>
      <c r="Q53" s="47">
        <f>_xlfn.MAXIFS($F:$F,$C:$C,$M53)</f>
        <v>0</v>
      </c>
      <c r="R53" s="51">
        <f t="shared" si="0"/>
        <v>1</v>
      </c>
      <c r="S53">
        <f t="shared" si="1"/>
        <v>50</v>
      </c>
    </row>
    <row r="54" spans="1:19">
      <c r="A54" s="16">
        <v>45518</v>
      </c>
      <c r="B54" s="5" t="s">
        <v>121</v>
      </c>
      <c r="C54" s="3">
        <v>40</v>
      </c>
      <c r="D54" s="6" t="s">
        <v>119</v>
      </c>
      <c r="E54" s="2">
        <v>45717</v>
      </c>
      <c r="F54" s="2">
        <v>45717</v>
      </c>
      <c r="G54" s="4">
        <v>1</v>
      </c>
      <c r="H54" s="15">
        <v>50</v>
      </c>
      <c r="K54" s="66">
        <f>IF(L54="CHE", COUNTIF($L$2:L54, "CHE"), "")</f>
        <v>33</v>
      </c>
      <c r="L54" s="66" t="s">
        <v>17</v>
      </c>
      <c r="M54" s="75">
        <v>86</v>
      </c>
      <c r="N54" s="84" t="s">
        <v>127</v>
      </c>
      <c r="O54" s="67">
        <f>SUMIF(C:C,M54,H:H)</f>
        <v>750</v>
      </c>
      <c r="P54" s="68">
        <f>_xlfn.MINIFS($E:$E,$C:$C,$M54)</f>
        <v>45658</v>
      </c>
      <c r="Q54" s="68">
        <f>_xlfn.MAXIFS($F:$F,$C:$C,$M54)</f>
        <v>46082</v>
      </c>
      <c r="R54" s="51">
        <f t="shared" si="0"/>
        <v>15</v>
      </c>
      <c r="S54">
        <f t="shared" si="1"/>
        <v>750</v>
      </c>
    </row>
    <row r="55" spans="1:19">
      <c r="A55" s="16">
        <v>45695</v>
      </c>
      <c r="B55" s="5" t="s">
        <v>123</v>
      </c>
      <c r="C55" s="3">
        <v>40</v>
      </c>
      <c r="D55" s="6" t="s">
        <v>119</v>
      </c>
      <c r="E55" s="2">
        <v>45748</v>
      </c>
      <c r="F55" s="2">
        <v>45839</v>
      </c>
      <c r="G55" s="4">
        <v>4</v>
      </c>
      <c r="H55" s="15">
        <v>200</v>
      </c>
      <c r="K55" s="66">
        <f>IF(L55="CHE", COUNTIF($L$2:L55, "CHE"), "")</f>
        <v>34</v>
      </c>
      <c r="L55" s="66" t="s">
        <v>17</v>
      </c>
      <c r="M55" s="75">
        <v>87</v>
      </c>
      <c r="N55" s="84" t="s">
        <v>129</v>
      </c>
      <c r="O55" s="46">
        <f>SUMIF(C:C,M55,H:H)</f>
        <v>1200</v>
      </c>
      <c r="P55" s="47">
        <f>_xlfn.MINIFS($E:$E,$C:$C,$M55)</f>
        <v>45658</v>
      </c>
      <c r="Q55" s="47">
        <f>_xlfn.MAXIFS($F:$F,$C:$C,$M55)</f>
        <v>46357</v>
      </c>
      <c r="R55" s="51">
        <f t="shared" si="0"/>
        <v>24</v>
      </c>
      <c r="S55">
        <f t="shared" si="1"/>
        <v>1200</v>
      </c>
    </row>
    <row r="56" spans="1:19">
      <c r="A56" s="16">
        <v>45721</v>
      </c>
      <c r="B56" s="5" t="s">
        <v>126</v>
      </c>
      <c r="C56" s="3">
        <v>40</v>
      </c>
      <c r="D56" s="6" t="s">
        <v>119</v>
      </c>
      <c r="E56" s="2">
        <v>45870</v>
      </c>
      <c r="F56" s="2">
        <v>45931</v>
      </c>
      <c r="G56" s="4">
        <v>3</v>
      </c>
      <c r="H56" s="15">
        <v>150</v>
      </c>
      <c r="K56" s="66">
        <f>IF(L56="CHE", COUNTIF($L$2:L56, "CHE"), "")</f>
        <v>35</v>
      </c>
      <c r="L56" s="66" t="s">
        <v>17</v>
      </c>
      <c r="M56" s="75">
        <v>90</v>
      </c>
      <c r="N56" s="85" t="s">
        <v>131</v>
      </c>
      <c r="O56" s="46">
        <f>SUMIF(C:C,M56,H:H)</f>
        <v>1200</v>
      </c>
      <c r="P56" s="47">
        <f>_xlfn.MINIFS($E:$E,$C:$C,$M56)</f>
        <v>45658</v>
      </c>
      <c r="Q56" s="47">
        <f>_xlfn.MAXIFS($F:$F,$C:$C,$M56)</f>
        <v>46357</v>
      </c>
      <c r="R56" s="51">
        <f t="shared" si="0"/>
        <v>24</v>
      </c>
      <c r="S56">
        <f t="shared" si="1"/>
        <v>1200</v>
      </c>
    </row>
    <row r="57" spans="1:19">
      <c r="A57" s="16">
        <v>45755</v>
      </c>
      <c r="B57" s="5" t="s">
        <v>128</v>
      </c>
      <c r="C57" s="3">
        <v>40</v>
      </c>
      <c r="D57" s="6" t="s">
        <v>62</v>
      </c>
      <c r="E57" s="2">
        <v>45962</v>
      </c>
      <c r="F57" s="2">
        <v>45992</v>
      </c>
      <c r="G57" s="4">
        <v>2</v>
      </c>
      <c r="H57" s="15">
        <v>100</v>
      </c>
      <c r="K57" s="66">
        <f>IF(L57="CHE", COUNTIF($L$2:L57, "CHE"), "")</f>
        <v>36</v>
      </c>
      <c r="L57" s="66" t="s">
        <v>17</v>
      </c>
      <c r="M57" s="75">
        <v>92</v>
      </c>
      <c r="N57" s="84" t="s">
        <v>133</v>
      </c>
      <c r="O57" s="46">
        <f>SUMIF(C:C,M57,H:H)</f>
        <v>900</v>
      </c>
      <c r="P57" s="47">
        <f>_xlfn.MINIFS($E:$E,$C:$C,$M57)</f>
        <v>45658</v>
      </c>
      <c r="Q57" s="47">
        <f>_xlfn.MAXIFS($F:$F,$C:$C,$M57)</f>
        <v>46174</v>
      </c>
      <c r="R57" s="51">
        <f t="shared" si="0"/>
        <v>18</v>
      </c>
      <c r="S57">
        <f t="shared" si="1"/>
        <v>900</v>
      </c>
    </row>
    <row r="58" spans="1:19">
      <c r="A58" s="16">
        <v>45791</v>
      </c>
      <c r="B58" s="5" t="s">
        <v>238</v>
      </c>
      <c r="C58" s="3">
        <v>40</v>
      </c>
      <c r="D58" s="6" t="s">
        <v>62</v>
      </c>
      <c r="E58" s="2">
        <v>46023</v>
      </c>
      <c r="F58" s="2">
        <v>46023</v>
      </c>
      <c r="G58" s="4">
        <v>1</v>
      </c>
      <c r="H58" s="15">
        <v>50</v>
      </c>
      <c r="K58" s="66" t="str">
        <f>IF(L58="CHE", COUNTIF($L$2:L58, "CHE"), "")</f>
        <v/>
      </c>
      <c r="L58" s="66" t="s">
        <v>54</v>
      </c>
      <c r="M58" s="75">
        <v>93</v>
      </c>
      <c r="N58" s="84" t="s">
        <v>134</v>
      </c>
      <c r="O58" s="67">
        <f>SUMIF(C:C,M58,H:H)</f>
        <v>0</v>
      </c>
      <c r="P58" s="68">
        <f>_xlfn.MINIFS($E:$E,$C:$C,$M58)</f>
        <v>0</v>
      </c>
      <c r="Q58" s="68">
        <f>_xlfn.MAXIFS($F:$F,$C:$C,$M58)</f>
        <v>0</v>
      </c>
      <c r="R58" s="51">
        <f t="shared" si="0"/>
        <v>1</v>
      </c>
      <c r="S58">
        <f t="shared" si="1"/>
        <v>50</v>
      </c>
    </row>
    <row r="59" spans="1:19">
      <c r="A59" s="16">
        <v>45817</v>
      </c>
      <c r="B59" s="5" t="s">
        <v>211</v>
      </c>
      <c r="C59" s="3">
        <v>40</v>
      </c>
      <c r="D59" s="6" t="s">
        <v>62</v>
      </c>
      <c r="E59" s="2">
        <v>46054</v>
      </c>
      <c r="F59" s="2">
        <v>46082</v>
      </c>
      <c r="G59" s="4">
        <v>2</v>
      </c>
      <c r="H59" s="15">
        <v>100</v>
      </c>
      <c r="K59" s="66">
        <f>IF(L59="CHE", COUNTIF($L$2:L59, "CHE"), "")</f>
        <v>37</v>
      </c>
      <c r="L59" s="66" t="s">
        <v>17</v>
      </c>
      <c r="M59" s="75">
        <v>94</v>
      </c>
      <c r="N59" s="84" t="s">
        <v>135</v>
      </c>
      <c r="O59" s="46">
        <f>SUMIF(C:C,M59,H:H)</f>
        <v>1050</v>
      </c>
      <c r="P59" s="47">
        <f>_xlfn.MINIFS($E:$E,$C:$C,$M59)</f>
        <v>45839</v>
      </c>
      <c r="Q59" s="47">
        <f>_xlfn.MAXIFS($F:$F,$C:$C,$M59)</f>
        <v>46539</v>
      </c>
      <c r="R59" s="51">
        <f t="shared" si="0"/>
        <v>24</v>
      </c>
      <c r="S59">
        <f t="shared" si="1"/>
        <v>1200</v>
      </c>
    </row>
    <row r="60" spans="1:19">
      <c r="A60" s="16">
        <v>46069</v>
      </c>
      <c r="C60" s="3">
        <v>40</v>
      </c>
      <c r="D60" s="6" t="s">
        <v>62</v>
      </c>
      <c r="E60" s="2">
        <v>46113</v>
      </c>
      <c r="F60" s="2">
        <v>46174</v>
      </c>
      <c r="G60" s="4">
        <v>3</v>
      </c>
      <c r="H60" s="15">
        <v>150</v>
      </c>
      <c r="K60" s="66" t="str">
        <f>IF(L60="CHE", COUNTIF($L$2:L60, "CHE"), "")</f>
        <v/>
      </c>
      <c r="L60" s="72" t="s">
        <v>136</v>
      </c>
      <c r="M60" s="75">
        <v>95</v>
      </c>
      <c r="N60" s="85" t="s">
        <v>137</v>
      </c>
      <c r="O60" s="46">
        <f>SUMIF(C:C,M60,H:H)</f>
        <v>0</v>
      </c>
      <c r="P60" s="47">
        <f>_xlfn.MINIFS($E:$E,$C:$C,$M60)</f>
        <v>0</v>
      </c>
      <c r="Q60" s="47">
        <f>_xlfn.MAXIFS($F:$F,$C:$C,$M60)</f>
        <v>0</v>
      </c>
      <c r="R60" s="51">
        <f t="shared" si="0"/>
        <v>1</v>
      </c>
      <c r="S60">
        <f t="shared" si="1"/>
        <v>50</v>
      </c>
    </row>
    <row r="61" spans="1:19">
      <c r="A61" s="16">
        <v>46094</v>
      </c>
      <c r="C61" s="3">
        <v>40</v>
      </c>
      <c r="D61" s="6" t="s">
        <v>62</v>
      </c>
      <c r="E61" s="2">
        <v>46204</v>
      </c>
      <c r="F61" s="2">
        <v>46235</v>
      </c>
      <c r="G61" s="4">
        <v>2</v>
      </c>
      <c r="H61" s="15">
        <v>100</v>
      </c>
      <c r="K61" s="66">
        <f>IF(L61="CHE", COUNTIF($L$2:L61, "CHE"), "")</f>
        <v>38</v>
      </c>
      <c r="L61" s="66" t="s">
        <v>17</v>
      </c>
      <c r="M61" s="75">
        <v>96</v>
      </c>
      <c r="N61" s="84" t="s">
        <v>139</v>
      </c>
      <c r="O61" s="46">
        <f>SUMIF(C:C,M61,H:H)</f>
        <v>900</v>
      </c>
      <c r="P61" s="47">
        <f>_xlfn.MINIFS($E:$E,$C:$C,$M61)</f>
        <v>45658</v>
      </c>
      <c r="Q61" s="47">
        <f>_xlfn.MAXIFS($F:$F,$C:$C,$M61)</f>
        <v>46174</v>
      </c>
      <c r="R61" s="51">
        <f t="shared" si="0"/>
        <v>18</v>
      </c>
      <c r="S61">
        <f t="shared" si="1"/>
        <v>900</v>
      </c>
    </row>
    <row r="62" spans="1:19">
      <c r="A62" s="16">
        <v>46120</v>
      </c>
      <c r="C62" s="3">
        <v>40</v>
      </c>
      <c r="D62" s="6" t="s">
        <v>62</v>
      </c>
      <c r="E62" s="2">
        <v>46266</v>
      </c>
      <c r="F62" s="2">
        <v>46266</v>
      </c>
      <c r="G62" s="4">
        <v>1</v>
      </c>
      <c r="H62" s="15">
        <v>50</v>
      </c>
      <c r="K62" s="66">
        <f>IF(L62="CHE", COUNTIF($L$2:L62, "CHE"), "")</f>
        <v>39</v>
      </c>
      <c r="L62" s="66" t="s">
        <v>17</v>
      </c>
      <c r="M62" s="75">
        <v>97</v>
      </c>
      <c r="N62" s="84" t="s">
        <v>142</v>
      </c>
      <c r="O62" s="46">
        <f>SUMIF(C:C,M62,H:H)</f>
        <v>1000</v>
      </c>
      <c r="P62" s="47">
        <f>_xlfn.MINIFS($E:$E,$C:$C,$M62)</f>
        <v>45658</v>
      </c>
      <c r="Q62" s="47">
        <f>_xlfn.MAXIFS($F:$F,$C:$C,$M62)</f>
        <v>46235</v>
      </c>
      <c r="R62" s="51">
        <f t="shared" si="0"/>
        <v>20</v>
      </c>
      <c r="S62">
        <f t="shared" si="1"/>
        <v>1000</v>
      </c>
    </row>
    <row r="63" spans="1:19">
      <c r="A63" s="16">
        <v>46149</v>
      </c>
      <c r="C63" s="3">
        <v>40</v>
      </c>
      <c r="D63" s="6" t="s">
        <v>62</v>
      </c>
      <c r="E63" s="2">
        <v>46296</v>
      </c>
      <c r="F63" s="2">
        <v>46296</v>
      </c>
      <c r="G63" s="4">
        <v>1</v>
      </c>
      <c r="H63" s="15">
        <v>50</v>
      </c>
      <c r="K63" s="66">
        <f>IF(L63="CHE", COUNTIF($L$2:L63, "CHE"), "")</f>
        <v>40</v>
      </c>
      <c r="L63" s="66" t="s">
        <v>17</v>
      </c>
      <c r="M63" s="75">
        <v>99</v>
      </c>
      <c r="N63" s="84" t="s">
        <v>144</v>
      </c>
      <c r="O63" s="46">
        <f>SUMIF(C:C,M63,H:H)</f>
        <v>900</v>
      </c>
      <c r="P63" s="47">
        <f>_xlfn.MINIFS($E:$E,$C:$C,$M63)</f>
        <v>45658</v>
      </c>
      <c r="Q63" s="47">
        <f>_xlfn.MAXIFS($F:$F,$C:$C,$M63)</f>
        <v>46174</v>
      </c>
      <c r="R63" s="51">
        <f t="shared" si="0"/>
        <v>18</v>
      </c>
      <c r="S63">
        <f t="shared" si="1"/>
        <v>900</v>
      </c>
    </row>
    <row r="64" spans="1:19">
      <c r="A64" s="52">
        <v>45649</v>
      </c>
      <c r="B64" s="53" t="s">
        <v>138</v>
      </c>
      <c r="C64" s="54">
        <v>41</v>
      </c>
      <c r="D64" s="55" t="s">
        <v>63</v>
      </c>
      <c r="E64" s="56">
        <v>45536</v>
      </c>
      <c r="F64" s="56">
        <v>45627</v>
      </c>
      <c r="G64" s="57">
        <v>4</v>
      </c>
      <c r="H64" s="58">
        <v>200</v>
      </c>
      <c r="K64" s="66" t="str">
        <f>IF(L64="CHE", COUNTIF($L$2:L64, "CHE"), "")</f>
        <v/>
      </c>
      <c r="L64" s="66" t="s">
        <v>54</v>
      </c>
      <c r="M64" s="75">
        <v>100</v>
      </c>
      <c r="N64" s="84" t="s">
        <v>146</v>
      </c>
      <c r="O64" s="67">
        <f>SUMIF(C:C,M64,H:H)</f>
        <v>300</v>
      </c>
      <c r="P64" s="68">
        <f>_xlfn.MINIFS($E:$E,$C:$C,$M64)</f>
        <v>45474</v>
      </c>
      <c r="Q64" s="68">
        <f>_xlfn.MAXIFS($F:$F,$C:$C,$M64)</f>
        <v>45627</v>
      </c>
      <c r="R64" s="51">
        <f t="shared" si="0"/>
        <v>6</v>
      </c>
      <c r="S64">
        <f t="shared" si="1"/>
        <v>300</v>
      </c>
    </row>
    <row r="65" spans="1:19">
      <c r="A65" s="16">
        <v>45669</v>
      </c>
      <c r="B65" s="5" t="s">
        <v>140</v>
      </c>
      <c r="C65" s="3">
        <v>42</v>
      </c>
      <c r="D65" s="6" t="s">
        <v>141</v>
      </c>
      <c r="E65" s="2">
        <v>45658</v>
      </c>
      <c r="F65" s="2">
        <v>45809</v>
      </c>
      <c r="G65" s="4">
        <v>6</v>
      </c>
      <c r="H65" s="15">
        <v>300</v>
      </c>
      <c r="K65" s="66" t="str">
        <f>IF(L65="CHE", COUNTIF($L$2:L65, "CHE"), "")</f>
        <v/>
      </c>
      <c r="L65" s="66" t="s">
        <v>21</v>
      </c>
      <c r="M65" s="75">
        <v>101</v>
      </c>
      <c r="N65" s="84" t="s">
        <v>148</v>
      </c>
      <c r="O65" s="46">
        <f>SUMIF(C:C,M65,H:H)</f>
        <v>0</v>
      </c>
      <c r="P65" s="47">
        <f>_xlfn.MINIFS($E:$E,$C:$C,$M65)</f>
        <v>0</v>
      </c>
      <c r="Q65" s="47">
        <f>_xlfn.MAXIFS($F:$F,$C:$C,$M65)</f>
        <v>0</v>
      </c>
      <c r="R65" s="51">
        <f t="shared" si="0"/>
        <v>1</v>
      </c>
      <c r="S65">
        <f t="shared" si="1"/>
        <v>50</v>
      </c>
    </row>
    <row r="66" spans="1:19">
      <c r="A66" s="16">
        <v>45823</v>
      </c>
      <c r="B66" s="5" t="s">
        <v>143</v>
      </c>
      <c r="C66" s="3">
        <v>42</v>
      </c>
      <c r="D66" s="6" t="s">
        <v>65</v>
      </c>
      <c r="E66" s="2">
        <v>45839</v>
      </c>
      <c r="F66" s="2">
        <v>45992</v>
      </c>
      <c r="G66" s="4">
        <v>6</v>
      </c>
      <c r="H66" s="15">
        <v>300</v>
      </c>
      <c r="K66" s="66">
        <f>IF(L66="CHE", COUNTIF($L$2:L66, "CHE"), "")</f>
        <v>41</v>
      </c>
      <c r="L66" s="66" t="s">
        <v>17</v>
      </c>
      <c r="M66" s="75">
        <v>102</v>
      </c>
      <c r="N66" s="84" t="s">
        <v>150</v>
      </c>
      <c r="O66" s="46">
        <f>SUMIF(C:C,M66,H:H)</f>
        <v>900</v>
      </c>
      <c r="P66" s="47">
        <f>_xlfn.MINIFS($E:$E,$C:$C,$M66)</f>
        <v>45597</v>
      </c>
      <c r="Q66" s="47">
        <f>_xlfn.MAXIFS($F:$F,$C:$C,$M66)</f>
        <v>46113</v>
      </c>
      <c r="R66" s="51">
        <f t="shared" si="0"/>
        <v>18</v>
      </c>
      <c r="S66">
        <f t="shared" si="1"/>
        <v>900</v>
      </c>
    </row>
    <row r="67" spans="1:19">
      <c r="A67" s="16">
        <v>46026</v>
      </c>
      <c r="B67" s="5" t="s">
        <v>145</v>
      </c>
      <c r="C67" s="3">
        <v>42</v>
      </c>
      <c r="D67" s="6" t="s">
        <v>65</v>
      </c>
      <c r="E67" s="2">
        <v>46023</v>
      </c>
      <c r="F67" s="2">
        <v>46174</v>
      </c>
      <c r="G67" s="4">
        <v>6</v>
      </c>
      <c r="H67" s="15">
        <v>300</v>
      </c>
      <c r="K67" s="66">
        <f>IF(L67="CHE", COUNTIF($L$2:L67, "CHE"), "")</f>
        <v>42</v>
      </c>
      <c r="L67" s="66" t="s">
        <v>17</v>
      </c>
      <c r="M67" s="75">
        <v>103</v>
      </c>
      <c r="N67" s="84" t="s">
        <v>152</v>
      </c>
      <c r="O67" s="46">
        <f>SUMIF(C:C,M67,H:H)</f>
        <v>900</v>
      </c>
      <c r="P67" s="47">
        <f>_xlfn.MINIFS($E:$E,$C:$C,$M67)</f>
        <v>45658</v>
      </c>
      <c r="Q67" s="47">
        <f>_xlfn.MAXIFS($F:$F,$C:$C,$M67)</f>
        <v>46174</v>
      </c>
      <c r="R67" s="51">
        <f t="shared" ref="R67:R130" si="2">DATEDIF(P67,Q67,"M")+1</f>
        <v>18</v>
      </c>
      <c r="S67">
        <f t="shared" ref="S67:S130" si="3">50*R67</f>
        <v>900</v>
      </c>
    </row>
    <row r="68" spans="1:19">
      <c r="A68" s="16">
        <v>45690</v>
      </c>
      <c r="B68" s="5" t="s">
        <v>147</v>
      </c>
      <c r="C68" s="3">
        <v>43</v>
      </c>
      <c r="D68" s="6" t="s">
        <v>68</v>
      </c>
      <c r="E68" s="2">
        <v>45658</v>
      </c>
      <c r="F68" s="2">
        <v>45717</v>
      </c>
      <c r="G68" s="4">
        <v>3</v>
      </c>
      <c r="H68" s="15">
        <v>150</v>
      </c>
      <c r="K68" s="66">
        <f>IF(L68="CHE", COUNTIF($L$2:L68, "CHE"), "")</f>
        <v>43</v>
      </c>
      <c r="L68" s="66" t="s">
        <v>17</v>
      </c>
      <c r="M68" s="75">
        <v>104</v>
      </c>
      <c r="N68" s="84" t="s">
        <v>154</v>
      </c>
      <c r="O68" s="46">
        <f>SUMIF(C:C,M68,H:H)</f>
        <v>700</v>
      </c>
      <c r="P68" s="47">
        <f>_xlfn.MINIFS($E:$E,$C:$C,$M68)</f>
        <v>45658</v>
      </c>
      <c r="Q68" s="47">
        <f>_xlfn.MAXIFS($F:$F,$C:$C,$M68)</f>
        <v>46054</v>
      </c>
      <c r="R68" s="51">
        <f t="shared" si="2"/>
        <v>14</v>
      </c>
      <c r="S68">
        <f t="shared" si="3"/>
        <v>700</v>
      </c>
    </row>
    <row r="69" spans="1:19">
      <c r="A69" s="16">
        <v>45763</v>
      </c>
      <c r="B69" s="5" t="s">
        <v>149</v>
      </c>
      <c r="C69" s="3">
        <v>43</v>
      </c>
      <c r="D69" s="6" t="s">
        <v>68</v>
      </c>
      <c r="E69" s="2">
        <v>45748</v>
      </c>
      <c r="F69" s="2">
        <v>45809</v>
      </c>
      <c r="G69" s="4">
        <v>3</v>
      </c>
      <c r="H69" s="15">
        <v>150</v>
      </c>
      <c r="K69" s="66">
        <f>IF(L69="CHE", COUNTIF($L$2:L69, "CHE"), "")</f>
        <v>44</v>
      </c>
      <c r="L69" s="66" t="s">
        <v>17</v>
      </c>
      <c r="M69" s="75">
        <v>106</v>
      </c>
      <c r="N69" s="84" t="s">
        <v>156</v>
      </c>
      <c r="O69" s="46">
        <f>SUMIF(C:C,M69,H:H)</f>
        <v>850</v>
      </c>
      <c r="P69" s="47">
        <f>_xlfn.MINIFS($E:$E,$C:$C,$M69)</f>
        <v>45658</v>
      </c>
      <c r="Q69" s="47">
        <f>_xlfn.MAXIFS($F:$F,$C:$C,$M69)</f>
        <v>46082</v>
      </c>
      <c r="R69" s="51">
        <f t="shared" si="2"/>
        <v>15</v>
      </c>
      <c r="S69">
        <f t="shared" si="3"/>
        <v>750</v>
      </c>
    </row>
    <row r="70" spans="1:19">
      <c r="A70" s="16">
        <v>45906</v>
      </c>
      <c r="B70" s="5" t="s">
        <v>151</v>
      </c>
      <c r="C70" s="3">
        <v>43</v>
      </c>
      <c r="D70" s="6" t="s">
        <v>68</v>
      </c>
      <c r="E70" s="2">
        <v>45839</v>
      </c>
      <c r="F70" s="2">
        <v>45992</v>
      </c>
      <c r="G70" s="4">
        <v>6</v>
      </c>
      <c r="H70" s="15">
        <v>300</v>
      </c>
      <c r="K70" s="66" t="str">
        <f>IF(L70="CHE", COUNTIF($L$2:L70, "CHE"), "")</f>
        <v/>
      </c>
      <c r="L70" s="72" t="s">
        <v>158</v>
      </c>
      <c r="M70" s="75">
        <v>107</v>
      </c>
      <c r="N70" s="84" t="s">
        <v>159</v>
      </c>
      <c r="O70" s="46">
        <f>SUMIF(C:C,M70,H:H)</f>
        <v>0</v>
      </c>
      <c r="P70" s="47">
        <f>_xlfn.MINIFS($E:$E,$C:$C,$M70)</f>
        <v>0</v>
      </c>
      <c r="Q70" s="47">
        <f>_xlfn.MAXIFS($F:$F,$C:$C,$M70)</f>
        <v>0</v>
      </c>
      <c r="R70" s="51">
        <f t="shared" si="2"/>
        <v>1</v>
      </c>
      <c r="S70">
        <f t="shared" si="3"/>
        <v>50</v>
      </c>
    </row>
    <row r="71" spans="1:19">
      <c r="A71" s="16">
        <v>46057</v>
      </c>
      <c r="B71" s="5" t="s">
        <v>153</v>
      </c>
      <c r="C71" s="3">
        <v>43</v>
      </c>
      <c r="D71" s="6" t="s">
        <v>68</v>
      </c>
      <c r="E71" s="2">
        <v>46023</v>
      </c>
      <c r="F71" s="2">
        <v>46054</v>
      </c>
      <c r="G71" s="4">
        <v>2</v>
      </c>
      <c r="H71" s="15">
        <v>100</v>
      </c>
      <c r="K71" s="66" t="str">
        <f>IF(L71="CHE", COUNTIF($L$2:L71, "CHE"), "")</f>
        <v/>
      </c>
      <c r="L71" s="72" t="s">
        <v>161</v>
      </c>
      <c r="M71" s="75">
        <v>108</v>
      </c>
      <c r="N71" s="84" t="s">
        <v>162</v>
      </c>
      <c r="O71" s="46">
        <f>SUMIF(C:C,M71,H:H)</f>
        <v>0</v>
      </c>
      <c r="P71" s="47">
        <f>_xlfn.MINIFS($E:$E,$C:$C,$M71)</f>
        <v>0</v>
      </c>
      <c r="Q71" s="47">
        <f>_xlfn.MAXIFS($F:$F,$C:$C,$M71)</f>
        <v>0</v>
      </c>
      <c r="R71" s="51">
        <f t="shared" si="2"/>
        <v>1</v>
      </c>
      <c r="S71">
        <f t="shared" si="3"/>
        <v>50</v>
      </c>
    </row>
    <row r="72" spans="1:19">
      <c r="A72" s="16">
        <v>46074</v>
      </c>
      <c r="B72" s="5" t="s">
        <v>155</v>
      </c>
      <c r="C72" s="3">
        <v>43</v>
      </c>
      <c r="D72" s="6" t="s">
        <v>68</v>
      </c>
      <c r="E72" s="2">
        <v>46082</v>
      </c>
      <c r="F72" s="2">
        <v>46113</v>
      </c>
      <c r="G72" s="4">
        <v>2</v>
      </c>
      <c r="H72" s="15">
        <v>100</v>
      </c>
      <c r="K72" s="66" t="str">
        <f>IF(L72="CHE", COUNTIF($L$2:L72, "CHE"), "")</f>
        <v/>
      </c>
      <c r="L72" s="72" t="s">
        <v>164</v>
      </c>
      <c r="M72" s="75">
        <v>109</v>
      </c>
      <c r="N72" s="84" t="s">
        <v>165</v>
      </c>
      <c r="O72" s="46">
        <f>SUMIF(C:C,M72,H:H)</f>
        <v>0</v>
      </c>
      <c r="P72" s="47">
        <f>_xlfn.MINIFS($E:$E,$C:$C,$M72)</f>
        <v>0</v>
      </c>
      <c r="Q72" s="47">
        <f>_xlfn.MAXIFS($F:$F,$C:$C,$M72)</f>
        <v>0</v>
      </c>
      <c r="R72" s="51">
        <f t="shared" si="2"/>
        <v>1</v>
      </c>
      <c r="S72">
        <f t="shared" si="3"/>
        <v>50</v>
      </c>
    </row>
    <row r="73" spans="1:19">
      <c r="A73" s="16">
        <v>46128</v>
      </c>
      <c r="B73" s="5" t="s">
        <v>770</v>
      </c>
      <c r="C73" s="3">
        <v>43</v>
      </c>
      <c r="D73" s="6" t="s">
        <v>68</v>
      </c>
      <c r="E73" s="2">
        <v>46143</v>
      </c>
      <c r="F73" s="2">
        <v>46235</v>
      </c>
      <c r="G73" s="4">
        <v>4</v>
      </c>
      <c r="H73" s="15">
        <v>200</v>
      </c>
      <c r="K73" s="66" t="str">
        <f>IF(L73="CHE", COUNTIF($L$2:L73, "CHE"), "")</f>
        <v/>
      </c>
      <c r="L73" s="72" t="s">
        <v>164</v>
      </c>
      <c r="M73" s="75">
        <v>110</v>
      </c>
      <c r="N73" s="84" t="s">
        <v>166</v>
      </c>
      <c r="O73" s="46">
        <f>SUMIF(C:C,M73,H:H)</f>
        <v>0</v>
      </c>
      <c r="P73" s="47">
        <f>_xlfn.MINIFS($E:$E,$C:$C,$M73)</f>
        <v>0</v>
      </c>
      <c r="Q73" s="47">
        <f>_xlfn.MAXIFS($F:$F,$C:$C,$M73)</f>
        <v>0</v>
      </c>
      <c r="R73" s="51">
        <f t="shared" si="2"/>
        <v>1</v>
      </c>
      <c r="S73">
        <f t="shared" si="3"/>
        <v>50</v>
      </c>
    </row>
    <row r="74" spans="1:19">
      <c r="A74" s="16">
        <v>45643</v>
      </c>
      <c r="B74" s="5" t="s">
        <v>157</v>
      </c>
      <c r="C74" s="3">
        <v>48</v>
      </c>
      <c r="D74" s="6" t="s">
        <v>72</v>
      </c>
      <c r="E74" s="2">
        <v>45566</v>
      </c>
      <c r="F74" s="2">
        <v>45627</v>
      </c>
      <c r="G74" s="4">
        <v>3</v>
      </c>
      <c r="H74" s="15">
        <v>150</v>
      </c>
      <c r="K74" s="66" t="str">
        <f>IF(L74="CHE", COUNTIF($L$2:L74, "CHE"), "")</f>
        <v/>
      </c>
      <c r="L74" s="66" t="s">
        <v>21</v>
      </c>
      <c r="M74" s="75">
        <v>111</v>
      </c>
      <c r="N74" s="84" t="s">
        <v>168</v>
      </c>
      <c r="O74" s="46">
        <f>SUMIF(C:C,M74,H:H)</f>
        <v>0</v>
      </c>
      <c r="P74" s="47">
        <f>_xlfn.MINIFS($E:$E,$C:$C,$M74)</f>
        <v>0</v>
      </c>
      <c r="Q74" s="47">
        <f>_xlfn.MAXIFS($F:$F,$C:$C,$M74)</f>
        <v>0</v>
      </c>
      <c r="R74" s="51">
        <f t="shared" si="2"/>
        <v>1</v>
      </c>
      <c r="S74">
        <f t="shared" si="3"/>
        <v>50</v>
      </c>
    </row>
    <row r="75" spans="1:19">
      <c r="A75" s="16">
        <v>45815</v>
      </c>
      <c r="B75" s="5" t="s">
        <v>169</v>
      </c>
      <c r="C75" s="3">
        <v>48</v>
      </c>
      <c r="D75" s="6" t="s">
        <v>72</v>
      </c>
      <c r="E75" s="2">
        <v>45658</v>
      </c>
      <c r="F75" s="2">
        <v>45717</v>
      </c>
      <c r="G75" s="4">
        <v>3</v>
      </c>
      <c r="H75" s="15">
        <v>150</v>
      </c>
      <c r="K75" s="66" t="str">
        <f>IF(L75="CHE", COUNTIF($L$2:L75, "CHE"), "")</f>
        <v/>
      </c>
      <c r="L75" s="72" t="s">
        <v>38</v>
      </c>
      <c r="M75" s="75">
        <v>114</v>
      </c>
      <c r="N75" s="84" t="s">
        <v>170</v>
      </c>
      <c r="O75" s="46">
        <f>SUMIF(C:C,M75,H:H)</f>
        <v>600</v>
      </c>
      <c r="P75" s="47">
        <f>_xlfn.MINIFS($E:$E,$C:$C,$M75)</f>
        <v>45658</v>
      </c>
      <c r="Q75" s="47">
        <f>_xlfn.MAXIFS($F:$F,$C:$C,$M75)</f>
        <v>45992</v>
      </c>
      <c r="R75" s="51">
        <f t="shared" si="2"/>
        <v>12</v>
      </c>
      <c r="S75">
        <f t="shared" si="3"/>
        <v>600</v>
      </c>
    </row>
    <row r="76" spans="1:19">
      <c r="A76" s="16">
        <v>45873</v>
      </c>
      <c r="B76" s="5" t="s">
        <v>486</v>
      </c>
      <c r="C76" s="3">
        <v>48</v>
      </c>
      <c r="D76" s="6" t="s">
        <v>72</v>
      </c>
      <c r="E76" s="2">
        <v>45748</v>
      </c>
      <c r="F76" s="2">
        <v>45809</v>
      </c>
      <c r="G76" s="4">
        <v>3</v>
      </c>
      <c r="H76" s="15">
        <v>150</v>
      </c>
      <c r="K76" s="66">
        <f>IF(L76="CHE", COUNTIF($L$2:L76, "CHE"), "")</f>
        <v>45</v>
      </c>
      <c r="L76" s="66" t="s">
        <v>17</v>
      </c>
      <c r="M76" s="75">
        <v>116</v>
      </c>
      <c r="N76" s="84" t="s">
        <v>171</v>
      </c>
      <c r="O76" s="46">
        <f>SUMIF(C:C,M76,H:H)</f>
        <v>900</v>
      </c>
      <c r="P76" s="47">
        <f>_xlfn.MINIFS($E:$E,$C:$C,$M76)</f>
        <v>45627</v>
      </c>
      <c r="Q76" s="47">
        <f>_xlfn.MAXIFS($F:$F,$C:$C,$M76)</f>
        <v>46143</v>
      </c>
      <c r="R76" s="51">
        <f t="shared" si="2"/>
        <v>18</v>
      </c>
      <c r="S76">
        <f t="shared" si="3"/>
        <v>900</v>
      </c>
    </row>
    <row r="77" spans="1:19">
      <c r="A77" s="16">
        <v>45934</v>
      </c>
      <c r="B77" s="5" t="s">
        <v>713</v>
      </c>
      <c r="C77" s="3">
        <v>48</v>
      </c>
      <c r="D77" s="6" t="s">
        <v>72</v>
      </c>
      <c r="E77" s="2">
        <v>45839</v>
      </c>
      <c r="F77" s="2">
        <v>45931</v>
      </c>
      <c r="G77" s="4">
        <v>4</v>
      </c>
      <c r="H77" s="15">
        <v>200</v>
      </c>
      <c r="K77" s="66">
        <f>IF(L77="CHE", COUNTIF($L$2:L77, "CHE"), "")</f>
        <v>46</v>
      </c>
      <c r="L77" s="66" t="s">
        <v>17</v>
      </c>
      <c r="M77" s="75">
        <v>117</v>
      </c>
      <c r="N77" s="84" t="s">
        <v>173</v>
      </c>
      <c r="O77" s="46">
        <f>SUMIF(C:C,M77,H:H)</f>
        <v>900</v>
      </c>
      <c r="P77" s="47">
        <f>_xlfn.MINIFS($E:$E,$C:$C,$M77)</f>
        <v>45627</v>
      </c>
      <c r="Q77" s="47">
        <f>_xlfn.MAXIFS($F:$F,$C:$C,$M77)</f>
        <v>46143</v>
      </c>
      <c r="R77" s="51">
        <f t="shared" si="2"/>
        <v>18</v>
      </c>
      <c r="S77">
        <f t="shared" si="3"/>
        <v>900</v>
      </c>
    </row>
    <row r="78" spans="1:19">
      <c r="A78" s="16">
        <v>46076</v>
      </c>
      <c r="B78" s="5" t="s">
        <v>167</v>
      </c>
      <c r="C78" s="3">
        <v>48</v>
      </c>
      <c r="D78" s="6" t="s">
        <v>72</v>
      </c>
      <c r="E78" s="2">
        <v>45962</v>
      </c>
      <c r="F78" s="2">
        <v>46023</v>
      </c>
      <c r="G78" s="4">
        <v>3</v>
      </c>
      <c r="H78" s="15">
        <v>150</v>
      </c>
      <c r="K78" s="66">
        <f>IF(L78="CHE", COUNTIF($L$2:L78, "CHE"), "")</f>
        <v>47</v>
      </c>
      <c r="L78" s="66" t="s">
        <v>17</v>
      </c>
      <c r="M78" s="75">
        <v>120</v>
      </c>
      <c r="N78" s="84" t="s">
        <v>175</v>
      </c>
      <c r="O78" s="46">
        <f>SUMIF(C:C,M78,H:H)</f>
        <v>1200</v>
      </c>
      <c r="P78" s="47">
        <f>_xlfn.MINIFS($E:$E,$C:$C,$M78)</f>
        <v>45658</v>
      </c>
      <c r="Q78" s="47">
        <f>_xlfn.MAXIFS($F:$F,$C:$C,$M78)</f>
        <v>46357</v>
      </c>
      <c r="R78" s="51">
        <f t="shared" si="2"/>
        <v>24</v>
      </c>
      <c r="S78">
        <f t="shared" si="3"/>
        <v>1200</v>
      </c>
    </row>
    <row r="79" spans="1:19">
      <c r="A79" s="16">
        <v>46146</v>
      </c>
      <c r="C79" s="3">
        <v>48</v>
      </c>
      <c r="D79" s="6" t="s">
        <v>72</v>
      </c>
      <c r="E79" s="2">
        <v>46054</v>
      </c>
      <c r="F79" s="2">
        <v>46113</v>
      </c>
      <c r="G79" s="4">
        <v>3</v>
      </c>
      <c r="H79" s="15">
        <v>150</v>
      </c>
      <c r="K79" s="66">
        <f>IF(L79="CHE", COUNTIF($L$2:L79, "CHE"), "")</f>
        <v>48</v>
      </c>
      <c r="L79" s="66" t="s">
        <v>17</v>
      </c>
      <c r="M79" s="75">
        <v>123</v>
      </c>
      <c r="N79" s="84" t="s">
        <v>177</v>
      </c>
      <c r="O79" s="46">
        <f>SUMIF(C:C,M79,H:H)</f>
        <v>800</v>
      </c>
      <c r="P79" s="47">
        <f>_xlfn.MINIFS($E:$E,$C:$C,$M79)</f>
        <v>45658</v>
      </c>
      <c r="Q79" s="47">
        <f>_xlfn.MAXIFS($F:$F,$C:$C,$M79)</f>
        <v>46113</v>
      </c>
      <c r="R79" s="51">
        <f t="shared" si="2"/>
        <v>16</v>
      </c>
      <c r="S79">
        <f t="shared" si="3"/>
        <v>800</v>
      </c>
    </row>
    <row r="80" spans="1:19">
      <c r="A80" s="16">
        <v>45816</v>
      </c>
      <c r="B80" s="5" t="s">
        <v>132</v>
      </c>
      <c r="C80" s="3">
        <v>50</v>
      </c>
      <c r="D80" s="6" t="s">
        <v>74</v>
      </c>
      <c r="E80" s="2">
        <v>45658</v>
      </c>
      <c r="F80" s="2">
        <v>45992</v>
      </c>
      <c r="G80" s="4">
        <v>12</v>
      </c>
      <c r="H80" s="15">
        <v>600</v>
      </c>
      <c r="K80" s="66" t="str">
        <f>IF(L80="CHE", COUNTIF($L$2:L80, "CHE"), "")</f>
        <v/>
      </c>
      <c r="L80" s="72" t="s">
        <v>179</v>
      </c>
      <c r="M80" s="75">
        <v>124</v>
      </c>
      <c r="N80" s="84" t="s">
        <v>180</v>
      </c>
      <c r="O80" s="46">
        <f>SUMIF(C:C,M80,H:H)</f>
        <v>50</v>
      </c>
      <c r="P80" s="47">
        <f>_xlfn.MINIFS($E:$E,$C:$C,$M80)</f>
        <v>45627</v>
      </c>
      <c r="Q80" s="47">
        <f>_xlfn.MAXIFS($F:$F,$C:$C,$M80)</f>
        <v>45627</v>
      </c>
      <c r="R80" s="51">
        <f t="shared" si="2"/>
        <v>1</v>
      </c>
      <c r="S80">
        <f t="shared" si="3"/>
        <v>50</v>
      </c>
    </row>
    <row r="81" spans="1:19">
      <c r="A81" s="16">
        <v>46047</v>
      </c>
      <c r="B81" s="5" t="s">
        <v>756</v>
      </c>
      <c r="C81" s="3">
        <v>50</v>
      </c>
      <c r="D81" s="6" t="s">
        <v>74</v>
      </c>
      <c r="E81" s="2">
        <v>46023</v>
      </c>
      <c r="F81" s="2">
        <v>46357</v>
      </c>
      <c r="G81" s="4">
        <v>12</v>
      </c>
      <c r="H81" s="15">
        <v>600</v>
      </c>
      <c r="K81" s="66">
        <f>IF(L81="CHE", COUNTIF($L$2:L81, "CHE"), "")</f>
        <v>49</v>
      </c>
      <c r="L81" s="66" t="s">
        <v>17</v>
      </c>
      <c r="M81" s="75">
        <v>126</v>
      </c>
      <c r="N81" s="84" t="s">
        <v>182</v>
      </c>
      <c r="O81" s="46">
        <f>SUMIF(C:C,M81,H:H)</f>
        <v>900</v>
      </c>
      <c r="P81" s="47">
        <f>_xlfn.MINIFS($E:$E,$C:$C,$M81)</f>
        <v>45658</v>
      </c>
      <c r="Q81" s="47">
        <f>_xlfn.MAXIFS($F:$F,$C:$C,$M81)</f>
        <v>46174</v>
      </c>
      <c r="R81" s="51">
        <f t="shared" si="2"/>
        <v>18</v>
      </c>
      <c r="S81">
        <f t="shared" si="3"/>
        <v>900</v>
      </c>
    </row>
    <row r="82" spans="1:19">
      <c r="A82" s="16">
        <v>45693</v>
      </c>
      <c r="B82" s="5" t="s">
        <v>172</v>
      </c>
      <c r="C82" s="3">
        <v>52</v>
      </c>
      <c r="D82" s="6" t="s">
        <v>76</v>
      </c>
      <c r="E82" s="2">
        <v>45658</v>
      </c>
      <c r="F82" s="2">
        <v>45689</v>
      </c>
      <c r="G82" s="4">
        <v>2</v>
      </c>
      <c r="H82" s="15">
        <v>100</v>
      </c>
      <c r="K82" s="66">
        <f>IF(L82="CHE", COUNTIF($L$2:L82, "CHE"), "")</f>
        <v>50</v>
      </c>
      <c r="L82" s="66" t="s">
        <v>17</v>
      </c>
      <c r="M82" s="75">
        <v>127</v>
      </c>
      <c r="N82" s="84" t="s">
        <v>183</v>
      </c>
      <c r="O82" s="46">
        <f>SUMIF(C:C,M82,H:H)</f>
        <v>1200</v>
      </c>
      <c r="P82" s="47">
        <f>_xlfn.MINIFS($E:$E,$C:$C,$M82)</f>
        <v>45658</v>
      </c>
      <c r="Q82" s="47">
        <f>_xlfn.MAXIFS($F:$F,$C:$C,$M82)</f>
        <v>46357</v>
      </c>
      <c r="R82" s="51">
        <f t="shared" si="2"/>
        <v>24</v>
      </c>
      <c r="S82">
        <f t="shared" si="3"/>
        <v>1200</v>
      </c>
    </row>
    <row r="83" spans="1:19">
      <c r="A83" s="16">
        <v>45761</v>
      </c>
      <c r="B83" s="5" t="s">
        <v>174</v>
      </c>
      <c r="C83" s="3">
        <v>52</v>
      </c>
      <c r="D83" s="6" t="s">
        <v>76</v>
      </c>
      <c r="E83" s="2">
        <v>45717</v>
      </c>
      <c r="F83" s="2">
        <v>45748</v>
      </c>
      <c r="G83" s="4">
        <v>2</v>
      </c>
      <c r="H83" s="15">
        <v>100</v>
      </c>
      <c r="K83" s="66">
        <f>IF(L83="CHE", COUNTIF($L$2:L83, "CHE"), "")</f>
        <v>51</v>
      </c>
      <c r="L83" s="66" t="s">
        <v>17</v>
      </c>
      <c r="M83" s="75">
        <v>128</v>
      </c>
      <c r="N83" s="84" t="s">
        <v>184</v>
      </c>
      <c r="O83" s="46">
        <f>SUMIF(C:C,M83,H:H)</f>
        <v>1200</v>
      </c>
      <c r="P83" s="47">
        <f>_xlfn.MINIFS($E:$E,$C:$C,$M83)</f>
        <v>45658</v>
      </c>
      <c r="Q83" s="47">
        <f>_xlfn.MAXIFS($F:$F,$C:$C,$M83)</f>
        <v>46357</v>
      </c>
      <c r="R83" s="51">
        <f t="shared" si="2"/>
        <v>24</v>
      </c>
      <c r="S83">
        <f t="shared" si="3"/>
        <v>1200</v>
      </c>
    </row>
    <row r="84" spans="1:19">
      <c r="A84" s="16">
        <v>45813</v>
      </c>
      <c r="B84" s="5" t="s">
        <v>509</v>
      </c>
      <c r="C84" s="3">
        <v>52</v>
      </c>
      <c r="D84" s="6" t="s">
        <v>76</v>
      </c>
      <c r="E84" s="2">
        <v>45778</v>
      </c>
      <c r="F84" s="2">
        <v>45809</v>
      </c>
      <c r="G84" s="4">
        <v>2</v>
      </c>
      <c r="H84" s="15">
        <v>100</v>
      </c>
      <c r="K84" s="66">
        <f>IF(L84="CHE", COUNTIF($L$2:L84, "CHE"), "")</f>
        <v>52</v>
      </c>
      <c r="L84" s="66" t="s">
        <v>17</v>
      </c>
      <c r="M84" s="75">
        <v>130</v>
      </c>
      <c r="N84" s="84" t="s">
        <v>185</v>
      </c>
      <c r="O84" s="67">
        <f>SUMIF(C:C,M84,H:H)</f>
        <v>350</v>
      </c>
      <c r="P84" s="68">
        <f>_xlfn.MINIFS($E:$E,$C:$C,$M84)</f>
        <v>45597</v>
      </c>
      <c r="Q84" s="68">
        <f>_xlfn.MAXIFS($F:$F,$C:$C,$M84)</f>
        <v>45778</v>
      </c>
      <c r="R84" s="51">
        <f t="shared" si="2"/>
        <v>7</v>
      </c>
      <c r="S84">
        <f t="shared" si="3"/>
        <v>350</v>
      </c>
    </row>
    <row r="85" spans="1:19">
      <c r="A85" s="16">
        <v>45861</v>
      </c>
      <c r="B85" s="5" t="s">
        <v>213</v>
      </c>
      <c r="C85" s="3">
        <v>52</v>
      </c>
      <c r="D85" s="6" t="s">
        <v>76</v>
      </c>
      <c r="E85" s="2">
        <v>45839</v>
      </c>
      <c r="F85" s="2">
        <v>45870</v>
      </c>
      <c r="G85" s="4">
        <v>2</v>
      </c>
      <c r="H85" s="15">
        <v>100</v>
      </c>
      <c r="K85" s="66">
        <f>IF(L85="CHE", COUNTIF($L$2:L85, "CHE"), "")</f>
        <v>53</v>
      </c>
      <c r="L85" s="66" t="s">
        <v>17</v>
      </c>
      <c r="M85" s="75">
        <v>131</v>
      </c>
      <c r="N85" s="84" t="s">
        <v>187</v>
      </c>
      <c r="O85" s="46">
        <f>SUMIF(C:C,M85,H:H)</f>
        <v>900</v>
      </c>
      <c r="P85" s="47">
        <f>_xlfn.MINIFS($E:$E,$C:$C,$M85)</f>
        <v>45658</v>
      </c>
      <c r="Q85" s="47">
        <f>_xlfn.MAXIFS($F:$F,$C:$C,$M85)</f>
        <v>46174</v>
      </c>
      <c r="R85" s="51">
        <f t="shared" si="2"/>
        <v>18</v>
      </c>
      <c r="S85">
        <f t="shared" si="3"/>
        <v>900</v>
      </c>
    </row>
    <row r="86" spans="1:19">
      <c r="A86" s="16">
        <v>45909</v>
      </c>
      <c r="B86" s="5" t="s">
        <v>292</v>
      </c>
      <c r="C86" s="3">
        <v>52</v>
      </c>
      <c r="D86" s="6" t="s">
        <v>76</v>
      </c>
      <c r="E86" s="2">
        <v>45901</v>
      </c>
      <c r="F86" s="2">
        <v>45931</v>
      </c>
      <c r="G86" s="4">
        <v>2</v>
      </c>
      <c r="H86" s="15">
        <v>100</v>
      </c>
      <c r="K86" s="66">
        <f>IF(L86="CHE", COUNTIF($L$2:L86, "CHE"), "")</f>
        <v>54</v>
      </c>
      <c r="L86" s="66" t="s">
        <v>17</v>
      </c>
      <c r="M86" s="75">
        <v>132</v>
      </c>
      <c r="N86" s="85" t="s">
        <v>189</v>
      </c>
      <c r="O86" s="46">
        <f>SUMIF(C:C,M86,H:H)</f>
        <v>900</v>
      </c>
      <c r="P86" s="47">
        <f>_xlfn.MINIFS($E:$E,$C:$C,$M86)</f>
        <v>45658</v>
      </c>
      <c r="Q86" s="47">
        <f>_xlfn.MAXIFS($F:$F,$C:$C,$M86)</f>
        <v>46174</v>
      </c>
      <c r="R86" s="51">
        <f t="shared" si="2"/>
        <v>18</v>
      </c>
      <c r="S86">
        <f t="shared" si="3"/>
        <v>900</v>
      </c>
    </row>
    <row r="87" spans="1:19">
      <c r="A87" s="16">
        <v>45977</v>
      </c>
      <c r="B87" s="5" t="s">
        <v>731</v>
      </c>
      <c r="C87" s="3">
        <v>52</v>
      </c>
      <c r="D87" s="6" t="s">
        <v>76</v>
      </c>
      <c r="E87" s="2">
        <v>45962</v>
      </c>
      <c r="F87" s="2">
        <v>45992</v>
      </c>
      <c r="G87" s="4">
        <v>2</v>
      </c>
      <c r="H87" s="15">
        <v>100</v>
      </c>
      <c r="K87" s="66">
        <f>IF(L87="CHE", COUNTIF($L$2:L87, "CHE"), "")</f>
        <v>55</v>
      </c>
      <c r="L87" s="66" t="s">
        <v>17</v>
      </c>
      <c r="M87" s="75">
        <v>134</v>
      </c>
      <c r="N87" s="85" t="s">
        <v>191</v>
      </c>
      <c r="O87" s="46">
        <f>SUMIF(C:C,M87,H:H)</f>
        <v>1200</v>
      </c>
      <c r="P87" s="47">
        <f>_xlfn.MINIFS($E:$E,$C:$C,$M87)</f>
        <v>45658</v>
      </c>
      <c r="Q87" s="47">
        <f>_xlfn.MAXIFS($F:$F,$C:$C,$M87)</f>
        <v>46357</v>
      </c>
      <c r="R87" s="51">
        <f t="shared" si="2"/>
        <v>24</v>
      </c>
      <c r="S87">
        <f t="shared" si="3"/>
        <v>1200</v>
      </c>
    </row>
    <row r="88" spans="1:19">
      <c r="A88" s="16">
        <v>46058</v>
      </c>
      <c r="C88" s="3">
        <v>52</v>
      </c>
      <c r="D88" s="6" t="s">
        <v>76</v>
      </c>
      <c r="E88" s="2">
        <v>46023</v>
      </c>
      <c r="F88" s="2">
        <v>46054</v>
      </c>
      <c r="G88" s="4">
        <v>2</v>
      </c>
      <c r="H88" s="15">
        <v>100</v>
      </c>
      <c r="K88" s="66">
        <f>IF(L88="CHE", COUNTIF($L$2:L88, "CHE"), "")</f>
        <v>56</v>
      </c>
      <c r="L88" s="66" t="s">
        <v>17</v>
      </c>
      <c r="M88" s="75">
        <v>135</v>
      </c>
      <c r="N88" s="85" t="s">
        <v>193</v>
      </c>
      <c r="O88" s="46">
        <f>SUMIF(C:C,M88,H:H)</f>
        <v>1200</v>
      </c>
      <c r="P88" s="47">
        <f>_xlfn.MINIFS($E:$E,$C:$C,$M88)</f>
        <v>45658</v>
      </c>
      <c r="Q88" s="47">
        <f>_xlfn.MAXIFS($F:$F,$C:$C,$M88)</f>
        <v>46357</v>
      </c>
      <c r="R88" s="51">
        <f t="shared" si="2"/>
        <v>24</v>
      </c>
      <c r="S88">
        <f t="shared" si="3"/>
        <v>1200</v>
      </c>
    </row>
    <row r="89" spans="1:19">
      <c r="A89" s="16">
        <v>46115</v>
      </c>
      <c r="C89" s="3">
        <v>52</v>
      </c>
      <c r="D89" s="6" t="s">
        <v>76</v>
      </c>
      <c r="E89" s="2">
        <v>46082</v>
      </c>
      <c r="F89" s="2">
        <v>46113</v>
      </c>
      <c r="G89" s="4">
        <v>2</v>
      </c>
      <c r="H89" s="15">
        <v>100</v>
      </c>
      <c r="K89" s="66">
        <f>IF(L89="CHE", COUNTIF($L$2:L89, "CHE"), "")</f>
        <v>57</v>
      </c>
      <c r="L89" s="66" t="s">
        <v>17</v>
      </c>
      <c r="M89" s="75">
        <v>136</v>
      </c>
      <c r="N89" s="84" t="s">
        <v>195</v>
      </c>
      <c r="O89" s="46">
        <f>SUMIF(C:C,M89,H:H)</f>
        <v>600</v>
      </c>
      <c r="P89" s="47">
        <f>_xlfn.MINIFS($E:$E,$C:$C,$M89)</f>
        <v>45658</v>
      </c>
      <c r="Q89" s="47">
        <f>_xlfn.MAXIFS($F:$F,$C:$C,$M89)</f>
        <v>45992</v>
      </c>
      <c r="R89" s="51">
        <f t="shared" si="2"/>
        <v>12</v>
      </c>
      <c r="S89">
        <f t="shared" si="3"/>
        <v>600</v>
      </c>
    </row>
    <row r="90" spans="1:19">
      <c r="A90" s="16">
        <v>46149</v>
      </c>
      <c r="C90" s="3">
        <v>52</v>
      </c>
      <c r="D90" s="6" t="s">
        <v>76</v>
      </c>
      <c r="E90" s="2">
        <v>46143</v>
      </c>
      <c r="F90" s="2">
        <v>46174</v>
      </c>
      <c r="G90" s="4">
        <v>2</v>
      </c>
      <c r="H90" s="15">
        <v>100</v>
      </c>
      <c r="K90" s="66">
        <f>IF(L90="CHE", COUNTIF($L$2:L90, "CHE"), "")</f>
        <v>58</v>
      </c>
      <c r="L90" s="66" t="s">
        <v>17</v>
      </c>
      <c r="M90" s="75">
        <v>137</v>
      </c>
      <c r="N90" s="84" t="s">
        <v>197</v>
      </c>
      <c r="O90" s="46">
        <f>SUMIF(C:C,M90,H:H)</f>
        <v>900</v>
      </c>
      <c r="P90" s="47">
        <f>_xlfn.MINIFS($E:$E,$C:$C,$M90)</f>
        <v>45627</v>
      </c>
      <c r="Q90" s="47">
        <f>_xlfn.MAXIFS($F:$F,$C:$C,$M90)</f>
        <v>46143</v>
      </c>
      <c r="R90" s="51">
        <f t="shared" si="2"/>
        <v>18</v>
      </c>
      <c r="S90">
        <f t="shared" si="3"/>
        <v>900</v>
      </c>
    </row>
    <row r="91" spans="1:19">
      <c r="A91" s="16">
        <v>45661</v>
      </c>
      <c r="B91" s="5" t="s">
        <v>186</v>
      </c>
      <c r="C91" s="3">
        <v>53</v>
      </c>
      <c r="D91" s="6" t="s">
        <v>78</v>
      </c>
      <c r="E91" s="2">
        <v>45658</v>
      </c>
      <c r="F91" s="2">
        <v>45992</v>
      </c>
      <c r="G91" s="4">
        <v>12</v>
      </c>
      <c r="H91" s="15">
        <v>600</v>
      </c>
      <c r="K91" s="66" t="str">
        <f>IF(L91="CHE", COUNTIF($L$2:L91, "CHE"), "")</f>
        <v/>
      </c>
      <c r="L91" s="66" t="s">
        <v>54</v>
      </c>
      <c r="M91" s="75">
        <v>138</v>
      </c>
      <c r="N91" s="84" t="s">
        <v>199</v>
      </c>
      <c r="O91" s="67">
        <f>SUMIF(C:C,M91,H:H)</f>
        <v>0</v>
      </c>
      <c r="P91" s="68">
        <f>_xlfn.MINIFS($E:$E,$C:$C,$M91)</f>
        <v>0</v>
      </c>
      <c r="Q91" s="68">
        <f>_xlfn.MAXIFS($F:$F,$C:$C,$M91)</f>
        <v>0</v>
      </c>
      <c r="R91" s="51">
        <f t="shared" si="2"/>
        <v>1</v>
      </c>
      <c r="S91">
        <f t="shared" si="3"/>
        <v>50</v>
      </c>
    </row>
    <row r="92" spans="1:19">
      <c r="A92" s="16">
        <v>46054</v>
      </c>
      <c r="B92" s="5" t="s">
        <v>188</v>
      </c>
      <c r="C92" s="3">
        <v>53</v>
      </c>
      <c r="D92" s="6" t="s">
        <v>78</v>
      </c>
      <c r="E92" s="2">
        <v>46023</v>
      </c>
      <c r="F92" s="2">
        <v>46357</v>
      </c>
      <c r="G92" s="4">
        <v>12</v>
      </c>
      <c r="H92" s="15">
        <v>600</v>
      </c>
      <c r="K92" s="66">
        <f>IF(L92="CHE", COUNTIF($L$2:L92, "CHE"), "")</f>
        <v>59</v>
      </c>
      <c r="L92" s="66" t="s">
        <v>17</v>
      </c>
      <c r="M92" s="75">
        <v>139</v>
      </c>
      <c r="N92" s="84" t="s">
        <v>200</v>
      </c>
      <c r="O92" s="46">
        <f>SUMIF(C:C,M92,H:H)</f>
        <v>1200</v>
      </c>
      <c r="P92" s="47">
        <f>_xlfn.MINIFS($E:$E,$C:$C,$M92)</f>
        <v>45658</v>
      </c>
      <c r="Q92" s="47">
        <f>_xlfn.MAXIFS($F:$F,$C:$C,$M92)</f>
        <v>46357</v>
      </c>
      <c r="R92" s="51">
        <f t="shared" si="2"/>
        <v>24</v>
      </c>
      <c r="S92">
        <f t="shared" si="3"/>
        <v>1200</v>
      </c>
    </row>
    <row r="93" spans="1:19">
      <c r="A93" s="16">
        <v>45487</v>
      </c>
      <c r="B93" s="5" t="s">
        <v>190</v>
      </c>
      <c r="C93" s="3">
        <v>54</v>
      </c>
      <c r="D93" s="6" t="s">
        <v>81</v>
      </c>
      <c r="E93" s="2">
        <v>45658</v>
      </c>
      <c r="F93" s="2">
        <v>45658</v>
      </c>
      <c r="G93" s="4">
        <v>1</v>
      </c>
      <c r="H93" s="15">
        <v>50</v>
      </c>
      <c r="K93" s="66" t="str">
        <f>IF(L93="CHE", COUNTIF($L$2:L93, "CHE"), "")</f>
        <v/>
      </c>
      <c r="L93" s="66" t="s">
        <v>21</v>
      </c>
      <c r="M93" s="76">
        <v>141</v>
      </c>
      <c r="N93" s="84" t="s">
        <v>202</v>
      </c>
      <c r="O93" s="46">
        <f>SUMIF(C:C,M93,H:H)</f>
        <v>0</v>
      </c>
      <c r="P93" s="47">
        <f>_xlfn.MINIFS($E:$E,$C:$C,$M93)</f>
        <v>0</v>
      </c>
      <c r="Q93" s="47">
        <f>_xlfn.MAXIFS($F:$F,$C:$C,$M93)</f>
        <v>0</v>
      </c>
      <c r="R93" s="51">
        <f t="shared" si="2"/>
        <v>1</v>
      </c>
      <c r="S93">
        <f t="shared" si="3"/>
        <v>50</v>
      </c>
    </row>
    <row r="94" spans="1:19">
      <c r="A94" s="16">
        <v>45696</v>
      </c>
      <c r="B94" s="5" t="s">
        <v>192</v>
      </c>
      <c r="C94" s="3">
        <v>54</v>
      </c>
      <c r="D94" s="6" t="s">
        <v>81</v>
      </c>
      <c r="E94" s="2">
        <v>45689</v>
      </c>
      <c r="F94" s="2">
        <v>45717</v>
      </c>
      <c r="G94" s="4">
        <v>2</v>
      </c>
      <c r="H94" s="15">
        <v>100</v>
      </c>
      <c r="K94" s="66" t="str">
        <f>IF(L94="CHE", COUNTIF($L$2:L94, "CHE"), "")</f>
        <v/>
      </c>
      <c r="L94" s="66" t="s">
        <v>21</v>
      </c>
      <c r="M94" s="76">
        <v>142</v>
      </c>
      <c r="N94" s="84" t="s">
        <v>204</v>
      </c>
      <c r="O94" s="46">
        <f>SUMIF(C:C,M94,H:H)</f>
        <v>0</v>
      </c>
      <c r="P94" s="47">
        <f>_xlfn.MINIFS($E:$E,$C:$C,$M94)</f>
        <v>0</v>
      </c>
      <c r="Q94" s="47">
        <f>_xlfn.MAXIFS($F:$F,$C:$C,$M94)</f>
        <v>0</v>
      </c>
      <c r="R94" s="51">
        <f t="shared" si="2"/>
        <v>1</v>
      </c>
      <c r="S94">
        <f t="shared" si="3"/>
        <v>50</v>
      </c>
    </row>
    <row r="95" spans="1:19">
      <c r="A95" s="16">
        <v>45730</v>
      </c>
      <c r="B95" s="5" t="s">
        <v>194</v>
      </c>
      <c r="C95" s="3">
        <v>54</v>
      </c>
      <c r="D95" s="6" t="s">
        <v>81</v>
      </c>
      <c r="E95" s="2">
        <v>45748</v>
      </c>
      <c r="F95" s="2">
        <v>46023</v>
      </c>
      <c r="G95" s="4">
        <v>10</v>
      </c>
      <c r="H95" s="15">
        <v>500</v>
      </c>
      <c r="K95" s="66" t="str">
        <f>IF(L95="CHE", COUNTIF($L$2:L95, "CHE"), "")</f>
        <v/>
      </c>
      <c r="L95" s="72" t="s">
        <v>206</v>
      </c>
      <c r="M95" s="76">
        <v>143</v>
      </c>
      <c r="N95" s="84" t="s">
        <v>207</v>
      </c>
      <c r="O95" s="46">
        <f>SUMIF(C:C,M95,H:H)</f>
        <v>0</v>
      </c>
      <c r="P95" s="47">
        <f>_xlfn.MINIFS($E:$E,$C:$C,$M95)</f>
        <v>0</v>
      </c>
      <c r="Q95" s="47">
        <f>_xlfn.MAXIFS($F:$F,$C:$C,$M95)</f>
        <v>0</v>
      </c>
      <c r="R95" s="51">
        <f t="shared" si="2"/>
        <v>1</v>
      </c>
      <c r="S95">
        <f t="shared" si="3"/>
        <v>50</v>
      </c>
    </row>
    <row r="96" spans="1:19">
      <c r="A96" s="16">
        <v>46107</v>
      </c>
      <c r="B96" s="5" t="s">
        <v>196</v>
      </c>
      <c r="C96" s="3">
        <v>54</v>
      </c>
      <c r="D96" s="6" t="s">
        <v>81</v>
      </c>
      <c r="E96" s="2">
        <v>46054</v>
      </c>
      <c r="F96" s="2">
        <v>46113</v>
      </c>
      <c r="G96" s="4">
        <v>3</v>
      </c>
      <c r="H96" s="15">
        <v>150</v>
      </c>
      <c r="K96" s="66" t="str">
        <f>IF(L96="CHE", COUNTIF($L$2:L96, "CHE"), "")</f>
        <v/>
      </c>
      <c r="L96" s="72" t="s">
        <v>209</v>
      </c>
      <c r="M96" s="76">
        <v>144</v>
      </c>
      <c r="N96" s="84" t="s">
        <v>210</v>
      </c>
      <c r="O96" s="46">
        <f>SUMIF(C:C,M96,H:H)</f>
        <v>0</v>
      </c>
      <c r="P96" s="47">
        <f>_xlfn.MINIFS($E:$E,$C:$C,$M96)</f>
        <v>0</v>
      </c>
      <c r="Q96" s="47">
        <f>_xlfn.MAXIFS($F:$F,$C:$C,$M96)</f>
        <v>0</v>
      </c>
      <c r="R96" s="51">
        <f t="shared" si="2"/>
        <v>1</v>
      </c>
      <c r="S96">
        <f t="shared" si="3"/>
        <v>50</v>
      </c>
    </row>
    <row r="97" spans="1:19">
      <c r="A97" s="59">
        <v>45729</v>
      </c>
      <c r="B97" s="60" t="s">
        <v>198</v>
      </c>
      <c r="C97" s="61">
        <v>61</v>
      </c>
      <c r="D97" s="62" t="s">
        <v>86</v>
      </c>
      <c r="E97" s="63">
        <v>45839</v>
      </c>
      <c r="F97" s="63">
        <v>46174</v>
      </c>
      <c r="G97" s="64">
        <v>12</v>
      </c>
      <c r="H97" s="65">
        <v>600</v>
      </c>
      <c r="K97" s="66">
        <f>IF(L97="CHE", COUNTIF($L$2:L97, "CHE"), "")</f>
        <v>60</v>
      </c>
      <c r="L97" s="66" t="s">
        <v>17</v>
      </c>
      <c r="M97" s="76">
        <v>145</v>
      </c>
      <c r="N97" s="84" t="s">
        <v>212</v>
      </c>
      <c r="O97" s="46">
        <f>SUMIF(C:C,M97,H:H)</f>
        <v>600</v>
      </c>
      <c r="P97" s="47">
        <f>_xlfn.MINIFS($E:$E,$C:$C,$M97)</f>
        <v>45658</v>
      </c>
      <c r="Q97" s="47">
        <f>_xlfn.MAXIFS($F:$F,$C:$C,$M97)</f>
        <v>45992</v>
      </c>
      <c r="R97" s="51">
        <f t="shared" si="2"/>
        <v>12</v>
      </c>
      <c r="S97">
        <f t="shared" si="3"/>
        <v>600</v>
      </c>
    </row>
    <row r="98" spans="1:19">
      <c r="A98" s="16">
        <v>46024</v>
      </c>
      <c r="B98" s="5" t="s">
        <v>746</v>
      </c>
      <c r="C98" s="3">
        <v>61</v>
      </c>
      <c r="D98" s="6" t="s">
        <v>86</v>
      </c>
      <c r="E98" s="2">
        <v>46204</v>
      </c>
      <c r="F98" s="2">
        <v>46235</v>
      </c>
      <c r="G98" s="4">
        <v>2</v>
      </c>
      <c r="H98" s="15">
        <v>100</v>
      </c>
      <c r="K98" s="66" t="str">
        <f>IF(L98="CHE", COUNTIF($L$2:L98, "CHE"), "")</f>
        <v/>
      </c>
      <c r="L98" s="72" t="s">
        <v>209</v>
      </c>
      <c r="M98" s="76">
        <v>147</v>
      </c>
      <c r="N98" s="84" t="s">
        <v>214</v>
      </c>
      <c r="O98" s="46">
        <f>SUMIF(C:C,M98,H:H)</f>
        <v>0</v>
      </c>
      <c r="P98" s="47">
        <f>_xlfn.MINIFS($E:$E,$C:$C,$M98)</f>
        <v>0</v>
      </c>
      <c r="Q98" s="47">
        <f>_xlfn.MAXIFS($F:$F,$C:$C,$M98)</f>
        <v>0</v>
      </c>
      <c r="R98" s="51">
        <f t="shared" si="2"/>
        <v>1</v>
      </c>
      <c r="S98">
        <f t="shared" si="3"/>
        <v>50</v>
      </c>
    </row>
    <row r="99" spans="1:19">
      <c r="A99" s="16">
        <v>46151</v>
      </c>
      <c r="C99" s="3">
        <v>61</v>
      </c>
      <c r="D99" s="6" t="s">
        <v>86</v>
      </c>
      <c r="E99" s="2">
        <v>46266</v>
      </c>
      <c r="F99" s="2">
        <v>46539</v>
      </c>
      <c r="G99" s="4">
        <v>10</v>
      </c>
      <c r="H99" s="15">
        <v>500</v>
      </c>
      <c r="K99" s="66">
        <f>IF(L99="CHE", COUNTIF($L$2:L99, "CHE"), "")</f>
        <v>61</v>
      </c>
      <c r="L99" s="66" t="s">
        <v>17</v>
      </c>
      <c r="M99" s="76">
        <v>148</v>
      </c>
      <c r="N99" s="84" t="s">
        <v>215</v>
      </c>
      <c r="O99" s="46">
        <f>SUMIF(C:C,M99,H:H)</f>
        <v>1200</v>
      </c>
      <c r="P99" s="47">
        <f>_xlfn.MINIFS($E:$E,$C:$C,$M99)</f>
        <v>45658</v>
      </c>
      <c r="Q99" s="47">
        <f>_xlfn.MAXIFS($F:$F,$C:$C,$M99)</f>
        <v>46357</v>
      </c>
      <c r="R99" s="51">
        <f t="shared" si="2"/>
        <v>24</v>
      </c>
      <c r="S99">
        <f t="shared" si="3"/>
        <v>1200</v>
      </c>
    </row>
    <row r="100" spans="1:19">
      <c r="A100" s="16">
        <v>45667</v>
      </c>
      <c r="B100" s="5" t="s">
        <v>201</v>
      </c>
      <c r="C100" s="3">
        <v>62</v>
      </c>
      <c r="D100" s="6" t="s">
        <v>88</v>
      </c>
      <c r="E100" s="2">
        <v>45658</v>
      </c>
      <c r="F100" s="2">
        <v>45809</v>
      </c>
      <c r="G100" s="4">
        <v>6</v>
      </c>
      <c r="H100" s="15">
        <v>300</v>
      </c>
      <c r="K100" s="66" t="str">
        <f>IF(L100="CHE", COUNTIF($L$2:L100, "CHE"), "")</f>
        <v/>
      </c>
      <c r="L100" s="66" t="s">
        <v>21</v>
      </c>
      <c r="M100" s="76">
        <v>149</v>
      </c>
      <c r="N100" s="84" t="s">
        <v>218</v>
      </c>
      <c r="O100" s="46">
        <f>SUMIF(C:C,M100,H:H)</f>
        <v>0</v>
      </c>
      <c r="P100" s="47">
        <f>_xlfn.MINIFS($E:$E,$C:$C,$M100)</f>
        <v>0</v>
      </c>
      <c r="Q100" s="47">
        <f>_xlfn.MAXIFS($F:$F,$C:$C,$M100)</f>
        <v>0</v>
      </c>
      <c r="R100" s="51">
        <f t="shared" si="2"/>
        <v>1</v>
      </c>
      <c r="S100">
        <f t="shared" si="3"/>
        <v>50</v>
      </c>
    </row>
    <row r="101" spans="1:19">
      <c r="A101" s="16">
        <v>45834</v>
      </c>
      <c r="B101" s="5" t="s">
        <v>203</v>
      </c>
      <c r="C101" s="3">
        <v>62</v>
      </c>
      <c r="D101" s="6" t="s">
        <v>88</v>
      </c>
      <c r="E101" s="2">
        <v>45839</v>
      </c>
      <c r="F101" s="2">
        <v>45992</v>
      </c>
      <c r="G101" s="4">
        <v>6</v>
      </c>
      <c r="H101" s="15">
        <v>300</v>
      </c>
      <c r="K101" s="66" t="str">
        <f>IF(L101="CHE", COUNTIF($L$2:L101, "CHE"), "")</f>
        <v/>
      </c>
      <c r="L101" s="66" t="s">
        <v>21</v>
      </c>
      <c r="M101" s="76">
        <v>150</v>
      </c>
      <c r="N101" s="84" t="s">
        <v>220</v>
      </c>
      <c r="O101" s="46">
        <f>SUMIF(C:C,M101,H:H)</f>
        <v>0</v>
      </c>
      <c r="P101" s="47">
        <f>_xlfn.MINIFS($E:$E,$C:$C,$M101)</f>
        <v>0</v>
      </c>
      <c r="Q101" s="47">
        <f>_xlfn.MAXIFS($F:$F,$C:$C,$M101)</f>
        <v>0</v>
      </c>
      <c r="R101" s="51">
        <f t="shared" si="2"/>
        <v>1</v>
      </c>
      <c r="S101">
        <f t="shared" si="3"/>
        <v>50</v>
      </c>
    </row>
    <row r="102" spans="1:19">
      <c r="A102" s="16">
        <v>46025</v>
      </c>
      <c r="B102" s="5" t="s">
        <v>205</v>
      </c>
      <c r="C102" s="3">
        <v>62</v>
      </c>
      <c r="D102" s="6" t="s">
        <v>88</v>
      </c>
      <c r="E102" s="2">
        <v>46023</v>
      </c>
      <c r="F102" s="2">
        <v>46174</v>
      </c>
      <c r="G102" s="4">
        <v>6</v>
      </c>
      <c r="H102" s="15">
        <v>300</v>
      </c>
      <c r="K102" s="66">
        <f>IF(L102="CHE", COUNTIF($L$2:L102, "CHE"), "")</f>
        <v>62</v>
      </c>
      <c r="L102" s="66" t="s">
        <v>17</v>
      </c>
      <c r="M102" s="76">
        <v>151</v>
      </c>
      <c r="N102" s="84" t="s">
        <v>222</v>
      </c>
      <c r="O102" s="46">
        <f>SUMIF(C:C,M102,H:H)</f>
        <v>1200</v>
      </c>
      <c r="P102" s="47">
        <f>_xlfn.MINIFS($E:$E,$C:$C,$M102)</f>
        <v>45658</v>
      </c>
      <c r="Q102" s="47">
        <f>_xlfn.MAXIFS($F:$F,$C:$C,$M102)</f>
        <v>46357</v>
      </c>
      <c r="R102" s="51">
        <f t="shared" si="2"/>
        <v>24</v>
      </c>
      <c r="S102">
        <f t="shared" si="3"/>
        <v>1200</v>
      </c>
    </row>
    <row r="103" spans="1:19">
      <c r="A103" s="16">
        <v>45669</v>
      </c>
      <c r="B103" s="5" t="s">
        <v>208</v>
      </c>
      <c r="C103" s="3">
        <v>64</v>
      </c>
      <c r="D103" s="6" t="s">
        <v>92</v>
      </c>
      <c r="E103" s="2">
        <v>45658</v>
      </c>
      <c r="F103" s="2">
        <v>45748</v>
      </c>
      <c r="G103" s="4">
        <v>4</v>
      </c>
      <c r="H103" s="15">
        <v>200</v>
      </c>
      <c r="K103" s="66" t="str">
        <f>IF(L103="CHE", COUNTIF($L$2:L103, "CHE"), "")</f>
        <v/>
      </c>
      <c r="L103" s="66" t="s">
        <v>21</v>
      </c>
      <c r="M103" s="76">
        <v>152</v>
      </c>
      <c r="N103" s="84" t="s">
        <v>224</v>
      </c>
      <c r="O103" s="46">
        <f>SUMIF(C:C,M103,H:H)</f>
        <v>0</v>
      </c>
      <c r="P103" s="47">
        <f>_xlfn.MINIFS($E:$E,$C:$C,$M103)</f>
        <v>0</v>
      </c>
      <c r="Q103" s="47">
        <f>_xlfn.MAXIFS($F:$F,$C:$C,$M103)</f>
        <v>0</v>
      </c>
      <c r="R103" s="51">
        <f t="shared" si="2"/>
        <v>1</v>
      </c>
      <c r="S103">
        <f t="shared" si="3"/>
        <v>50</v>
      </c>
    </row>
    <row r="104" spans="1:19">
      <c r="A104" s="16">
        <v>45833</v>
      </c>
      <c r="B104" s="5" t="s">
        <v>287</v>
      </c>
      <c r="C104" s="3">
        <v>64</v>
      </c>
      <c r="D104" s="6" t="s">
        <v>92</v>
      </c>
      <c r="E104" s="2">
        <v>45778</v>
      </c>
      <c r="F104" s="2">
        <v>45870</v>
      </c>
      <c r="G104" s="4">
        <v>4</v>
      </c>
      <c r="H104" s="15">
        <v>200</v>
      </c>
      <c r="K104" s="66" t="str">
        <f>IF(L104="CHE", COUNTIF($L$2:L104, "CHE"), "")</f>
        <v/>
      </c>
      <c r="L104" s="66" t="s">
        <v>54</v>
      </c>
      <c r="M104" s="76">
        <v>154</v>
      </c>
      <c r="N104" s="84" t="s">
        <v>225</v>
      </c>
      <c r="O104" s="67">
        <f>SUMIF(C:C,M104,H:H)</f>
        <v>300</v>
      </c>
      <c r="P104" s="68">
        <f>_xlfn.MINIFS($E:$E,$C:$C,$M104)</f>
        <v>45474</v>
      </c>
      <c r="Q104" s="68">
        <f>_xlfn.MAXIFS($F:$F,$C:$C,$M104)</f>
        <v>45627</v>
      </c>
      <c r="R104" s="51">
        <f t="shared" si="2"/>
        <v>6</v>
      </c>
      <c r="S104">
        <f t="shared" si="3"/>
        <v>300</v>
      </c>
    </row>
    <row r="105" spans="1:19">
      <c r="A105" s="16">
        <v>45864</v>
      </c>
      <c r="B105" s="5" t="s">
        <v>438</v>
      </c>
      <c r="C105" s="3">
        <v>64</v>
      </c>
      <c r="D105" s="6" t="s">
        <v>92</v>
      </c>
      <c r="E105" s="2">
        <v>45901</v>
      </c>
      <c r="F105" s="2">
        <v>45992</v>
      </c>
      <c r="G105" s="4">
        <v>4</v>
      </c>
      <c r="H105" s="15">
        <v>200</v>
      </c>
      <c r="K105" s="66">
        <f>IF(L105="CHE", COUNTIF($L$2:L105, "CHE"), "")</f>
        <v>63</v>
      </c>
      <c r="L105" s="66" t="s">
        <v>17</v>
      </c>
      <c r="M105" s="76">
        <v>155</v>
      </c>
      <c r="N105" s="84" t="s">
        <v>226</v>
      </c>
      <c r="O105" s="46">
        <f>SUMIF(C:C,M105,H:H)</f>
        <v>750</v>
      </c>
      <c r="P105" s="47">
        <f>_xlfn.MINIFS($E:$E,$C:$C,$M105)</f>
        <v>45658</v>
      </c>
      <c r="Q105" s="47">
        <f>_xlfn.MAXIFS($F:$F,$C:$C,$M105)</f>
        <v>46082</v>
      </c>
      <c r="R105" s="51">
        <f t="shared" si="2"/>
        <v>15</v>
      </c>
      <c r="S105">
        <f t="shared" si="3"/>
        <v>750</v>
      </c>
    </row>
    <row r="106" spans="1:19">
      <c r="A106" s="16">
        <v>46048</v>
      </c>
      <c r="B106" s="5" t="s">
        <v>758</v>
      </c>
      <c r="C106" s="3">
        <v>64</v>
      </c>
      <c r="D106" s="6" t="s">
        <v>92</v>
      </c>
      <c r="E106" s="2">
        <v>46023</v>
      </c>
      <c r="F106" s="2">
        <v>46113</v>
      </c>
      <c r="G106" s="4">
        <v>4</v>
      </c>
      <c r="H106" s="15">
        <v>200</v>
      </c>
      <c r="K106" s="66" t="str">
        <f>IF(L106="CHE", COUNTIF($L$2:L106, "CHE"), "")</f>
        <v/>
      </c>
      <c r="L106" s="72" t="s">
        <v>228</v>
      </c>
      <c r="M106" s="76">
        <v>157</v>
      </c>
      <c r="N106" s="84" t="s">
        <v>229</v>
      </c>
      <c r="O106" s="46">
        <f>SUMIF(C:C,M106,H:H)</f>
        <v>0</v>
      </c>
      <c r="P106" s="47">
        <f>_xlfn.MINIFS($E:$E,$C:$C,$M106)</f>
        <v>0</v>
      </c>
      <c r="Q106" s="47">
        <f>_xlfn.MAXIFS($F:$F,$C:$C,$M106)</f>
        <v>0</v>
      </c>
      <c r="R106" s="51">
        <f t="shared" si="2"/>
        <v>1</v>
      </c>
      <c r="S106">
        <f t="shared" si="3"/>
        <v>50</v>
      </c>
    </row>
    <row r="107" spans="1:19">
      <c r="A107" s="16">
        <v>46165</v>
      </c>
      <c r="C107" s="3">
        <v>64</v>
      </c>
      <c r="D107" s="6" t="s">
        <v>92</v>
      </c>
      <c r="E107" s="2">
        <v>46143</v>
      </c>
      <c r="F107" s="2">
        <v>46235</v>
      </c>
      <c r="G107" s="4">
        <v>4</v>
      </c>
      <c r="H107" s="15">
        <v>200</v>
      </c>
      <c r="K107" s="66" t="str">
        <f>IF(L107="CHE", COUNTIF($L$2:L107, "CHE"), "")</f>
        <v/>
      </c>
      <c r="L107" s="72" t="s">
        <v>231</v>
      </c>
      <c r="M107" s="76">
        <v>158</v>
      </c>
      <c r="N107" s="84" t="s">
        <v>232</v>
      </c>
      <c r="O107" s="46">
        <f>SUMIF(C:C,M107,H:H)</f>
        <v>0</v>
      </c>
      <c r="P107" s="47">
        <f>_xlfn.MINIFS($E:$E,$C:$C,$M107)</f>
        <v>0</v>
      </c>
      <c r="Q107" s="47">
        <f>_xlfn.MAXIFS($F:$F,$C:$C,$M107)</f>
        <v>0</v>
      </c>
      <c r="R107" s="51">
        <f t="shared" si="2"/>
        <v>1</v>
      </c>
      <c r="S107">
        <f t="shared" si="3"/>
        <v>50</v>
      </c>
    </row>
    <row r="108" spans="1:19">
      <c r="A108" s="52">
        <v>45654</v>
      </c>
      <c r="B108" s="53" t="s">
        <v>216</v>
      </c>
      <c r="C108" s="54">
        <v>67</v>
      </c>
      <c r="D108" s="55" t="s">
        <v>217</v>
      </c>
      <c r="E108" s="56">
        <v>45566</v>
      </c>
      <c r="F108" s="56">
        <v>45627</v>
      </c>
      <c r="G108" s="57">
        <v>3</v>
      </c>
      <c r="H108" s="58">
        <v>150</v>
      </c>
      <c r="K108" s="66">
        <f>IF(L108="CHE", COUNTIF($L$2:L108, "CHE"), "")</f>
        <v>64</v>
      </c>
      <c r="L108" s="66" t="s">
        <v>17</v>
      </c>
      <c r="M108" s="76">
        <v>160</v>
      </c>
      <c r="N108" s="84" t="s">
        <v>234</v>
      </c>
      <c r="O108" s="46">
        <f>SUMIF(C:C,M108,H:H)</f>
        <v>1200</v>
      </c>
      <c r="P108" s="47">
        <f>_xlfn.MINIFS($E:$E,$C:$C,$M108)</f>
        <v>45658</v>
      </c>
      <c r="Q108" s="47">
        <f>_xlfn.MAXIFS($F:$F,$C:$C,$M108)</f>
        <v>46357</v>
      </c>
      <c r="R108" s="51">
        <f t="shared" si="2"/>
        <v>24</v>
      </c>
      <c r="S108">
        <f t="shared" si="3"/>
        <v>1200</v>
      </c>
    </row>
    <row r="109" spans="1:19">
      <c r="A109" s="16">
        <v>45688</v>
      </c>
      <c r="B109" s="5" t="s">
        <v>219</v>
      </c>
      <c r="C109" s="3">
        <v>68</v>
      </c>
      <c r="D109" s="6" t="s">
        <v>96</v>
      </c>
      <c r="E109" s="2">
        <v>45658</v>
      </c>
      <c r="F109" s="2">
        <v>45717</v>
      </c>
      <c r="G109" s="4">
        <v>3</v>
      </c>
      <c r="H109" s="15">
        <v>150</v>
      </c>
      <c r="K109" s="66" t="str">
        <f>IF(L109="CHE", COUNTIF($L$2:L109, "CHE"), "")</f>
        <v/>
      </c>
      <c r="L109" s="72" t="s">
        <v>236</v>
      </c>
      <c r="M109" s="76">
        <v>161</v>
      </c>
      <c r="N109" s="84" t="s">
        <v>237</v>
      </c>
      <c r="O109" s="46">
        <f>SUMIF(C:C,M109,H:H)</f>
        <v>0</v>
      </c>
      <c r="P109" s="47">
        <f>_xlfn.MINIFS($E:$E,$C:$C,$M109)</f>
        <v>0</v>
      </c>
      <c r="Q109" s="47">
        <f>_xlfn.MAXIFS($F:$F,$C:$C,$M109)</f>
        <v>0</v>
      </c>
      <c r="R109" s="51">
        <f t="shared" si="2"/>
        <v>1</v>
      </c>
      <c r="S109">
        <f t="shared" si="3"/>
        <v>50</v>
      </c>
    </row>
    <row r="110" spans="1:19">
      <c r="A110" s="16">
        <v>45781</v>
      </c>
      <c r="B110" s="5" t="s">
        <v>377</v>
      </c>
      <c r="C110" s="3">
        <v>68</v>
      </c>
      <c r="D110" s="6" t="s">
        <v>96</v>
      </c>
      <c r="E110" s="2">
        <v>45748</v>
      </c>
      <c r="F110" s="2">
        <v>45809</v>
      </c>
      <c r="G110" s="4">
        <v>3</v>
      </c>
      <c r="H110" s="15">
        <v>150</v>
      </c>
      <c r="K110" s="66">
        <f>IF(L110="CHE", COUNTIF($L$2:L110, "CHE"), "")</f>
        <v>65</v>
      </c>
      <c r="L110" s="66" t="s">
        <v>17</v>
      </c>
      <c r="M110" s="76">
        <v>162</v>
      </c>
      <c r="N110" s="84" t="s">
        <v>239</v>
      </c>
      <c r="O110" s="46">
        <f>SUMIF(C:C,M110,H:H)</f>
        <v>900</v>
      </c>
      <c r="P110" s="47">
        <f>_xlfn.MINIFS($E:$E,$C:$C,$M110)</f>
        <v>45658</v>
      </c>
      <c r="Q110" s="47">
        <f>_xlfn.MAXIFS($F:$F,$C:$C,$M110)</f>
        <v>46174</v>
      </c>
      <c r="R110" s="51">
        <f t="shared" si="2"/>
        <v>18</v>
      </c>
      <c r="S110">
        <f t="shared" si="3"/>
        <v>900</v>
      </c>
    </row>
    <row r="111" spans="1:19">
      <c r="A111" s="16">
        <v>45899</v>
      </c>
      <c r="B111" s="5" t="s">
        <v>424</v>
      </c>
      <c r="C111" s="3">
        <v>68</v>
      </c>
      <c r="D111" s="6" t="s">
        <v>96</v>
      </c>
      <c r="E111" s="2">
        <v>45839</v>
      </c>
      <c r="F111" s="2">
        <v>45901</v>
      </c>
      <c r="G111" s="4">
        <v>3</v>
      </c>
      <c r="H111" s="15">
        <v>150</v>
      </c>
      <c r="K111" s="66" t="str">
        <f>IF(L111="CHE", COUNTIF($L$2:L111, "CHE"), "")</f>
        <v/>
      </c>
      <c r="L111" s="72" t="s">
        <v>240</v>
      </c>
      <c r="M111" s="76">
        <v>163</v>
      </c>
      <c r="N111" s="84" t="s">
        <v>241</v>
      </c>
      <c r="O111" s="46">
        <f>SUMIF(C:C,M111,H:H)</f>
        <v>500</v>
      </c>
      <c r="P111" s="47">
        <f>_xlfn.MINIFS($E:$E,$C:$C,$M111)</f>
        <v>45658</v>
      </c>
      <c r="Q111" s="47">
        <f>_xlfn.MAXIFS($F:$F,$C:$C,$M111)</f>
        <v>45931</v>
      </c>
      <c r="R111" s="51">
        <f t="shared" si="2"/>
        <v>10</v>
      </c>
      <c r="S111">
        <f t="shared" si="3"/>
        <v>500</v>
      </c>
    </row>
    <row r="112" spans="1:19">
      <c r="A112" s="16">
        <v>46007</v>
      </c>
      <c r="B112" s="5" t="s">
        <v>739</v>
      </c>
      <c r="C112" s="3">
        <v>68</v>
      </c>
      <c r="D112" s="6" t="s">
        <v>96</v>
      </c>
      <c r="E112" s="2">
        <v>45931</v>
      </c>
      <c r="F112" s="2">
        <v>45992</v>
      </c>
      <c r="G112" s="4">
        <v>3</v>
      </c>
      <c r="H112" s="15">
        <v>150</v>
      </c>
      <c r="K112" s="66">
        <f>IF(L112="CHE", COUNTIF($L$2:L112, "CHE"), "")</f>
        <v>66</v>
      </c>
      <c r="L112" s="66" t="s">
        <v>17</v>
      </c>
      <c r="M112" s="76">
        <v>164</v>
      </c>
      <c r="N112" s="84" t="s">
        <v>243</v>
      </c>
      <c r="O112" s="46">
        <f>SUMIF(C:C,M112,H:H)</f>
        <v>1050</v>
      </c>
      <c r="P112" s="47">
        <f>_xlfn.MINIFS($E:$E,$C:$C,$M112)</f>
        <v>45658</v>
      </c>
      <c r="Q112" s="47">
        <f>_xlfn.MAXIFS($F:$F,$C:$C,$M112)</f>
        <v>46266</v>
      </c>
      <c r="R112" s="51">
        <f t="shared" si="2"/>
        <v>21</v>
      </c>
      <c r="S112">
        <f t="shared" si="3"/>
        <v>1050</v>
      </c>
    </row>
    <row r="113" spans="1:19">
      <c r="A113" s="16">
        <v>46038</v>
      </c>
      <c r="B113" s="5" t="s">
        <v>754</v>
      </c>
      <c r="C113" s="3">
        <v>68</v>
      </c>
      <c r="D113" s="6" t="s">
        <v>96</v>
      </c>
      <c r="E113" s="2">
        <v>46023</v>
      </c>
      <c r="F113" s="2">
        <v>46082</v>
      </c>
      <c r="G113" s="4">
        <v>3</v>
      </c>
      <c r="H113" s="15">
        <v>150</v>
      </c>
      <c r="K113" s="66">
        <f>IF(L113="CHE", COUNTIF($L$2:L113, "CHE"), "")</f>
        <v>67</v>
      </c>
      <c r="L113" s="66" t="s">
        <v>17</v>
      </c>
      <c r="M113" s="76">
        <v>167</v>
      </c>
      <c r="N113" s="84" t="s">
        <v>245</v>
      </c>
      <c r="O113" s="46">
        <f>SUMIF(C:C,M113,H:H)</f>
        <v>900</v>
      </c>
      <c r="P113" s="47">
        <f>_xlfn.MINIFS($E:$E,$C:$C,$M113)</f>
        <v>45658</v>
      </c>
      <c r="Q113" s="47">
        <f>_xlfn.MAXIFS($F:$F,$C:$C,$M113)</f>
        <v>46174</v>
      </c>
      <c r="R113" s="51">
        <f t="shared" si="2"/>
        <v>18</v>
      </c>
      <c r="S113">
        <f t="shared" si="3"/>
        <v>900</v>
      </c>
    </row>
    <row r="114" spans="1:19">
      <c r="A114" s="16">
        <v>46143</v>
      </c>
      <c r="C114" s="3">
        <v>68</v>
      </c>
      <c r="D114" s="6" t="s">
        <v>96</v>
      </c>
      <c r="E114" s="2">
        <v>46113</v>
      </c>
      <c r="F114" s="2">
        <v>46174</v>
      </c>
      <c r="G114" s="4">
        <v>3</v>
      </c>
      <c r="H114" s="15">
        <v>150</v>
      </c>
      <c r="K114" s="66">
        <f>IF(L114="CHE", COUNTIF($L$2:L114, "CHE"), "")</f>
        <v>68</v>
      </c>
      <c r="L114" s="66" t="s">
        <v>17</v>
      </c>
      <c r="M114" s="76">
        <v>168</v>
      </c>
      <c r="N114" s="84" t="s">
        <v>247</v>
      </c>
      <c r="O114" s="46">
        <f>SUMIF(C:C,M114,H:H)</f>
        <v>700</v>
      </c>
      <c r="P114" s="47">
        <f>_xlfn.MINIFS($E:$E,$C:$C,$M114)</f>
        <v>45658</v>
      </c>
      <c r="Q114" s="47">
        <f>_xlfn.MAXIFS($F:$F,$C:$C,$M114)</f>
        <v>46054</v>
      </c>
      <c r="R114" s="51">
        <f t="shared" si="2"/>
        <v>14</v>
      </c>
      <c r="S114">
        <f t="shared" si="3"/>
        <v>700</v>
      </c>
    </row>
    <row r="115" spans="1:19">
      <c r="A115" s="16">
        <v>45686</v>
      </c>
      <c r="B115" s="5" t="s">
        <v>227</v>
      </c>
      <c r="C115" s="3">
        <v>69</v>
      </c>
      <c r="D115" s="6" t="s">
        <v>98</v>
      </c>
      <c r="E115" s="2">
        <v>45658</v>
      </c>
      <c r="F115" s="2">
        <v>45809</v>
      </c>
      <c r="G115" s="4">
        <v>6</v>
      </c>
      <c r="H115" s="15">
        <v>300</v>
      </c>
      <c r="K115" s="66" t="str">
        <f>IF(L115="CHE", COUNTIF($L$2:L115, "CHE"), "")</f>
        <v/>
      </c>
      <c r="L115" s="66" t="s">
        <v>21</v>
      </c>
      <c r="M115" s="76">
        <v>169</v>
      </c>
      <c r="N115" s="84" t="s">
        <v>249</v>
      </c>
      <c r="O115" s="46">
        <f>SUMIF(C:C,M115,H:H)</f>
        <v>0</v>
      </c>
      <c r="P115" s="47">
        <f>_xlfn.MINIFS($E:$E,$C:$C,$M115)</f>
        <v>0</v>
      </c>
      <c r="Q115" s="47">
        <f>_xlfn.MAXIFS($F:$F,$C:$C,$M115)</f>
        <v>0</v>
      </c>
      <c r="R115" s="51">
        <f t="shared" si="2"/>
        <v>1</v>
      </c>
      <c r="S115">
        <f t="shared" si="3"/>
        <v>50</v>
      </c>
    </row>
    <row r="116" spans="1:19">
      <c r="A116" s="16">
        <v>45759</v>
      </c>
      <c r="B116" s="5" t="s">
        <v>230</v>
      </c>
      <c r="C116" s="3">
        <v>69</v>
      </c>
      <c r="D116" s="6" t="s">
        <v>98</v>
      </c>
      <c r="E116" s="2">
        <v>45839</v>
      </c>
      <c r="F116" s="2">
        <v>45992</v>
      </c>
      <c r="G116" s="4">
        <v>6</v>
      </c>
      <c r="H116" s="15">
        <v>300</v>
      </c>
      <c r="K116" s="66">
        <f>IF(L116="CHE", COUNTIF($L$2:L116, "CHE"), "")</f>
        <v>69</v>
      </c>
      <c r="L116" s="66" t="s">
        <v>17</v>
      </c>
      <c r="M116" s="76">
        <v>170</v>
      </c>
      <c r="N116" s="84" t="s">
        <v>251</v>
      </c>
      <c r="O116" s="46">
        <f>SUMIF(C:C,M116,H:H)</f>
        <v>900</v>
      </c>
      <c r="P116" s="47">
        <f>_xlfn.MINIFS($E:$E,$C:$C,$M116)</f>
        <v>45658</v>
      </c>
      <c r="Q116" s="47">
        <f>_xlfn.MAXIFS($F:$F,$C:$C,$M116)</f>
        <v>46174</v>
      </c>
      <c r="R116" s="51">
        <f t="shared" si="2"/>
        <v>18</v>
      </c>
      <c r="S116">
        <f t="shared" si="3"/>
        <v>900</v>
      </c>
    </row>
    <row r="117" spans="1:19">
      <c r="A117" s="16">
        <v>46026</v>
      </c>
      <c r="B117" s="5" t="s">
        <v>233</v>
      </c>
      <c r="C117" s="3">
        <v>69</v>
      </c>
      <c r="D117" s="6" t="s">
        <v>98</v>
      </c>
      <c r="E117" s="2">
        <v>46023</v>
      </c>
      <c r="F117" s="2">
        <v>46174</v>
      </c>
      <c r="G117" s="4">
        <v>6</v>
      </c>
      <c r="H117" s="15">
        <v>300</v>
      </c>
      <c r="K117" s="66">
        <f>IF(L117="CHE", COUNTIF($L$2:L117, "CHE"), "")</f>
        <v>70</v>
      </c>
      <c r="L117" s="66" t="s">
        <v>17</v>
      </c>
      <c r="M117" s="76">
        <v>172</v>
      </c>
      <c r="N117" s="84" t="s">
        <v>253</v>
      </c>
      <c r="O117" s="46">
        <f>SUMIF(C:C,M117,H:H)</f>
        <v>900</v>
      </c>
      <c r="P117" s="47">
        <f>_xlfn.MINIFS($E:$E,$C:$C,$M117)</f>
        <v>45658</v>
      </c>
      <c r="Q117" s="47">
        <f>_xlfn.MAXIFS($F:$F,$C:$C,$M117)</f>
        <v>46174</v>
      </c>
      <c r="R117" s="51">
        <f t="shared" si="2"/>
        <v>18</v>
      </c>
      <c r="S117">
        <f t="shared" si="3"/>
        <v>900</v>
      </c>
    </row>
    <row r="118" spans="1:19">
      <c r="A118" s="16">
        <v>45557</v>
      </c>
      <c r="B118" s="5" t="s">
        <v>235</v>
      </c>
      <c r="C118" s="3">
        <v>70</v>
      </c>
      <c r="D118" s="6" t="s">
        <v>100</v>
      </c>
      <c r="E118" s="2">
        <v>45658</v>
      </c>
      <c r="F118" s="2">
        <v>45658</v>
      </c>
      <c r="G118" s="4">
        <v>1</v>
      </c>
      <c r="H118" s="15">
        <v>50</v>
      </c>
      <c r="K118" s="66">
        <f>IF(L118="CHE", COUNTIF($L$2:L118, "CHE"), "")</f>
        <v>71</v>
      </c>
      <c r="L118" s="66" t="s">
        <v>17</v>
      </c>
      <c r="M118" s="76">
        <v>173</v>
      </c>
      <c r="N118" s="84" t="s">
        <v>255</v>
      </c>
      <c r="O118" s="46">
        <f>SUMIF(C:C,M118,H:H)</f>
        <v>950</v>
      </c>
      <c r="P118" s="47">
        <f>_xlfn.MINIFS($E:$E,$C:$C,$M118)</f>
        <v>45536</v>
      </c>
      <c r="Q118" s="47">
        <f>_xlfn.MAXIFS($F:$F,$C:$C,$M118)</f>
        <v>46082</v>
      </c>
      <c r="R118" s="51">
        <f t="shared" si="2"/>
        <v>19</v>
      </c>
      <c r="S118">
        <f t="shared" si="3"/>
        <v>950</v>
      </c>
    </row>
    <row r="119" spans="1:19">
      <c r="A119" s="16">
        <v>45796</v>
      </c>
      <c r="B119" s="5" t="s">
        <v>285</v>
      </c>
      <c r="C119" s="3">
        <v>70</v>
      </c>
      <c r="D119" s="6" t="s">
        <v>100</v>
      </c>
      <c r="E119" s="2">
        <v>45689</v>
      </c>
      <c r="F119" s="2">
        <v>45839</v>
      </c>
      <c r="G119" s="4">
        <v>6</v>
      </c>
      <c r="H119" s="15">
        <v>300</v>
      </c>
      <c r="K119" s="66">
        <f>IF(L119="CHE", COUNTIF($L$2:L119, "CHE"), "")</f>
        <v>72</v>
      </c>
      <c r="L119" s="66" t="s">
        <v>17</v>
      </c>
      <c r="M119" s="76">
        <v>174</v>
      </c>
      <c r="N119" s="84" t="s">
        <v>257</v>
      </c>
      <c r="O119" s="46">
        <f>SUMIF(C:C,M119,H:H)</f>
        <v>1200</v>
      </c>
      <c r="P119" s="47">
        <f>_xlfn.MINIFS($E:$E,$C:$C,$M119)</f>
        <v>45658</v>
      </c>
      <c r="Q119" s="47">
        <f>_xlfn.MAXIFS($F:$F,$C:$C,$M119)</f>
        <v>46357</v>
      </c>
      <c r="R119" s="51">
        <f t="shared" si="2"/>
        <v>24</v>
      </c>
      <c r="S119">
        <f t="shared" si="3"/>
        <v>1200</v>
      </c>
    </row>
    <row r="120" spans="1:19">
      <c r="A120" s="16">
        <v>45958</v>
      </c>
      <c r="B120" s="5" t="s">
        <v>722</v>
      </c>
      <c r="C120" s="3">
        <v>70</v>
      </c>
      <c r="D120" s="6" t="s">
        <v>100</v>
      </c>
      <c r="E120" s="2">
        <v>45870</v>
      </c>
      <c r="F120" s="2">
        <v>46023</v>
      </c>
      <c r="G120" s="4">
        <v>6</v>
      </c>
      <c r="H120" s="15">
        <v>300</v>
      </c>
      <c r="K120" s="66">
        <f>IF(L120="CHE", COUNTIF($L$2:L120, "CHE"), "")</f>
        <v>73</v>
      </c>
      <c r="L120" s="66" t="s">
        <v>17</v>
      </c>
      <c r="M120" s="76">
        <v>175</v>
      </c>
      <c r="N120" s="84" t="s">
        <v>259</v>
      </c>
      <c r="O120" s="46">
        <f>SUMIF(C:C,M120,H:H)</f>
        <v>900</v>
      </c>
      <c r="P120" s="47">
        <f>_xlfn.MINIFS($E:$E,$C:$C,$M120)</f>
        <v>45597</v>
      </c>
      <c r="Q120" s="47">
        <f>_xlfn.MAXIFS($F:$F,$C:$C,$M120)</f>
        <v>46113</v>
      </c>
      <c r="R120" s="51">
        <f t="shared" si="2"/>
        <v>18</v>
      </c>
      <c r="S120">
        <f t="shared" si="3"/>
        <v>900</v>
      </c>
    </row>
    <row r="121" spans="1:19">
      <c r="A121" s="52">
        <v>45663</v>
      </c>
      <c r="B121" s="53" t="s">
        <v>242</v>
      </c>
      <c r="C121" s="54">
        <v>71</v>
      </c>
      <c r="D121" s="55" t="s">
        <v>102</v>
      </c>
      <c r="E121" s="56">
        <v>45566</v>
      </c>
      <c r="F121" s="56">
        <v>45778</v>
      </c>
      <c r="G121" s="57">
        <v>8</v>
      </c>
      <c r="H121" s="58">
        <v>400</v>
      </c>
      <c r="K121" s="66">
        <f>IF(L121="CHE", COUNTIF($L$2:L121, "CHE"), "")</f>
        <v>74</v>
      </c>
      <c r="L121" s="66" t="s">
        <v>17</v>
      </c>
      <c r="M121" s="76">
        <v>176</v>
      </c>
      <c r="N121" s="84" t="s">
        <v>261</v>
      </c>
      <c r="O121" s="46">
        <f>SUMIF(C:C,M121,H:H)</f>
        <v>1200</v>
      </c>
      <c r="P121" s="47">
        <f>_xlfn.MINIFS($E:$E,$C:$C,$M121)</f>
        <v>45658</v>
      </c>
      <c r="Q121" s="47">
        <f>_xlfn.MAXIFS($F:$F,$C:$C,$M121)</f>
        <v>46357</v>
      </c>
      <c r="R121" s="51">
        <f t="shared" si="2"/>
        <v>24</v>
      </c>
      <c r="S121">
        <f t="shared" si="3"/>
        <v>1200</v>
      </c>
    </row>
    <row r="122" spans="1:19">
      <c r="A122" s="16">
        <v>45734</v>
      </c>
      <c r="B122" s="5" t="s">
        <v>244</v>
      </c>
      <c r="C122" s="3">
        <v>72</v>
      </c>
      <c r="D122" s="6" t="s">
        <v>104</v>
      </c>
      <c r="E122" s="2">
        <v>45658</v>
      </c>
      <c r="F122" s="2">
        <v>45717</v>
      </c>
      <c r="G122" s="4">
        <v>3</v>
      </c>
      <c r="H122" s="15">
        <v>150</v>
      </c>
      <c r="K122" s="66">
        <f>IF(L122="CHE", COUNTIF($L$2:L122, "CHE"), "")</f>
        <v>75</v>
      </c>
      <c r="L122" s="66" t="s">
        <v>17</v>
      </c>
      <c r="M122" s="76">
        <v>177</v>
      </c>
      <c r="N122" s="84" t="s">
        <v>263</v>
      </c>
      <c r="O122" s="46">
        <f>SUMIF(C:C,M122,H:H)</f>
        <v>900</v>
      </c>
      <c r="P122" s="47">
        <f>_xlfn.MINIFS($E:$E,$C:$C,$M122)</f>
        <v>45658</v>
      </c>
      <c r="Q122" s="47">
        <f>_xlfn.MAXIFS($F:$F,$C:$C,$M122)</f>
        <v>46174</v>
      </c>
      <c r="R122" s="51">
        <f t="shared" si="2"/>
        <v>18</v>
      </c>
      <c r="S122">
        <f t="shared" si="3"/>
        <v>900</v>
      </c>
    </row>
    <row r="123" spans="1:19">
      <c r="A123" s="16">
        <v>45851</v>
      </c>
      <c r="B123" s="5" t="s">
        <v>246</v>
      </c>
      <c r="C123" s="3">
        <v>72</v>
      </c>
      <c r="D123" s="6" t="s">
        <v>104</v>
      </c>
      <c r="E123" s="2">
        <v>45748</v>
      </c>
      <c r="F123" s="2">
        <v>45809</v>
      </c>
      <c r="G123" s="4">
        <v>3</v>
      </c>
      <c r="H123" s="15">
        <v>150</v>
      </c>
      <c r="K123" s="66">
        <f>IF(L123="CHE", COUNTIF($L$2:L123, "CHE"), "")</f>
        <v>76</v>
      </c>
      <c r="L123" s="66" t="s">
        <v>17</v>
      </c>
      <c r="M123" s="76">
        <v>178</v>
      </c>
      <c r="N123" s="84" t="s">
        <v>265</v>
      </c>
      <c r="O123" s="46">
        <f>SUMIF(C:C,M123,H:H)</f>
        <v>950</v>
      </c>
      <c r="P123" s="47">
        <f>_xlfn.MINIFS($E:$E,$C:$C,$M123)</f>
        <v>45627</v>
      </c>
      <c r="Q123" s="47">
        <f>_xlfn.MAXIFS($F:$F,$C:$C,$M123)</f>
        <v>46174</v>
      </c>
      <c r="R123" s="51">
        <f t="shared" si="2"/>
        <v>19</v>
      </c>
      <c r="S123">
        <f t="shared" si="3"/>
        <v>950</v>
      </c>
    </row>
    <row r="124" spans="1:19">
      <c r="A124" s="16">
        <v>45936</v>
      </c>
      <c r="B124" s="5" t="s">
        <v>248</v>
      </c>
      <c r="C124" s="3">
        <v>72</v>
      </c>
      <c r="D124" s="6" t="s">
        <v>104</v>
      </c>
      <c r="E124" s="2">
        <v>45839</v>
      </c>
      <c r="F124" s="2">
        <v>45901</v>
      </c>
      <c r="G124" s="4">
        <v>3</v>
      </c>
      <c r="H124" s="15">
        <v>150</v>
      </c>
      <c r="K124" s="66" t="str">
        <f>IF(L124="CHE", COUNTIF($L$2:L124, "CHE"), "")</f>
        <v/>
      </c>
      <c r="L124" s="72" t="s">
        <v>136</v>
      </c>
      <c r="M124" s="76">
        <v>179</v>
      </c>
      <c r="N124" s="84" t="s">
        <v>267</v>
      </c>
      <c r="O124" s="46">
        <f>SUMIF(C:C,M124,H:H)</f>
        <v>0</v>
      </c>
      <c r="P124" s="47">
        <f>_xlfn.MINIFS($E:$E,$C:$C,$M124)</f>
        <v>0</v>
      </c>
      <c r="Q124" s="47">
        <f>_xlfn.MAXIFS($F:$F,$C:$C,$M124)</f>
        <v>0</v>
      </c>
      <c r="R124" s="51">
        <f t="shared" si="2"/>
        <v>1</v>
      </c>
      <c r="S124">
        <f t="shared" si="3"/>
        <v>50</v>
      </c>
    </row>
    <row r="125" spans="1:19">
      <c r="A125" s="16">
        <v>46118</v>
      </c>
      <c r="B125" s="5" t="s">
        <v>763</v>
      </c>
      <c r="C125" s="3">
        <v>72</v>
      </c>
      <c r="D125" s="6" t="s">
        <v>104</v>
      </c>
      <c r="E125" s="2">
        <v>45931</v>
      </c>
      <c r="F125" s="2">
        <v>45992</v>
      </c>
      <c r="G125" s="4">
        <v>3</v>
      </c>
      <c r="H125" s="15">
        <v>150</v>
      </c>
      <c r="K125" s="66">
        <f>IF(L125="CHE", COUNTIF($L$2:L125, "CHE"), "")</f>
        <v>77</v>
      </c>
      <c r="L125" s="66" t="s">
        <v>17</v>
      </c>
      <c r="M125" s="77">
        <v>180</v>
      </c>
      <c r="N125" s="84" t="s">
        <v>268</v>
      </c>
      <c r="O125" s="67">
        <f>SUMIF(C:C,M125,H:H)</f>
        <v>750</v>
      </c>
      <c r="P125" s="68">
        <f>_xlfn.MINIFS($E:$E,$C:$C,$M125)</f>
        <v>45658</v>
      </c>
      <c r="Q125" s="68">
        <f>_xlfn.MAXIFS($F:$F,$C:$C,$M125)</f>
        <v>46082</v>
      </c>
      <c r="R125" s="51">
        <f t="shared" si="2"/>
        <v>15</v>
      </c>
      <c r="S125">
        <f t="shared" si="3"/>
        <v>750</v>
      </c>
    </row>
    <row r="126" spans="1:19">
      <c r="A126" s="16">
        <v>46143</v>
      </c>
      <c r="B126" s="5" t="s">
        <v>779</v>
      </c>
      <c r="C126" s="3">
        <v>72</v>
      </c>
      <c r="D126" s="6" t="s">
        <v>104</v>
      </c>
      <c r="E126" s="2">
        <v>46023</v>
      </c>
      <c r="F126" s="2">
        <v>46082</v>
      </c>
      <c r="G126" s="4">
        <v>3</v>
      </c>
      <c r="H126" s="15">
        <v>150</v>
      </c>
      <c r="K126" s="66">
        <f>IF(L126="CHE", COUNTIF($L$2:L126, "CHE"), "")</f>
        <v>78</v>
      </c>
      <c r="L126" s="66" t="s">
        <v>17</v>
      </c>
      <c r="M126" s="77">
        <v>181</v>
      </c>
      <c r="N126" s="84" t="s">
        <v>269</v>
      </c>
      <c r="O126" s="46">
        <f>SUMIF(C:C,M126,H:H)</f>
        <v>800</v>
      </c>
      <c r="P126" s="47">
        <f>_xlfn.MINIFS($E:$E,$C:$C,$M126)</f>
        <v>45658</v>
      </c>
      <c r="Q126" s="47">
        <f>_xlfn.MAXIFS($F:$F,$C:$C,$M126)</f>
        <v>46174</v>
      </c>
      <c r="R126" s="51">
        <f t="shared" si="2"/>
        <v>18</v>
      </c>
      <c r="S126">
        <f t="shared" si="3"/>
        <v>900</v>
      </c>
    </row>
    <row r="127" spans="1:19">
      <c r="A127" s="16">
        <v>45677</v>
      </c>
      <c r="B127" s="5" t="s">
        <v>250</v>
      </c>
      <c r="C127" s="3">
        <v>73</v>
      </c>
      <c r="D127" s="6" t="s">
        <v>106</v>
      </c>
      <c r="E127" s="2">
        <v>45658</v>
      </c>
      <c r="F127" s="2">
        <v>45748</v>
      </c>
      <c r="G127" s="4">
        <v>4</v>
      </c>
      <c r="H127" s="15">
        <v>200</v>
      </c>
      <c r="K127" s="66" t="str">
        <f>IF(L127="CHE", COUNTIF($L$2:L127, "CHE"), "")</f>
        <v/>
      </c>
      <c r="L127" s="72" t="s">
        <v>271</v>
      </c>
      <c r="M127" s="77">
        <v>182</v>
      </c>
      <c r="N127" s="84" t="s">
        <v>272</v>
      </c>
      <c r="O127" s="46">
        <f>SUMIF(C:C,M127,H:H)</f>
        <v>0</v>
      </c>
      <c r="P127" s="47">
        <f>_xlfn.MINIFS($E:$E,$C:$C,$M127)</f>
        <v>0</v>
      </c>
      <c r="Q127" s="47">
        <f>_xlfn.MAXIFS($F:$F,$C:$C,$M127)</f>
        <v>0</v>
      </c>
      <c r="R127" s="51">
        <f t="shared" si="2"/>
        <v>1</v>
      </c>
      <c r="S127">
        <f t="shared" si="3"/>
        <v>50</v>
      </c>
    </row>
    <row r="128" spans="1:19">
      <c r="A128" s="16">
        <v>45789</v>
      </c>
      <c r="B128" s="5" t="s">
        <v>252</v>
      </c>
      <c r="C128" s="3">
        <v>73</v>
      </c>
      <c r="D128" s="6" t="s">
        <v>106</v>
      </c>
      <c r="E128" s="2">
        <v>45778</v>
      </c>
      <c r="F128" s="2">
        <v>45870</v>
      </c>
      <c r="G128" s="4">
        <v>4</v>
      </c>
      <c r="H128" s="15">
        <v>200</v>
      </c>
      <c r="K128" s="66">
        <f>IF(L128="CHE", COUNTIF($L$2:L128, "CHE"), "")</f>
        <v>79</v>
      </c>
      <c r="L128" s="66" t="s">
        <v>17</v>
      </c>
      <c r="M128" s="77">
        <v>183</v>
      </c>
      <c r="N128" s="84" t="s">
        <v>274</v>
      </c>
      <c r="O128" s="46">
        <f>SUMIF(C:C,M128,H:H)</f>
        <v>900</v>
      </c>
      <c r="P128" s="47">
        <f>_xlfn.MINIFS($E:$E,$C:$C,$M128)</f>
        <v>45658</v>
      </c>
      <c r="Q128" s="47">
        <f>_xlfn.MAXIFS($F:$F,$C:$C,$M128)</f>
        <v>46174</v>
      </c>
      <c r="R128" s="51">
        <f t="shared" si="2"/>
        <v>18</v>
      </c>
      <c r="S128">
        <f t="shared" si="3"/>
        <v>900</v>
      </c>
    </row>
    <row r="129" spans="1:19">
      <c r="A129" s="16">
        <v>45917</v>
      </c>
      <c r="B129" s="5" t="s">
        <v>254</v>
      </c>
      <c r="C129" s="3">
        <v>73</v>
      </c>
      <c r="D129" s="6" t="s">
        <v>106</v>
      </c>
      <c r="E129" s="2">
        <v>45901</v>
      </c>
      <c r="F129" s="2">
        <v>45992</v>
      </c>
      <c r="G129" s="4">
        <v>4</v>
      </c>
      <c r="H129" s="15">
        <v>200</v>
      </c>
      <c r="K129" s="66">
        <f>IF(L129="CHE", COUNTIF($L$2:L129, "CHE"), "")</f>
        <v>80</v>
      </c>
      <c r="L129" s="66" t="s">
        <v>17</v>
      </c>
      <c r="M129" s="77">
        <v>184</v>
      </c>
      <c r="N129" s="84" t="s">
        <v>276</v>
      </c>
      <c r="O129" s="46">
        <f>SUMIF(C:C,M129,H:H)</f>
        <v>1000</v>
      </c>
      <c r="P129" s="47">
        <f>_xlfn.MINIFS($E:$E,$C:$C,$M129)</f>
        <v>45597</v>
      </c>
      <c r="Q129" s="47">
        <f>_xlfn.MAXIFS($F:$F,$C:$C,$M129)</f>
        <v>46174</v>
      </c>
      <c r="R129" s="51">
        <f t="shared" si="2"/>
        <v>20</v>
      </c>
      <c r="S129">
        <f t="shared" si="3"/>
        <v>1000</v>
      </c>
    </row>
    <row r="130" spans="1:19">
      <c r="A130" s="16">
        <v>46036</v>
      </c>
      <c r="B130" s="5" t="s">
        <v>256</v>
      </c>
      <c r="C130" s="3">
        <v>73</v>
      </c>
      <c r="D130" s="6" t="s">
        <v>106</v>
      </c>
      <c r="E130" s="2">
        <v>46023</v>
      </c>
      <c r="F130" s="2">
        <v>46113</v>
      </c>
      <c r="G130" s="4">
        <v>4</v>
      </c>
      <c r="H130" s="15">
        <v>200</v>
      </c>
      <c r="K130" s="66">
        <f>IF(L130="CHE", COUNTIF($L$2:L130, "CHE"), "")</f>
        <v>81</v>
      </c>
      <c r="L130" s="66" t="s">
        <v>17</v>
      </c>
      <c r="M130" s="77">
        <v>185</v>
      </c>
      <c r="N130" s="84" t="s">
        <v>278</v>
      </c>
      <c r="O130" s="46">
        <f>SUMIF(C:C,M130,H:H)</f>
        <v>950</v>
      </c>
      <c r="P130" s="47">
        <f>_xlfn.MINIFS($E:$E,$C:$C,$M130)</f>
        <v>45536</v>
      </c>
      <c r="Q130" s="47">
        <f>_xlfn.MAXIFS($F:$F,$C:$C,$M130)</f>
        <v>46082</v>
      </c>
      <c r="R130" s="51">
        <f t="shared" si="2"/>
        <v>19</v>
      </c>
      <c r="S130">
        <f t="shared" si="3"/>
        <v>950</v>
      </c>
    </row>
    <row r="131" spans="1:19">
      <c r="A131" s="16">
        <v>45663</v>
      </c>
      <c r="B131" s="5" t="s">
        <v>258</v>
      </c>
      <c r="C131" s="3">
        <v>74</v>
      </c>
      <c r="D131" s="6" t="s">
        <v>108</v>
      </c>
      <c r="E131" s="2">
        <v>45658</v>
      </c>
      <c r="F131" s="2">
        <v>45778</v>
      </c>
      <c r="G131" s="4">
        <v>5</v>
      </c>
      <c r="H131" s="15">
        <v>250</v>
      </c>
      <c r="K131" s="66">
        <f>IF(L131="CHE", COUNTIF($L$2:L131, "CHE"), "")</f>
        <v>82</v>
      </c>
      <c r="L131" s="66" t="s">
        <v>17</v>
      </c>
      <c r="M131" s="77">
        <v>186</v>
      </c>
      <c r="N131" s="84" t="s">
        <v>280</v>
      </c>
      <c r="O131" s="46">
        <f>SUMIF(C:C,M131,H:H)</f>
        <v>900</v>
      </c>
      <c r="P131" s="47">
        <f>_xlfn.MINIFS($E:$E,$C:$C,$M131)</f>
        <v>45658</v>
      </c>
      <c r="Q131" s="47">
        <f>_xlfn.MAXIFS($F:$F,$C:$C,$M131)</f>
        <v>46174</v>
      </c>
      <c r="R131" s="51">
        <f t="shared" ref="R131:R179" si="4">DATEDIF(P131,Q131,"M")+1</f>
        <v>18</v>
      </c>
      <c r="S131">
        <f t="shared" ref="S131:S179" si="5">50*R131</f>
        <v>900</v>
      </c>
    </row>
    <row r="132" spans="1:19">
      <c r="A132" s="16">
        <v>45804</v>
      </c>
      <c r="B132" s="5" t="s">
        <v>260</v>
      </c>
      <c r="C132" s="3">
        <v>74</v>
      </c>
      <c r="D132" s="6" t="s">
        <v>108</v>
      </c>
      <c r="E132" s="2">
        <v>45809</v>
      </c>
      <c r="F132" s="2">
        <v>45992</v>
      </c>
      <c r="G132" s="4">
        <v>7</v>
      </c>
      <c r="H132" s="15">
        <v>350</v>
      </c>
      <c r="K132" s="66" t="str">
        <f>IF(L132="CHE", COUNTIF($L$2:L132, "CHE"), "")</f>
        <v/>
      </c>
      <c r="L132" s="66" t="s">
        <v>21</v>
      </c>
      <c r="M132" s="77">
        <v>187</v>
      </c>
      <c r="N132" s="84" t="s">
        <v>282</v>
      </c>
      <c r="O132" s="46">
        <f>SUMIF(C:C,M132,H:H)</f>
        <v>0</v>
      </c>
      <c r="P132" s="47">
        <f>_xlfn.MINIFS($E:$E,$C:$C,$M132)</f>
        <v>0</v>
      </c>
      <c r="Q132" s="47">
        <f>_xlfn.MAXIFS($F:$F,$C:$C,$M132)</f>
        <v>0</v>
      </c>
      <c r="R132" s="51">
        <f t="shared" si="4"/>
        <v>1</v>
      </c>
      <c r="S132">
        <f t="shared" si="5"/>
        <v>50</v>
      </c>
    </row>
    <row r="133" spans="1:19">
      <c r="A133" s="16">
        <v>46041</v>
      </c>
      <c r="B133" s="5" t="s">
        <v>262</v>
      </c>
      <c r="C133" s="3">
        <v>74</v>
      </c>
      <c r="D133" s="6" t="s">
        <v>108</v>
      </c>
      <c r="E133" s="2">
        <v>46023</v>
      </c>
      <c r="F133" s="2">
        <v>46082</v>
      </c>
      <c r="G133" s="4">
        <v>3</v>
      </c>
      <c r="H133" s="15">
        <v>150</v>
      </c>
      <c r="K133" s="66">
        <f>IF(L133="CHE", COUNTIF($L$2:L133, "CHE"), "")</f>
        <v>83</v>
      </c>
      <c r="L133" s="66" t="s">
        <v>17</v>
      </c>
      <c r="M133" s="77">
        <v>188</v>
      </c>
      <c r="N133" s="84" t="s">
        <v>284</v>
      </c>
      <c r="O133" s="46">
        <f>SUMIF(C:C,M133,H:H)</f>
        <v>1200</v>
      </c>
      <c r="P133" s="47">
        <f>_xlfn.MINIFS($E:$E,$C:$C,$M133)</f>
        <v>45658</v>
      </c>
      <c r="Q133" s="47">
        <f>_xlfn.MAXIFS($F:$F,$C:$C,$M133)</f>
        <v>46357</v>
      </c>
      <c r="R133" s="51">
        <f t="shared" si="4"/>
        <v>24</v>
      </c>
      <c r="S133">
        <f t="shared" si="5"/>
        <v>1200</v>
      </c>
    </row>
    <row r="134" spans="1:19">
      <c r="A134" s="16">
        <v>46085</v>
      </c>
      <c r="B134" s="5" t="s">
        <v>264</v>
      </c>
      <c r="C134" s="3">
        <v>74</v>
      </c>
      <c r="D134" s="6" t="s">
        <v>108</v>
      </c>
      <c r="E134" s="2">
        <v>46113</v>
      </c>
      <c r="F134" s="2">
        <v>46143</v>
      </c>
      <c r="G134" s="4">
        <v>2</v>
      </c>
      <c r="H134" s="15">
        <v>100</v>
      </c>
      <c r="K134" s="66">
        <f>IF(L134="CHE", COUNTIF($L$2:L134, "CHE"), "")</f>
        <v>84</v>
      </c>
      <c r="L134" s="66" t="s">
        <v>17</v>
      </c>
      <c r="M134" s="77">
        <v>189</v>
      </c>
      <c r="N134" s="84" t="s">
        <v>286</v>
      </c>
      <c r="O134" s="46">
        <f>SUMIF(C:C,M134,H:H)</f>
        <v>1200</v>
      </c>
      <c r="P134" s="47">
        <f>_xlfn.MINIFS($E:$E,$C:$C,$M134)</f>
        <v>45658</v>
      </c>
      <c r="Q134" s="47">
        <f>_xlfn.MAXIFS($F:$F,$C:$C,$M134)</f>
        <v>46357</v>
      </c>
      <c r="R134" s="51">
        <f t="shared" si="4"/>
        <v>24</v>
      </c>
      <c r="S134">
        <f t="shared" si="5"/>
        <v>1200</v>
      </c>
    </row>
    <row r="135" spans="1:19">
      <c r="A135" s="16">
        <v>45653</v>
      </c>
      <c r="B135" s="5" t="s">
        <v>266</v>
      </c>
      <c r="C135" s="3">
        <v>78</v>
      </c>
      <c r="D135" s="6" t="s">
        <v>113</v>
      </c>
      <c r="E135" s="2">
        <v>45566</v>
      </c>
      <c r="F135" s="2">
        <v>45717</v>
      </c>
      <c r="G135" s="4">
        <v>6</v>
      </c>
      <c r="H135" s="15">
        <v>300</v>
      </c>
      <c r="K135" s="66" t="str">
        <f>IF(L135="CHE", COUNTIF($L$2:L135, "CHE"), "")</f>
        <v/>
      </c>
      <c r="L135" s="72" t="s">
        <v>288</v>
      </c>
      <c r="M135" s="77">
        <v>190</v>
      </c>
      <c r="N135" s="84" t="s">
        <v>289</v>
      </c>
      <c r="O135" s="46">
        <f>SUMIF(C:C,M135,H:H)</f>
        <v>0</v>
      </c>
      <c r="P135" s="47">
        <f>_xlfn.MINIFS($E:$E,$C:$C,$M135)</f>
        <v>0</v>
      </c>
      <c r="Q135" s="47">
        <f>_xlfn.MAXIFS($F:$F,$C:$C,$M135)</f>
        <v>0</v>
      </c>
      <c r="R135" s="51">
        <f t="shared" si="4"/>
        <v>1</v>
      </c>
      <c r="S135">
        <f t="shared" si="5"/>
        <v>50</v>
      </c>
    </row>
    <row r="136" spans="1:19">
      <c r="A136" s="94">
        <v>45653</v>
      </c>
      <c r="B136" s="95" t="s">
        <v>266</v>
      </c>
      <c r="C136" s="96">
        <v>78</v>
      </c>
      <c r="D136" s="97" t="s">
        <v>113</v>
      </c>
      <c r="E136" s="98">
        <v>45658</v>
      </c>
      <c r="F136" s="98">
        <v>45717</v>
      </c>
      <c r="G136" s="99">
        <v>3</v>
      </c>
      <c r="H136" s="100">
        <v>150</v>
      </c>
      <c r="K136" s="66">
        <f>IF(L136="CHE", COUNTIF($L$2:L136, "CHE"), "")</f>
        <v>85</v>
      </c>
      <c r="L136" s="66" t="s">
        <v>17</v>
      </c>
      <c r="M136" s="77">
        <v>191</v>
      </c>
      <c r="N136" s="84" t="s">
        <v>291</v>
      </c>
      <c r="O136" s="46">
        <f>SUMIF(C:C,M136,H:H)</f>
        <v>900</v>
      </c>
      <c r="P136" s="47">
        <f>_xlfn.MINIFS($E:$E,$C:$C,$M136)</f>
        <v>45658</v>
      </c>
      <c r="Q136" s="47">
        <f>_xlfn.MAXIFS($F:$F,$C:$C,$M136)</f>
        <v>46174</v>
      </c>
      <c r="R136" s="51">
        <f t="shared" si="4"/>
        <v>18</v>
      </c>
      <c r="S136">
        <f t="shared" si="5"/>
        <v>900</v>
      </c>
    </row>
    <row r="137" spans="1:19">
      <c r="A137" s="16">
        <v>46112</v>
      </c>
      <c r="C137" s="3">
        <v>78</v>
      </c>
      <c r="D137" s="6" t="s">
        <v>113</v>
      </c>
      <c r="E137" s="2">
        <v>45748</v>
      </c>
      <c r="F137" s="2">
        <v>45992</v>
      </c>
      <c r="G137" s="4">
        <v>9</v>
      </c>
      <c r="H137" s="15">
        <v>450</v>
      </c>
      <c r="K137" s="66">
        <f>IF(L137="CHE", COUNTIF($L$2:L137, "CHE"), "")</f>
        <v>86</v>
      </c>
      <c r="L137" s="66" t="s">
        <v>17</v>
      </c>
      <c r="M137" s="77">
        <v>192</v>
      </c>
      <c r="N137" s="84" t="s">
        <v>293</v>
      </c>
      <c r="O137" s="46">
        <f>SUMIF(C:C,M137,H:H)</f>
        <v>1200</v>
      </c>
      <c r="P137" s="47">
        <f>_xlfn.MINIFS($E:$E,$C:$C,$M137)</f>
        <v>45658</v>
      </c>
      <c r="Q137" s="47">
        <f>_xlfn.MAXIFS($F:$F,$C:$C,$M137)</f>
        <v>46357</v>
      </c>
      <c r="R137" s="51">
        <f t="shared" si="4"/>
        <v>24</v>
      </c>
      <c r="S137">
        <f t="shared" si="5"/>
        <v>1200</v>
      </c>
    </row>
    <row r="138" spans="1:19">
      <c r="A138" s="16">
        <v>46141</v>
      </c>
      <c r="C138" s="3">
        <v>78</v>
      </c>
      <c r="D138" s="6" t="s">
        <v>113</v>
      </c>
      <c r="E138" s="2">
        <v>46023</v>
      </c>
      <c r="F138" s="2">
        <v>46174</v>
      </c>
      <c r="G138" s="4">
        <v>6</v>
      </c>
      <c r="H138" s="15">
        <v>300</v>
      </c>
      <c r="K138" s="66">
        <f>IF(L138="CHE", COUNTIF($L$2:L138, "CHE"), "")</f>
        <v>87</v>
      </c>
      <c r="L138" s="66" t="s">
        <v>17</v>
      </c>
      <c r="M138" s="77">
        <v>193</v>
      </c>
      <c r="N138" s="84" t="s">
        <v>294</v>
      </c>
      <c r="O138" s="46">
        <f>SUMIF(C:C,M138,H:H)</f>
        <v>1050</v>
      </c>
      <c r="P138" s="47">
        <f>_xlfn.MINIFS($E:$E,$C:$C,$M138)</f>
        <v>45566</v>
      </c>
      <c r="Q138" s="47">
        <f>_xlfn.MAXIFS($F:$F,$C:$C,$M138)</f>
        <v>46174</v>
      </c>
      <c r="R138" s="51">
        <f t="shared" si="4"/>
        <v>21</v>
      </c>
      <c r="S138">
        <f t="shared" si="5"/>
        <v>1050</v>
      </c>
    </row>
    <row r="139" spans="1:19">
      <c r="A139" s="52">
        <v>45665</v>
      </c>
      <c r="B139" s="53" t="s">
        <v>270</v>
      </c>
      <c r="C139" s="54">
        <v>79</v>
      </c>
      <c r="D139" s="55" t="s">
        <v>115</v>
      </c>
      <c r="E139" s="56">
        <v>45536</v>
      </c>
      <c r="F139" s="56">
        <v>45658</v>
      </c>
      <c r="G139" s="57">
        <v>5</v>
      </c>
      <c r="H139" s="58">
        <v>250</v>
      </c>
      <c r="K139" s="66">
        <f>IF(L139="CHE", COUNTIF($L$2:L139, "CHE"), "")</f>
        <v>88</v>
      </c>
      <c r="L139" s="66" t="s">
        <v>17</v>
      </c>
      <c r="M139" s="77">
        <v>194</v>
      </c>
      <c r="N139" s="84" t="s">
        <v>295</v>
      </c>
      <c r="O139" s="46">
        <f>SUMIF(C:C,M139,H:H)</f>
        <v>1000</v>
      </c>
      <c r="P139" s="47">
        <f>_xlfn.MINIFS($E:$E,$C:$C,$M139)</f>
        <v>45658</v>
      </c>
      <c r="Q139" s="47">
        <f>_xlfn.MAXIFS($F:$F,$C:$C,$M139)</f>
        <v>46235</v>
      </c>
      <c r="R139" s="51">
        <f t="shared" si="4"/>
        <v>20</v>
      </c>
      <c r="S139">
        <f t="shared" si="5"/>
        <v>1000</v>
      </c>
    </row>
    <row r="140" spans="1:19">
      <c r="A140" s="16">
        <v>45629</v>
      </c>
      <c r="B140" s="5" t="s">
        <v>273</v>
      </c>
      <c r="C140" s="3">
        <v>80</v>
      </c>
      <c r="D140" s="6" t="s">
        <v>117</v>
      </c>
      <c r="E140" s="2">
        <v>45597</v>
      </c>
      <c r="F140" s="2">
        <v>45597</v>
      </c>
      <c r="G140" s="4">
        <v>1</v>
      </c>
      <c r="H140" s="15">
        <v>50</v>
      </c>
      <c r="K140" s="66">
        <f>IF(L140="CHE", COUNTIF($L$2:L140, "CHE"), "")</f>
        <v>89</v>
      </c>
      <c r="L140" s="66" t="s">
        <v>17</v>
      </c>
      <c r="M140" s="77">
        <v>195</v>
      </c>
      <c r="N140" s="84" t="s">
        <v>296</v>
      </c>
      <c r="O140" s="46">
        <f>SUMIF(C:C,M140,H:H)</f>
        <v>1200</v>
      </c>
      <c r="P140" s="47">
        <f>_xlfn.MINIFS($E:$E,$C:$C,$M140)</f>
        <v>45658</v>
      </c>
      <c r="Q140" s="47">
        <f>_xlfn.MAXIFS($F:$F,$C:$C,$M140)</f>
        <v>46357</v>
      </c>
      <c r="R140" s="51">
        <f t="shared" si="4"/>
        <v>24</v>
      </c>
      <c r="S140">
        <f t="shared" si="5"/>
        <v>1200</v>
      </c>
    </row>
    <row r="141" spans="1:19">
      <c r="A141" s="16">
        <v>45671</v>
      </c>
      <c r="B141" s="5" t="s">
        <v>275</v>
      </c>
      <c r="C141" s="3">
        <v>80</v>
      </c>
      <c r="D141" s="6" t="s">
        <v>117</v>
      </c>
      <c r="E141" s="2">
        <v>45658</v>
      </c>
      <c r="F141" s="2">
        <v>45658</v>
      </c>
      <c r="G141" s="4">
        <v>1</v>
      </c>
      <c r="H141" s="15">
        <v>50</v>
      </c>
      <c r="K141" s="66" t="str">
        <f>IF(L141="CHE", COUNTIF($L$2:L141, "CHE"), "")</f>
        <v/>
      </c>
      <c r="L141" s="72" t="s">
        <v>297</v>
      </c>
      <c r="M141" s="77">
        <v>196</v>
      </c>
      <c r="N141" s="84" t="s">
        <v>298</v>
      </c>
      <c r="O141" s="46">
        <f>SUMIF(C:C,M141,H:H)</f>
        <v>0</v>
      </c>
      <c r="P141" s="47">
        <f>_xlfn.MINIFS($E:$E,$C:$C,$M141)</f>
        <v>0</v>
      </c>
      <c r="Q141" s="47">
        <f>_xlfn.MAXIFS($F:$F,$C:$C,$M141)</f>
        <v>0</v>
      </c>
      <c r="R141" s="51">
        <f t="shared" si="4"/>
        <v>1</v>
      </c>
      <c r="S141">
        <f t="shared" si="5"/>
        <v>50</v>
      </c>
    </row>
    <row r="142" spans="1:19">
      <c r="A142" s="16">
        <v>45686</v>
      </c>
      <c r="B142" s="5" t="s">
        <v>277</v>
      </c>
      <c r="C142" s="3">
        <v>80</v>
      </c>
      <c r="D142" s="6" t="s">
        <v>117</v>
      </c>
      <c r="E142" s="2">
        <v>45689</v>
      </c>
      <c r="F142" s="2">
        <v>45689</v>
      </c>
      <c r="G142" s="4">
        <v>1</v>
      </c>
      <c r="H142" s="15">
        <v>50</v>
      </c>
      <c r="K142" s="66" t="str">
        <f>IF(L142="CHE", COUNTIF($L$2:L142, "CHE"), "")</f>
        <v/>
      </c>
      <c r="L142" s="90" t="s">
        <v>300</v>
      </c>
      <c r="M142" s="77">
        <v>197</v>
      </c>
      <c r="N142" s="84" t="s">
        <v>301</v>
      </c>
      <c r="O142" s="46">
        <f>SUMIF(C:C,M142,H:H)</f>
        <v>0</v>
      </c>
      <c r="P142" s="47">
        <f>_xlfn.MINIFS($E:$E,$C:$C,$M142)</f>
        <v>0</v>
      </c>
      <c r="Q142" s="47">
        <f>_xlfn.MAXIFS($F:$F,$C:$C,$M142)</f>
        <v>0</v>
      </c>
      <c r="R142" s="51">
        <f t="shared" si="4"/>
        <v>1</v>
      </c>
      <c r="S142">
        <f t="shared" si="5"/>
        <v>50</v>
      </c>
    </row>
    <row r="143" spans="1:19">
      <c r="A143" s="16">
        <v>45716</v>
      </c>
      <c r="B143" s="5" t="s">
        <v>279</v>
      </c>
      <c r="C143" s="3">
        <v>80</v>
      </c>
      <c r="D143" s="6" t="s">
        <v>117</v>
      </c>
      <c r="E143" s="2">
        <v>45717</v>
      </c>
      <c r="F143" s="2">
        <v>45717</v>
      </c>
      <c r="G143" s="4">
        <v>1</v>
      </c>
      <c r="H143" s="15">
        <v>50</v>
      </c>
      <c r="K143" s="66" t="str">
        <f>IF(L143="CHE", COUNTIF($L$2:L143, "CHE"), "")</f>
        <v/>
      </c>
      <c r="L143" s="90" t="s">
        <v>300</v>
      </c>
      <c r="M143" s="77">
        <v>198</v>
      </c>
      <c r="N143" s="84" t="s">
        <v>303</v>
      </c>
      <c r="O143" s="46">
        <f>SUMIF(C:C,M143,H:H)</f>
        <v>0</v>
      </c>
      <c r="P143" s="47">
        <f>_xlfn.MINIFS($E:$E,$C:$C,$M143)</f>
        <v>0</v>
      </c>
      <c r="Q143" s="47">
        <f>_xlfn.MAXIFS($F:$F,$C:$C,$M143)</f>
        <v>0</v>
      </c>
      <c r="R143" s="51">
        <f t="shared" si="4"/>
        <v>1</v>
      </c>
      <c r="S143">
        <f t="shared" si="5"/>
        <v>50</v>
      </c>
    </row>
    <row r="144" spans="1:19">
      <c r="A144" s="16">
        <v>45745</v>
      </c>
      <c r="B144" s="5" t="s">
        <v>281</v>
      </c>
      <c r="C144" s="3">
        <v>80</v>
      </c>
      <c r="D144" s="6" t="s">
        <v>117</v>
      </c>
      <c r="E144" s="2">
        <v>45748</v>
      </c>
      <c r="F144" s="2">
        <v>45748</v>
      </c>
      <c r="G144" s="4">
        <v>1</v>
      </c>
      <c r="H144" s="15">
        <v>50</v>
      </c>
      <c r="K144" s="66" t="str">
        <f>IF(L144="CHE", COUNTIF($L$2:L144, "CHE"), "")</f>
        <v/>
      </c>
      <c r="L144" s="66" t="s">
        <v>54</v>
      </c>
      <c r="M144" s="77">
        <v>199</v>
      </c>
      <c r="N144" s="84" t="s">
        <v>305</v>
      </c>
      <c r="O144" s="67">
        <f>SUMIF(C:C,M144,H:H)</f>
        <v>300</v>
      </c>
      <c r="P144" s="68">
        <f>_xlfn.MINIFS($E:$E,$C:$C,$M144)</f>
        <v>45536</v>
      </c>
      <c r="Q144" s="68">
        <f>_xlfn.MAXIFS($F:$F,$C:$C,$M144)</f>
        <v>45689</v>
      </c>
      <c r="R144" s="51">
        <f t="shared" si="4"/>
        <v>6</v>
      </c>
      <c r="S144">
        <f t="shared" si="5"/>
        <v>300</v>
      </c>
    </row>
    <row r="145" spans="1:19">
      <c r="A145" s="16">
        <v>45777</v>
      </c>
      <c r="B145" s="5" t="s">
        <v>283</v>
      </c>
      <c r="C145" s="3">
        <v>80</v>
      </c>
      <c r="D145" s="6" t="s">
        <v>117</v>
      </c>
      <c r="E145" s="2">
        <v>45778</v>
      </c>
      <c r="F145" s="2">
        <v>45778</v>
      </c>
      <c r="G145" s="4">
        <v>1</v>
      </c>
      <c r="H145" s="15">
        <v>50</v>
      </c>
      <c r="K145" s="66" t="str">
        <f>IF(L145="CHE", COUNTIF($L$2:L145, "CHE"), "")</f>
        <v/>
      </c>
      <c r="L145" s="72" t="s">
        <v>83</v>
      </c>
      <c r="M145" s="77">
        <v>200</v>
      </c>
      <c r="N145" s="84" t="s">
        <v>307</v>
      </c>
      <c r="O145" s="46">
        <f>SUMIF(C:C,M145,H:H)</f>
        <v>0</v>
      </c>
      <c r="P145" s="47">
        <f>_xlfn.MINIFS($E:$E,$C:$C,$M145)</f>
        <v>0</v>
      </c>
      <c r="Q145" s="47">
        <f>_xlfn.MAXIFS($F:$F,$C:$C,$M145)</f>
        <v>0</v>
      </c>
      <c r="R145" s="51">
        <f t="shared" si="4"/>
        <v>1</v>
      </c>
      <c r="S145">
        <f t="shared" si="5"/>
        <v>50</v>
      </c>
    </row>
    <row r="146" spans="1:19">
      <c r="A146" s="16">
        <v>45810</v>
      </c>
      <c r="B146" s="5" t="s">
        <v>665</v>
      </c>
      <c r="C146" s="3">
        <v>80</v>
      </c>
      <c r="D146" s="6" t="s">
        <v>117</v>
      </c>
      <c r="E146" s="2">
        <v>45809</v>
      </c>
      <c r="F146" s="2">
        <v>45809</v>
      </c>
      <c r="G146" s="4">
        <v>1</v>
      </c>
      <c r="H146" s="15">
        <v>50</v>
      </c>
      <c r="K146" s="66" t="str">
        <f>IF(L146="CHE", COUNTIF($L$2:L146, "CHE"), "")</f>
        <v/>
      </c>
      <c r="L146" s="72" t="s">
        <v>309</v>
      </c>
      <c r="M146" s="77">
        <v>201</v>
      </c>
      <c r="N146" s="84" t="s">
        <v>310</v>
      </c>
      <c r="O146" s="46">
        <f>SUMIF(C:C,M146,H:H)</f>
        <v>0</v>
      </c>
      <c r="P146" s="47">
        <f>_xlfn.MINIFS($E:$E,$C:$C,$M146)</f>
        <v>0</v>
      </c>
      <c r="Q146" s="47">
        <f>_xlfn.MAXIFS($F:$F,$C:$C,$M146)</f>
        <v>0</v>
      </c>
      <c r="R146" s="51">
        <f t="shared" si="4"/>
        <v>1</v>
      </c>
      <c r="S146">
        <f t="shared" si="5"/>
        <v>50</v>
      </c>
    </row>
    <row r="147" spans="1:19">
      <c r="A147" s="16">
        <v>45839</v>
      </c>
      <c r="B147" s="5" t="s">
        <v>666</v>
      </c>
      <c r="C147" s="3">
        <v>80</v>
      </c>
      <c r="D147" s="6" t="s">
        <v>117</v>
      </c>
      <c r="E147" s="2">
        <v>45839</v>
      </c>
      <c r="F147" s="2">
        <v>45839</v>
      </c>
      <c r="G147" s="4">
        <v>1</v>
      </c>
      <c r="H147" s="15">
        <v>50</v>
      </c>
      <c r="K147" s="66">
        <f>IF(L147="CHE", COUNTIF($L$2:L147, "CHE"), "")</f>
        <v>90</v>
      </c>
      <c r="L147" s="66" t="s">
        <v>17</v>
      </c>
      <c r="M147" s="77">
        <v>202</v>
      </c>
      <c r="N147" s="84" t="s">
        <v>311</v>
      </c>
      <c r="O147" s="46">
        <f>SUMIF(C:C,M147,H:H)</f>
        <v>1200</v>
      </c>
      <c r="P147" s="47">
        <f>_xlfn.MINIFS($E:$E,$C:$C,$M147)</f>
        <v>45658</v>
      </c>
      <c r="Q147" s="47">
        <f>_xlfn.MAXIFS($F:$F,$C:$C,$M147)</f>
        <v>46357</v>
      </c>
      <c r="R147" s="51">
        <f t="shared" si="4"/>
        <v>24</v>
      </c>
      <c r="S147">
        <f t="shared" si="5"/>
        <v>1200</v>
      </c>
    </row>
    <row r="148" spans="1:19">
      <c r="A148" s="16">
        <v>45878</v>
      </c>
      <c r="B148" s="5" t="s">
        <v>379</v>
      </c>
      <c r="C148" s="3">
        <v>80</v>
      </c>
      <c r="D148" s="6" t="s">
        <v>117</v>
      </c>
      <c r="E148" s="2">
        <v>45870</v>
      </c>
      <c r="F148" s="2">
        <v>45870</v>
      </c>
      <c r="G148" s="4">
        <v>1</v>
      </c>
      <c r="H148" s="15">
        <v>50</v>
      </c>
      <c r="K148" s="66" t="str">
        <f>IF(L148="CHE", COUNTIF($L$2:L148, "CHE"), "")</f>
        <v/>
      </c>
      <c r="L148" s="72" t="s">
        <v>313</v>
      </c>
      <c r="M148" s="77">
        <v>203</v>
      </c>
      <c r="N148" s="84" t="s">
        <v>314</v>
      </c>
      <c r="O148" s="46">
        <f>SUMIF(C:C,M148,H:H)</f>
        <v>0</v>
      </c>
      <c r="P148" s="47">
        <f>_xlfn.MINIFS($E:$E,$C:$C,$M148)</f>
        <v>0</v>
      </c>
      <c r="Q148" s="47">
        <f>_xlfn.MAXIFS($F:$F,$C:$C,$M148)</f>
        <v>0</v>
      </c>
      <c r="R148" s="51">
        <f t="shared" si="4"/>
        <v>1</v>
      </c>
      <c r="S148">
        <f t="shared" si="5"/>
        <v>50</v>
      </c>
    </row>
    <row r="149" spans="1:19">
      <c r="A149" s="16">
        <v>45918</v>
      </c>
      <c r="B149" s="5" t="s">
        <v>709</v>
      </c>
      <c r="C149" s="3">
        <v>80</v>
      </c>
      <c r="D149" s="6" t="s">
        <v>117</v>
      </c>
      <c r="E149" s="2">
        <v>45901</v>
      </c>
      <c r="F149" s="2">
        <v>45901</v>
      </c>
      <c r="G149" s="4">
        <v>1</v>
      </c>
      <c r="H149" s="15">
        <v>50</v>
      </c>
      <c r="K149" s="66" t="str">
        <f>IF(L149="CHE", COUNTIF($L$2:L149, "CHE"), "")</f>
        <v/>
      </c>
      <c r="L149" s="72" t="s">
        <v>236</v>
      </c>
      <c r="M149" s="77">
        <v>204</v>
      </c>
      <c r="N149" s="84" t="s">
        <v>316</v>
      </c>
      <c r="O149" s="46">
        <f>SUMIF(C:C,M149,H:H)</f>
        <v>0</v>
      </c>
      <c r="P149" s="47">
        <f>_xlfn.MINIFS($E:$E,$C:$C,$M149)</f>
        <v>0</v>
      </c>
      <c r="Q149" s="47">
        <f>_xlfn.MAXIFS($F:$F,$C:$C,$M149)</f>
        <v>0</v>
      </c>
      <c r="R149" s="51">
        <f t="shared" si="4"/>
        <v>1</v>
      </c>
      <c r="S149">
        <f t="shared" si="5"/>
        <v>50</v>
      </c>
    </row>
    <row r="150" spans="1:19">
      <c r="A150" s="16">
        <v>45963</v>
      </c>
      <c r="B150" s="5" t="s">
        <v>725</v>
      </c>
      <c r="C150" s="3">
        <v>80</v>
      </c>
      <c r="D150" s="6" t="s">
        <v>117</v>
      </c>
      <c r="E150" s="2">
        <v>45931</v>
      </c>
      <c r="F150" s="2">
        <v>45962</v>
      </c>
      <c r="G150" s="4">
        <v>2</v>
      </c>
      <c r="H150" s="15">
        <v>100</v>
      </c>
      <c r="K150" s="66" t="str">
        <f>IF(L150="CHE", COUNTIF($L$2:L150, "CHE"), "")</f>
        <v/>
      </c>
      <c r="L150" s="72" t="s">
        <v>236</v>
      </c>
      <c r="M150" s="77">
        <v>205</v>
      </c>
      <c r="N150" s="84" t="s">
        <v>318</v>
      </c>
      <c r="O150" s="46">
        <f>SUMIF(C:C,M150,H:H)</f>
        <v>0</v>
      </c>
      <c r="P150" s="47">
        <f>_xlfn.MINIFS($E:$E,$C:$C,$M150)</f>
        <v>0</v>
      </c>
      <c r="Q150" s="47">
        <f>_xlfn.MAXIFS($F:$F,$C:$C,$M150)</f>
        <v>0</v>
      </c>
      <c r="R150" s="51">
        <f t="shared" si="4"/>
        <v>1</v>
      </c>
      <c r="S150">
        <f t="shared" si="5"/>
        <v>50</v>
      </c>
    </row>
    <row r="151" spans="1:19">
      <c r="A151" s="16">
        <v>45995</v>
      </c>
      <c r="B151" s="5" t="s">
        <v>736</v>
      </c>
      <c r="C151" s="3">
        <v>80</v>
      </c>
      <c r="D151" s="6" t="s">
        <v>117</v>
      </c>
      <c r="E151" s="2">
        <v>45992</v>
      </c>
      <c r="F151" s="2">
        <v>46054</v>
      </c>
      <c r="G151" s="4">
        <v>3</v>
      </c>
      <c r="H151" s="15">
        <v>150</v>
      </c>
      <c r="K151" s="66" t="str">
        <f>IF(L151="CHE", COUNTIF($L$2:L151, "CHE"), "")</f>
        <v/>
      </c>
      <c r="L151" s="66" t="s">
        <v>21</v>
      </c>
      <c r="M151" s="77">
        <v>206</v>
      </c>
      <c r="N151" s="84" t="s">
        <v>320</v>
      </c>
      <c r="O151" s="46">
        <f>SUMIF(C:C,M151,H:H)</f>
        <v>0</v>
      </c>
      <c r="P151" s="47">
        <f>_xlfn.MINIFS($E:$E,$C:$C,$M151)</f>
        <v>0</v>
      </c>
      <c r="Q151" s="47">
        <f>_xlfn.MAXIFS($F:$F,$C:$C,$M151)</f>
        <v>0</v>
      </c>
      <c r="R151" s="51">
        <f t="shared" si="4"/>
        <v>1</v>
      </c>
      <c r="S151">
        <f t="shared" si="5"/>
        <v>50</v>
      </c>
    </row>
    <row r="152" spans="1:19">
      <c r="A152" s="16">
        <v>46078</v>
      </c>
      <c r="C152" s="3">
        <v>80</v>
      </c>
      <c r="D152" s="6" t="s">
        <v>117</v>
      </c>
      <c r="E152" s="2">
        <v>46082</v>
      </c>
      <c r="F152" s="2">
        <v>46082</v>
      </c>
      <c r="G152" s="4">
        <v>1</v>
      </c>
      <c r="H152" s="15">
        <v>50</v>
      </c>
      <c r="K152" s="66" t="str">
        <f>IF(L152="CHE", COUNTIF($L$2:L152, "CHE"), "")</f>
        <v/>
      </c>
      <c r="L152" s="66" t="s">
        <v>54</v>
      </c>
      <c r="M152" s="77">
        <v>207</v>
      </c>
      <c r="N152" s="84" t="s">
        <v>322</v>
      </c>
      <c r="O152" s="67">
        <f>SUMIF(C:C,M152,H:H)</f>
        <v>0</v>
      </c>
      <c r="P152" s="68">
        <f>_xlfn.MINIFS($E:$E,$C:$C,$M152)</f>
        <v>0</v>
      </c>
      <c r="Q152" s="68">
        <f>_xlfn.MAXIFS($F:$F,$C:$C,$M152)</f>
        <v>0</v>
      </c>
      <c r="R152" s="51">
        <f t="shared" si="4"/>
        <v>1</v>
      </c>
      <c r="S152">
        <f t="shared" si="5"/>
        <v>50</v>
      </c>
    </row>
    <row r="153" spans="1:19">
      <c r="A153" s="16">
        <v>46106</v>
      </c>
      <c r="C153" s="3">
        <v>80</v>
      </c>
      <c r="D153" s="6" t="s">
        <v>117</v>
      </c>
      <c r="E153" s="2">
        <v>46113</v>
      </c>
      <c r="F153" s="2">
        <v>46113</v>
      </c>
      <c r="G153" s="4">
        <v>1</v>
      </c>
      <c r="H153" s="15">
        <v>50</v>
      </c>
      <c r="K153" s="66">
        <f>IF(L153="CHE", COUNTIF($L$2:L153, "CHE"), "")</f>
        <v>91</v>
      </c>
      <c r="L153" s="66" t="s">
        <v>17</v>
      </c>
      <c r="M153" s="77">
        <v>208</v>
      </c>
      <c r="N153" s="84" t="s">
        <v>323</v>
      </c>
      <c r="O153" s="46">
        <f>SUMIF(C:C,M153,H:H)</f>
        <v>850</v>
      </c>
      <c r="P153" s="47">
        <f>_xlfn.MINIFS($E:$E,$C:$C,$M153)</f>
        <v>45658</v>
      </c>
      <c r="Q153" s="47">
        <f>_xlfn.MAXIFS($F:$F,$C:$C,$M153)</f>
        <v>46143</v>
      </c>
      <c r="R153" s="51">
        <f t="shared" si="4"/>
        <v>17</v>
      </c>
      <c r="S153">
        <f t="shared" si="5"/>
        <v>850</v>
      </c>
    </row>
    <row r="154" spans="1:19">
      <c r="A154" s="16">
        <v>46167</v>
      </c>
      <c r="C154" s="3">
        <v>80</v>
      </c>
      <c r="D154" s="6" t="s">
        <v>117</v>
      </c>
      <c r="E154" s="2">
        <v>46143</v>
      </c>
      <c r="F154" s="2">
        <v>46143</v>
      </c>
      <c r="G154" s="4">
        <v>1</v>
      </c>
      <c r="H154" s="15">
        <v>50</v>
      </c>
      <c r="K154" s="66" t="str">
        <f>IF(L154="CHE", COUNTIF($L$2:L154, "CHE"), "")</f>
        <v/>
      </c>
      <c r="L154" s="66" t="s">
        <v>21</v>
      </c>
      <c r="M154" s="77">
        <v>209</v>
      </c>
      <c r="N154" s="84" t="s">
        <v>325</v>
      </c>
      <c r="O154" s="46">
        <f>SUMIF(C:C,M154,H:H)</f>
        <v>0</v>
      </c>
      <c r="P154" s="47">
        <f>_xlfn.MINIFS($E:$E,$C:$C,$M154)</f>
        <v>0</v>
      </c>
      <c r="Q154" s="47">
        <f>_xlfn.MAXIFS($F:$F,$C:$C,$M154)</f>
        <v>0</v>
      </c>
      <c r="R154" s="51">
        <f t="shared" si="4"/>
        <v>1</v>
      </c>
      <c r="S154">
        <f t="shared" si="5"/>
        <v>50</v>
      </c>
    </row>
    <row r="155" spans="1:19">
      <c r="A155" s="16">
        <v>45680</v>
      </c>
      <c r="B155" s="5" t="s">
        <v>299</v>
      </c>
      <c r="C155" s="3">
        <v>81</v>
      </c>
      <c r="D155" s="6" t="s">
        <v>120</v>
      </c>
      <c r="E155" s="2">
        <v>45658</v>
      </c>
      <c r="F155" s="2">
        <v>45992</v>
      </c>
      <c r="G155" s="4">
        <v>12</v>
      </c>
      <c r="H155" s="15">
        <v>600</v>
      </c>
      <c r="K155" s="66" t="str">
        <f>IF(L155="CHE", COUNTIF($L$2:L155, "CHE"), "")</f>
        <v/>
      </c>
      <c r="L155" s="66" t="s">
        <v>21</v>
      </c>
      <c r="M155" s="77">
        <v>210</v>
      </c>
      <c r="N155" s="84" t="s">
        <v>327</v>
      </c>
      <c r="O155" s="46">
        <f>SUMIF(C:C,M155,H:H)</f>
        <v>0</v>
      </c>
      <c r="P155" s="47">
        <f>_xlfn.MINIFS($E:$E,$C:$C,$M155)</f>
        <v>0</v>
      </c>
      <c r="Q155" s="47">
        <f>_xlfn.MAXIFS($F:$F,$C:$C,$M155)</f>
        <v>0</v>
      </c>
      <c r="R155" s="51">
        <f t="shared" si="4"/>
        <v>1</v>
      </c>
      <c r="S155">
        <f t="shared" si="5"/>
        <v>50</v>
      </c>
    </row>
    <row r="156" spans="1:19">
      <c r="A156" s="16">
        <v>45734</v>
      </c>
      <c r="B156" s="5" t="s">
        <v>302</v>
      </c>
      <c r="C156" s="3">
        <v>86</v>
      </c>
      <c r="D156" s="6" t="s">
        <v>127</v>
      </c>
      <c r="E156" s="2">
        <v>45658</v>
      </c>
      <c r="F156" s="2">
        <v>45717</v>
      </c>
      <c r="G156" s="4">
        <v>3</v>
      </c>
      <c r="H156" s="15">
        <v>150</v>
      </c>
      <c r="K156" s="66" t="str">
        <f>IF(L156="CHE", COUNTIF($L$2:L156, "CHE"), "")</f>
        <v/>
      </c>
      <c r="L156" s="66" t="s">
        <v>21</v>
      </c>
      <c r="M156" s="77">
        <v>211</v>
      </c>
      <c r="N156" s="84" t="s">
        <v>329</v>
      </c>
      <c r="O156" s="46">
        <f>SUMIF(C:C,M156,H:H)</f>
        <v>0</v>
      </c>
      <c r="P156" s="47">
        <f>_xlfn.MINIFS($E:$E,$C:$C,$M156)</f>
        <v>0</v>
      </c>
      <c r="Q156" s="47">
        <f>_xlfn.MAXIFS($F:$F,$C:$C,$M156)</f>
        <v>0</v>
      </c>
      <c r="R156" s="51">
        <f t="shared" si="4"/>
        <v>1</v>
      </c>
      <c r="S156">
        <f t="shared" si="5"/>
        <v>50</v>
      </c>
    </row>
    <row r="157" spans="1:19">
      <c r="A157" s="16">
        <v>45851</v>
      </c>
      <c r="B157" s="5" t="s">
        <v>304</v>
      </c>
      <c r="C157" s="3">
        <v>86</v>
      </c>
      <c r="D157" s="6" t="s">
        <v>127</v>
      </c>
      <c r="E157" s="2">
        <v>45748</v>
      </c>
      <c r="F157" s="2">
        <v>45809</v>
      </c>
      <c r="G157" s="4">
        <v>3</v>
      </c>
      <c r="H157" s="15">
        <v>150</v>
      </c>
      <c r="K157" s="66" t="str">
        <f>IF(L157="CHE", COUNTIF($L$2:L157, "CHE"), "")</f>
        <v/>
      </c>
      <c r="L157" s="72" t="s">
        <v>38</v>
      </c>
      <c r="M157" s="77">
        <v>212</v>
      </c>
      <c r="N157" s="84" t="s">
        <v>331</v>
      </c>
      <c r="O157" s="67">
        <f>SUMIF(C:C,M157,H:H)</f>
        <v>300</v>
      </c>
      <c r="P157" s="68">
        <f>_xlfn.MINIFS($E:$E,$C:$C,$M157)</f>
        <v>45566</v>
      </c>
      <c r="Q157" s="68">
        <f>_xlfn.MAXIFS($F:$F,$C:$C,$M157)</f>
        <v>45717</v>
      </c>
      <c r="R157" s="51">
        <f t="shared" si="4"/>
        <v>6</v>
      </c>
      <c r="S157">
        <f t="shared" si="5"/>
        <v>300</v>
      </c>
    </row>
    <row r="158" spans="1:19">
      <c r="A158" s="94">
        <v>45936</v>
      </c>
      <c r="B158" s="95" t="s">
        <v>306</v>
      </c>
      <c r="C158" s="96">
        <v>86</v>
      </c>
      <c r="D158" s="97" t="s">
        <v>127</v>
      </c>
      <c r="E158" s="98">
        <v>45839</v>
      </c>
      <c r="F158" s="98">
        <v>45901</v>
      </c>
      <c r="G158" s="99">
        <v>3</v>
      </c>
      <c r="H158" s="100">
        <v>150</v>
      </c>
      <c r="K158" s="66" t="str">
        <f>IF(L158="CHE", COUNTIF($L$2:L158, "CHE"), "")</f>
        <v/>
      </c>
      <c r="L158" s="66" t="s">
        <v>21</v>
      </c>
      <c r="M158" s="77">
        <v>213</v>
      </c>
      <c r="N158" s="84" t="s">
        <v>333</v>
      </c>
      <c r="O158" s="46">
        <f>SUMIF(C:C,M158,H:H)</f>
        <v>0</v>
      </c>
      <c r="P158" s="47">
        <f>_xlfn.MINIFS($E:$E,$C:$C,$M158)</f>
        <v>0</v>
      </c>
      <c r="Q158" s="47">
        <f>_xlfn.MAXIFS($F:$F,$C:$C,$M158)</f>
        <v>0</v>
      </c>
      <c r="R158" s="51">
        <f t="shared" si="4"/>
        <v>1</v>
      </c>
      <c r="S158">
        <f t="shared" si="5"/>
        <v>50</v>
      </c>
    </row>
    <row r="159" spans="1:19">
      <c r="A159" s="16">
        <v>46118</v>
      </c>
      <c r="B159" s="5" t="s">
        <v>764</v>
      </c>
      <c r="C159" s="3">
        <v>86</v>
      </c>
      <c r="D159" s="6" t="s">
        <v>127</v>
      </c>
      <c r="E159" s="2">
        <v>45931</v>
      </c>
      <c r="F159" s="2">
        <v>45992</v>
      </c>
      <c r="G159" s="4">
        <v>3</v>
      </c>
      <c r="H159" s="15">
        <v>150</v>
      </c>
      <c r="K159" s="66">
        <f>IF(L159="CHE", COUNTIF($L$2:L159, "CHE"), "")</f>
        <v>92</v>
      </c>
      <c r="L159" s="66" t="s">
        <v>17</v>
      </c>
      <c r="M159" s="77">
        <v>214</v>
      </c>
      <c r="N159" s="84" t="s">
        <v>335</v>
      </c>
      <c r="O159" s="46">
        <f>SUMIF(C:C,M159,H:H)</f>
        <v>900</v>
      </c>
      <c r="P159" s="47">
        <f>_xlfn.MINIFS($E:$E,$C:$C,$M159)</f>
        <v>45658</v>
      </c>
      <c r="Q159" s="47">
        <f>_xlfn.MAXIFS($F:$F,$C:$C,$M159)</f>
        <v>46174</v>
      </c>
      <c r="R159" s="51">
        <f t="shared" si="4"/>
        <v>18</v>
      </c>
      <c r="S159">
        <f t="shared" si="5"/>
        <v>900</v>
      </c>
    </row>
    <row r="160" spans="1:19">
      <c r="A160" s="16">
        <v>46143</v>
      </c>
      <c r="B160" s="5" t="s">
        <v>780</v>
      </c>
      <c r="C160" s="3">
        <v>86</v>
      </c>
      <c r="D160" s="6" t="s">
        <v>127</v>
      </c>
      <c r="E160" s="2">
        <v>46023</v>
      </c>
      <c r="F160" s="2">
        <v>46082</v>
      </c>
      <c r="G160" s="4">
        <v>3</v>
      </c>
      <c r="H160" s="15">
        <v>150</v>
      </c>
      <c r="K160" s="66" t="str">
        <f>IF(L160="CHE", COUNTIF($L$2:L160, "CHE"), "")</f>
        <v/>
      </c>
      <c r="L160" s="66" t="s">
        <v>21</v>
      </c>
      <c r="M160" s="77">
        <v>215</v>
      </c>
      <c r="N160" s="84" t="s">
        <v>337</v>
      </c>
      <c r="O160" s="46">
        <f>SUMIF(C:C,M160,H:H)</f>
        <v>0</v>
      </c>
      <c r="P160" s="47">
        <f>_xlfn.MINIFS($E:$E,$C:$C,$M160)</f>
        <v>0</v>
      </c>
      <c r="Q160" s="47">
        <f>_xlfn.MAXIFS($F:$F,$C:$C,$M160)</f>
        <v>0</v>
      </c>
      <c r="R160" s="51">
        <f t="shared" si="4"/>
        <v>1</v>
      </c>
      <c r="S160">
        <f t="shared" si="5"/>
        <v>50</v>
      </c>
    </row>
    <row r="161" spans="1:19">
      <c r="A161" s="16">
        <v>45725</v>
      </c>
      <c r="B161" s="5" t="s">
        <v>308</v>
      </c>
      <c r="C161" s="3">
        <v>87</v>
      </c>
      <c r="D161" s="6" t="s">
        <v>129</v>
      </c>
      <c r="E161" s="2">
        <v>45658</v>
      </c>
      <c r="F161" s="2">
        <v>45992</v>
      </c>
      <c r="G161" s="4">
        <v>12</v>
      </c>
      <c r="H161" s="15">
        <v>600</v>
      </c>
      <c r="K161" s="66" t="str">
        <f>IF(L161="CHE", COUNTIF($L$2:L161, "CHE"), "")</f>
        <v/>
      </c>
      <c r="L161" s="66" t="s">
        <v>21</v>
      </c>
      <c r="M161" s="77">
        <v>216</v>
      </c>
      <c r="N161" s="84" t="s">
        <v>339</v>
      </c>
      <c r="O161" s="46">
        <f>SUMIF(C:C,M161,H:H)</f>
        <v>0</v>
      </c>
      <c r="P161" s="47">
        <f>_xlfn.MINIFS($E:$E,$C:$C,$M161)</f>
        <v>0</v>
      </c>
      <c r="Q161" s="47">
        <f>_xlfn.MAXIFS($F:$F,$C:$C,$M161)</f>
        <v>0</v>
      </c>
      <c r="R161" s="51">
        <f t="shared" si="4"/>
        <v>1</v>
      </c>
      <c r="S161">
        <f t="shared" si="5"/>
        <v>50</v>
      </c>
    </row>
    <row r="162" spans="1:19">
      <c r="A162" s="16">
        <v>46055</v>
      </c>
      <c r="C162" s="3">
        <v>87</v>
      </c>
      <c r="D162" s="6" t="s">
        <v>129</v>
      </c>
      <c r="E162" s="2">
        <v>46023</v>
      </c>
      <c r="F162" s="2">
        <v>46357</v>
      </c>
      <c r="G162" s="4">
        <v>12</v>
      </c>
      <c r="H162" s="15">
        <v>600</v>
      </c>
      <c r="K162" s="66" t="str">
        <f>IF(L162="CHE", COUNTIF($L$2:L162, "CHE"), "")</f>
        <v/>
      </c>
      <c r="L162" s="66" t="s">
        <v>54</v>
      </c>
      <c r="M162" s="77">
        <v>217</v>
      </c>
      <c r="N162" s="84" t="s">
        <v>342</v>
      </c>
      <c r="O162" s="67">
        <f>SUMIF(C:C,M162,H:H)</f>
        <v>150</v>
      </c>
      <c r="P162" s="68">
        <f>_xlfn.MINIFS($E:$E,$C:$C,$M162)</f>
        <v>45566</v>
      </c>
      <c r="Q162" s="68">
        <f>_xlfn.MAXIFS($F:$F,$C:$C,$M162)</f>
        <v>45627</v>
      </c>
      <c r="R162" s="51">
        <f t="shared" si="4"/>
        <v>3</v>
      </c>
      <c r="S162">
        <f t="shared" si="5"/>
        <v>150</v>
      </c>
    </row>
    <row r="163" spans="1:19">
      <c r="A163" s="16">
        <v>45660</v>
      </c>
      <c r="B163" s="5" t="s">
        <v>312</v>
      </c>
      <c r="C163" s="3">
        <v>90</v>
      </c>
      <c r="D163" s="6" t="s">
        <v>131</v>
      </c>
      <c r="E163" s="2">
        <v>45658</v>
      </c>
      <c r="F163" s="2">
        <v>45992</v>
      </c>
      <c r="G163" s="4">
        <v>12</v>
      </c>
      <c r="H163" s="15">
        <v>600</v>
      </c>
      <c r="K163" s="66" t="str">
        <f>IF(L163="CHE", COUNTIF($L$2:L163, "CHE"), "")</f>
        <v/>
      </c>
      <c r="L163" s="72" t="s">
        <v>344</v>
      </c>
      <c r="M163" s="77">
        <v>218</v>
      </c>
      <c r="N163" s="84" t="s">
        <v>345</v>
      </c>
      <c r="O163" s="46">
        <f>SUMIF(C:C,M163,H:H)</f>
        <v>0</v>
      </c>
      <c r="P163" s="47">
        <f>_xlfn.MINIFS($E:$E,$C:$C,$M163)</f>
        <v>0</v>
      </c>
      <c r="Q163" s="47">
        <f>_xlfn.MAXIFS($F:$F,$C:$C,$M163)</f>
        <v>0</v>
      </c>
      <c r="R163" s="51">
        <f t="shared" si="4"/>
        <v>1</v>
      </c>
      <c r="S163">
        <f t="shared" si="5"/>
        <v>50</v>
      </c>
    </row>
    <row r="164" spans="1:19">
      <c r="A164" s="16">
        <v>46039</v>
      </c>
      <c r="B164" s="5" t="s">
        <v>315</v>
      </c>
      <c r="C164" s="3">
        <v>90</v>
      </c>
      <c r="D164" s="6" t="s">
        <v>131</v>
      </c>
      <c r="E164" s="2">
        <v>46023</v>
      </c>
      <c r="F164" s="2">
        <v>46357</v>
      </c>
      <c r="G164" s="4">
        <v>12</v>
      </c>
      <c r="H164" s="15">
        <v>600</v>
      </c>
      <c r="K164" s="66" t="str">
        <f>IF(L164="CHE", COUNTIF($L$2:L164, "CHE"), "")</f>
        <v/>
      </c>
      <c r="L164" s="66" t="s">
        <v>21</v>
      </c>
      <c r="M164" s="77">
        <v>219</v>
      </c>
      <c r="N164" s="84" t="s">
        <v>347</v>
      </c>
      <c r="O164" s="46">
        <f>SUMIF(C:C,M164,H:H)</f>
        <v>600</v>
      </c>
      <c r="P164" s="47">
        <f>_xlfn.MINIFS($E:$E,$C:$C,$M164)</f>
        <v>46023</v>
      </c>
      <c r="Q164" s="47">
        <f>_xlfn.MAXIFS($F:$F,$C:$C,$M164)</f>
        <v>46357</v>
      </c>
      <c r="R164" s="51">
        <f t="shared" si="4"/>
        <v>12</v>
      </c>
      <c r="S164">
        <f t="shared" si="5"/>
        <v>600</v>
      </c>
    </row>
    <row r="165" spans="1:19">
      <c r="A165" s="16">
        <v>45694</v>
      </c>
      <c r="B165" s="5" t="s">
        <v>317</v>
      </c>
      <c r="C165" s="3">
        <v>92</v>
      </c>
      <c r="D165" s="6" t="s">
        <v>133</v>
      </c>
      <c r="E165" s="2">
        <v>45658</v>
      </c>
      <c r="F165" s="2">
        <v>45992</v>
      </c>
      <c r="G165" s="4">
        <v>12</v>
      </c>
      <c r="H165" s="15">
        <v>600</v>
      </c>
      <c r="K165" s="66" t="str">
        <f>IF(L165="CHE", COUNTIF($L$2:L165, "CHE"), "")</f>
        <v/>
      </c>
      <c r="L165" s="66" t="s">
        <v>54</v>
      </c>
      <c r="M165" s="77">
        <v>220</v>
      </c>
      <c r="N165" s="84" t="s">
        <v>349</v>
      </c>
      <c r="O165" s="67">
        <f>SUMIF(C:C,M165,H:H)</f>
        <v>0</v>
      </c>
      <c r="P165" s="68">
        <f>_xlfn.MINIFS($E:$E,$C:$C,$M165)</f>
        <v>0</v>
      </c>
      <c r="Q165" s="68">
        <f>_xlfn.MAXIFS($F:$F,$C:$C,$M165)</f>
        <v>0</v>
      </c>
      <c r="R165" s="51">
        <f t="shared" si="4"/>
        <v>1</v>
      </c>
      <c r="S165">
        <f t="shared" si="5"/>
        <v>50</v>
      </c>
    </row>
    <row r="166" spans="1:19">
      <c r="A166" s="16">
        <v>46113</v>
      </c>
      <c r="B166" s="5" t="s">
        <v>319</v>
      </c>
      <c r="C166" s="3">
        <v>92</v>
      </c>
      <c r="D166" s="6" t="s">
        <v>133</v>
      </c>
      <c r="E166" s="2">
        <v>46023</v>
      </c>
      <c r="F166" s="2">
        <v>46174</v>
      </c>
      <c r="G166" s="4">
        <v>6</v>
      </c>
      <c r="H166" s="15">
        <v>300</v>
      </c>
      <c r="K166" s="66" t="str">
        <f>IF(L166="CHE", COUNTIF($L$2:L166, "CHE"), "")</f>
        <v/>
      </c>
      <c r="L166" s="72" t="s">
        <v>236</v>
      </c>
      <c r="M166" s="77">
        <v>221</v>
      </c>
      <c r="N166" s="84" t="s">
        <v>351</v>
      </c>
      <c r="O166" s="46">
        <f>SUMIF(C:C,M166,H:H)</f>
        <v>0</v>
      </c>
      <c r="P166" s="47">
        <f>_xlfn.MINIFS($E:$E,$C:$C,$M166)</f>
        <v>0</v>
      </c>
      <c r="Q166" s="47">
        <f>_xlfn.MAXIFS($F:$F,$C:$C,$M166)</f>
        <v>0</v>
      </c>
      <c r="R166" s="51">
        <f t="shared" si="4"/>
        <v>1</v>
      </c>
      <c r="S166">
        <f t="shared" si="5"/>
        <v>50</v>
      </c>
    </row>
    <row r="167" spans="1:19">
      <c r="A167" s="16">
        <v>45769</v>
      </c>
      <c r="B167" s="5" t="s">
        <v>321</v>
      </c>
      <c r="C167" s="3">
        <v>94</v>
      </c>
      <c r="D167" s="6" t="s">
        <v>135</v>
      </c>
      <c r="E167" s="2">
        <v>45839</v>
      </c>
      <c r="F167" s="2">
        <v>46174</v>
      </c>
      <c r="G167" s="4">
        <v>12</v>
      </c>
      <c r="H167" s="15">
        <v>450</v>
      </c>
      <c r="K167" s="66" t="str">
        <f>IF(L167="CHE", COUNTIF($L$2:L167, "CHE"), "")</f>
        <v/>
      </c>
      <c r="L167" s="66" t="s">
        <v>21</v>
      </c>
      <c r="M167" s="77">
        <v>222</v>
      </c>
      <c r="N167" s="84" t="s">
        <v>353</v>
      </c>
      <c r="O167" s="46">
        <f>SUMIF(C:C,M167,H:H)</f>
        <v>0</v>
      </c>
      <c r="P167" s="47">
        <f>_xlfn.MINIFS($E:$E,$C:$C,$M167)</f>
        <v>0</v>
      </c>
      <c r="Q167" s="47">
        <f>_xlfn.MAXIFS($F:$F,$C:$C,$M167)</f>
        <v>0</v>
      </c>
      <c r="R167" s="51">
        <f t="shared" si="4"/>
        <v>1</v>
      </c>
      <c r="S167">
        <f t="shared" si="5"/>
        <v>50</v>
      </c>
    </row>
    <row r="168" spans="1:19">
      <c r="A168" s="16">
        <v>46045</v>
      </c>
      <c r="B168" s="5" t="s">
        <v>755</v>
      </c>
      <c r="C168" s="3">
        <v>94</v>
      </c>
      <c r="D168" s="6" t="s">
        <v>135</v>
      </c>
      <c r="E168" s="2">
        <v>46204</v>
      </c>
      <c r="F168" s="2">
        <v>46539</v>
      </c>
      <c r="G168" s="4">
        <v>12</v>
      </c>
      <c r="H168" s="15">
        <v>600</v>
      </c>
      <c r="K168" s="66">
        <f>IF(L168="CHE", COUNTIF($L$2:L168, "CHE"), "")</f>
        <v>93</v>
      </c>
      <c r="L168" s="66" t="s">
        <v>17</v>
      </c>
      <c r="M168" s="77">
        <v>223</v>
      </c>
      <c r="N168" s="84" t="s">
        <v>356</v>
      </c>
      <c r="O168" s="46">
        <f>SUMIF(C:C,M168,H:H)</f>
        <v>900</v>
      </c>
      <c r="P168" s="47">
        <f>_xlfn.MINIFS($E:$E,$C:$C,$M168)</f>
        <v>45597</v>
      </c>
      <c r="Q168" s="47">
        <f>_xlfn.MAXIFS($F:$F,$C:$C,$M168)</f>
        <v>46113</v>
      </c>
      <c r="R168" s="51">
        <f t="shared" si="4"/>
        <v>18</v>
      </c>
      <c r="S168">
        <f t="shared" si="5"/>
        <v>900</v>
      </c>
    </row>
    <row r="169" spans="1:19">
      <c r="A169" s="16">
        <v>45700</v>
      </c>
      <c r="B169" s="5" t="s">
        <v>324</v>
      </c>
      <c r="C169" s="3">
        <v>96</v>
      </c>
      <c r="D169" s="6" t="s">
        <v>139</v>
      </c>
      <c r="E169" s="2">
        <v>45658</v>
      </c>
      <c r="F169" s="2">
        <v>45809</v>
      </c>
      <c r="G169" s="4">
        <v>6</v>
      </c>
      <c r="H169" s="15">
        <v>300</v>
      </c>
      <c r="K169" s="66">
        <f>IF(L169="CHE", COUNTIF($L$2:L169, "CHE"), "")</f>
        <v>94</v>
      </c>
      <c r="L169" s="66" t="s">
        <v>17</v>
      </c>
      <c r="M169" s="77">
        <v>224</v>
      </c>
      <c r="N169" s="84" t="s">
        <v>358</v>
      </c>
      <c r="O169" s="46">
        <f>SUMIF(C:C,M169,H:H)</f>
        <v>900</v>
      </c>
      <c r="P169" s="47">
        <f>_xlfn.MINIFS($E:$E,$C:$C,$M169)</f>
        <v>45597</v>
      </c>
      <c r="Q169" s="47">
        <f>_xlfn.MAXIFS($F:$F,$C:$C,$M169)</f>
        <v>46143</v>
      </c>
      <c r="R169" s="51">
        <f t="shared" si="4"/>
        <v>19</v>
      </c>
      <c r="S169">
        <f t="shared" si="5"/>
        <v>950</v>
      </c>
    </row>
    <row r="170" spans="1:19">
      <c r="A170" s="16">
        <v>45818</v>
      </c>
      <c r="B170" s="5" t="s">
        <v>326</v>
      </c>
      <c r="C170" s="3">
        <v>96</v>
      </c>
      <c r="D170" s="6" t="s">
        <v>139</v>
      </c>
      <c r="E170" s="2">
        <v>45839</v>
      </c>
      <c r="F170" s="2">
        <v>45992</v>
      </c>
      <c r="G170" s="4">
        <v>6</v>
      </c>
      <c r="H170" s="15">
        <v>300</v>
      </c>
      <c r="K170" s="66" t="str">
        <f>IF(L170="CHE", COUNTIF($L$2:L170, "CHE"), "")</f>
        <v/>
      </c>
      <c r="L170" s="72" t="s">
        <v>236</v>
      </c>
      <c r="M170" s="77">
        <v>20</v>
      </c>
      <c r="N170" s="84" t="s">
        <v>360</v>
      </c>
      <c r="O170" s="46">
        <f>SUMIF(C:C,M170,H:H)</f>
        <v>0</v>
      </c>
      <c r="P170" s="47">
        <f>_xlfn.MINIFS($E:$E,$C:$C,$M170)</f>
        <v>0</v>
      </c>
      <c r="Q170" s="47">
        <f>_xlfn.MAXIFS($F:$F,$C:$C,$M170)</f>
        <v>0</v>
      </c>
      <c r="R170" s="51">
        <f t="shared" si="4"/>
        <v>1</v>
      </c>
      <c r="S170">
        <f t="shared" si="5"/>
        <v>50</v>
      </c>
    </row>
    <row r="171" spans="1:19">
      <c r="A171" s="94">
        <v>45951</v>
      </c>
      <c r="B171" s="95" t="s">
        <v>328</v>
      </c>
      <c r="C171" s="96">
        <v>96</v>
      </c>
      <c r="D171" s="97" t="s">
        <v>139</v>
      </c>
      <c r="E171" s="98">
        <v>46023</v>
      </c>
      <c r="F171" s="98">
        <v>46174</v>
      </c>
      <c r="G171" s="99">
        <v>6</v>
      </c>
      <c r="H171" s="100">
        <v>300</v>
      </c>
      <c r="K171" s="66" t="str">
        <f>IF(L171="CHE", COUNTIF($L$2:L171, "CHE"), "")</f>
        <v/>
      </c>
      <c r="L171" s="72" t="s">
        <v>236</v>
      </c>
      <c r="M171" s="77">
        <v>30</v>
      </c>
      <c r="N171" s="84" t="s">
        <v>361</v>
      </c>
      <c r="O171" s="46">
        <f>SUMIF(C:C,M171,H:H)</f>
        <v>0</v>
      </c>
      <c r="P171" s="47">
        <f>_xlfn.MINIFS($E:$E,$C:$C,$M171)</f>
        <v>0</v>
      </c>
      <c r="Q171" s="47">
        <f>_xlfn.MAXIFS($F:$F,$C:$C,$M171)</f>
        <v>0</v>
      </c>
      <c r="R171" s="51">
        <f t="shared" si="4"/>
        <v>1</v>
      </c>
      <c r="S171">
        <f t="shared" si="5"/>
        <v>50</v>
      </c>
    </row>
    <row r="172" spans="1:19">
      <c r="A172" s="16">
        <v>45663</v>
      </c>
      <c r="B172" s="5" t="s">
        <v>330</v>
      </c>
      <c r="C172" s="3">
        <v>97</v>
      </c>
      <c r="D172" s="6" t="s">
        <v>142</v>
      </c>
      <c r="E172" s="2">
        <v>45658</v>
      </c>
      <c r="F172" s="2">
        <v>45748</v>
      </c>
      <c r="G172" s="4">
        <v>4</v>
      </c>
      <c r="H172" s="15">
        <v>200</v>
      </c>
      <c r="K172" s="66" t="str">
        <f>IF(L172="CHE", COUNTIF($L$2:L172, "CHE"), "")</f>
        <v/>
      </c>
      <c r="L172" s="72" t="s">
        <v>236</v>
      </c>
      <c r="M172" s="78">
        <v>31</v>
      </c>
      <c r="N172" s="84" t="s">
        <v>362</v>
      </c>
      <c r="O172" s="46">
        <f>SUMIF(C:C,M172,H:H)</f>
        <v>0</v>
      </c>
      <c r="P172" s="47">
        <f>_xlfn.MINIFS($E:$E,$C:$C,$M172)</f>
        <v>0</v>
      </c>
      <c r="Q172" s="47">
        <f>_xlfn.MAXIFS($F:$F,$C:$C,$M172)</f>
        <v>0</v>
      </c>
      <c r="R172" s="51">
        <f t="shared" si="4"/>
        <v>1</v>
      </c>
      <c r="S172">
        <f t="shared" si="5"/>
        <v>50</v>
      </c>
    </row>
    <row r="173" spans="1:19">
      <c r="A173" s="16">
        <v>45789</v>
      </c>
      <c r="B173" s="5" t="s">
        <v>332</v>
      </c>
      <c r="C173" s="3">
        <v>97</v>
      </c>
      <c r="D173" s="6" t="s">
        <v>142</v>
      </c>
      <c r="E173" s="2">
        <v>45778</v>
      </c>
      <c r="F173" s="2">
        <v>45870</v>
      </c>
      <c r="G173" s="4">
        <v>4</v>
      </c>
      <c r="H173" s="15">
        <v>200</v>
      </c>
      <c r="K173" s="66" t="str">
        <f>IF(L173="CHE", COUNTIF($L$2:L173, "CHE"), "")</f>
        <v/>
      </c>
      <c r="L173" s="72" t="s">
        <v>236</v>
      </c>
      <c r="M173" s="77">
        <v>34</v>
      </c>
      <c r="N173" s="84" t="s">
        <v>363</v>
      </c>
      <c r="O173" s="46">
        <f>SUMIF(C:C,M173,H:H)</f>
        <v>0</v>
      </c>
      <c r="P173" s="47">
        <f>_xlfn.MINIFS($E:$E,$C:$C,$M173)</f>
        <v>0</v>
      </c>
      <c r="Q173" s="47">
        <f>_xlfn.MAXIFS($F:$F,$C:$C,$M173)</f>
        <v>0</v>
      </c>
      <c r="R173" s="51">
        <f t="shared" si="4"/>
        <v>1</v>
      </c>
      <c r="S173">
        <f t="shared" si="5"/>
        <v>50</v>
      </c>
    </row>
    <row r="174" spans="1:19">
      <c r="A174" s="16">
        <v>45905</v>
      </c>
      <c r="B174" s="5" t="s">
        <v>334</v>
      </c>
      <c r="C174" s="3">
        <v>97</v>
      </c>
      <c r="D174" s="6" t="s">
        <v>142</v>
      </c>
      <c r="E174" s="2">
        <v>45901</v>
      </c>
      <c r="F174" s="2">
        <v>45931</v>
      </c>
      <c r="G174" s="4">
        <v>2</v>
      </c>
      <c r="H174" s="15">
        <v>100</v>
      </c>
      <c r="K174" s="66" t="str">
        <f>IF(L174="CHE", COUNTIF($L$2:L174, "CHE"), "")</f>
        <v/>
      </c>
      <c r="L174" s="72" t="s">
        <v>236</v>
      </c>
      <c r="M174" s="77">
        <v>153</v>
      </c>
      <c r="N174" s="84" t="s">
        <v>366</v>
      </c>
      <c r="O174" s="46">
        <f>SUMIF(C:C,M174,H:H)</f>
        <v>0</v>
      </c>
      <c r="P174" s="47">
        <f>_xlfn.MINIFS($E:$E,$C:$C,$M174)</f>
        <v>0</v>
      </c>
      <c r="Q174" s="47">
        <f>_xlfn.MAXIFS($F:$F,$C:$C,$M174)</f>
        <v>0</v>
      </c>
      <c r="R174" s="51">
        <f t="shared" si="4"/>
        <v>1</v>
      </c>
      <c r="S174">
        <f t="shared" si="5"/>
        <v>50</v>
      </c>
    </row>
    <row r="175" spans="1:19">
      <c r="A175" s="16">
        <v>45970</v>
      </c>
      <c r="B175" s="5" t="s">
        <v>336</v>
      </c>
      <c r="C175" s="3">
        <v>97</v>
      </c>
      <c r="D175" s="6" t="s">
        <v>142</v>
      </c>
      <c r="E175" s="2">
        <v>45962</v>
      </c>
      <c r="F175" s="2">
        <v>45992</v>
      </c>
      <c r="G175" s="4">
        <v>2</v>
      </c>
      <c r="H175" s="15">
        <v>100</v>
      </c>
      <c r="K175" s="66" t="str">
        <f>IF(L175="CHE", COUNTIF($L$2:L175, "CHE"), "")</f>
        <v/>
      </c>
      <c r="L175" s="72" t="s">
        <v>236</v>
      </c>
      <c r="M175" s="77">
        <v>156</v>
      </c>
      <c r="N175" s="84" t="s">
        <v>368</v>
      </c>
      <c r="O175" s="46">
        <f>SUMIF(C:C,M175,H:H)</f>
        <v>0</v>
      </c>
      <c r="P175" s="47">
        <f>_xlfn.MINIFS($E:$E,$C:$C,$M175)</f>
        <v>0</v>
      </c>
      <c r="Q175" s="47">
        <f>_xlfn.MAXIFS($F:$F,$C:$C,$M175)</f>
        <v>0</v>
      </c>
      <c r="R175" s="51">
        <f t="shared" si="4"/>
        <v>1</v>
      </c>
      <c r="S175">
        <f t="shared" si="5"/>
        <v>50</v>
      </c>
    </row>
    <row r="176" spans="1:19">
      <c r="A176" s="16">
        <v>46030</v>
      </c>
      <c r="B176" s="5" t="s">
        <v>338</v>
      </c>
      <c r="C176" s="3">
        <v>97</v>
      </c>
      <c r="D176" s="6" t="s">
        <v>142</v>
      </c>
      <c r="E176" s="2">
        <v>46023</v>
      </c>
      <c r="F176" s="2">
        <v>46113</v>
      </c>
      <c r="G176" s="4">
        <v>4</v>
      </c>
      <c r="H176" s="15">
        <v>200</v>
      </c>
      <c r="K176" s="66">
        <f>IF(L176="CHE", COUNTIF($L$2:L176, "CHE"), "")</f>
        <v>95</v>
      </c>
      <c r="L176" s="66" t="s">
        <v>17</v>
      </c>
      <c r="M176" s="77">
        <v>160</v>
      </c>
      <c r="N176" s="84" t="s">
        <v>369</v>
      </c>
      <c r="O176" s="46">
        <f>SUMIF(C:C,M176,H:H)</f>
        <v>1200</v>
      </c>
      <c r="P176" s="47">
        <f>_xlfn.MINIFS($E:$E,$C:$C,$M176)</f>
        <v>45658</v>
      </c>
      <c r="Q176" s="47">
        <f>_xlfn.MAXIFS($F:$F,$C:$C,$M176)</f>
        <v>46357</v>
      </c>
      <c r="R176" s="51">
        <f t="shared" si="4"/>
        <v>24</v>
      </c>
      <c r="S176">
        <f t="shared" si="5"/>
        <v>1200</v>
      </c>
    </row>
    <row r="177" spans="1:19">
      <c r="A177" s="16">
        <v>46149</v>
      </c>
      <c r="B177" s="5" t="s">
        <v>784</v>
      </c>
      <c r="C177" s="3">
        <v>97</v>
      </c>
      <c r="D177" s="6" t="s">
        <v>142</v>
      </c>
      <c r="E177" s="2">
        <v>46143</v>
      </c>
      <c r="F177" s="2">
        <v>46235</v>
      </c>
      <c r="G177" s="4">
        <v>4</v>
      </c>
      <c r="H177" s="15">
        <v>200</v>
      </c>
      <c r="K177" s="66">
        <f>IF(L177="CHE", COUNTIF($L$2:L177, "CHE"), "")</f>
        <v>96</v>
      </c>
      <c r="L177" s="66" t="s">
        <v>17</v>
      </c>
      <c r="M177" s="77">
        <v>160</v>
      </c>
      <c r="N177" s="84" t="s">
        <v>370</v>
      </c>
      <c r="O177" s="46">
        <f>SUMIF(C:C,M177,H:H)</f>
        <v>1200</v>
      </c>
      <c r="P177" s="47">
        <f>_xlfn.MINIFS($E:$E,$C:$C,$M177)</f>
        <v>45658</v>
      </c>
      <c r="Q177" s="47">
        <f>_xlfn.MAXIFS($F:$F,$C:$C,$M177)</f>
        <v>46357</v>
      </c>
      <c r="R177" s="51">
        <f t="shared" si="4"/>
        <v>24</v>
      </c>
      <c r="S177">
        <f t="shared" si="5"/>
        <v>1200</v>
      </c>
    </row>
    <row r="178" spans="1:19">
      <c r="A178" s="16">
        <v>45671</v>
      </c>
      <c r="B178" s="5" t="s">
        <v>340</v>
      </c>
      <c r="C178" s="3">
        <v>99</v>
      </c>
      <c r="D178" s="6" t="s">
        <v>341</v>
      </c>
      <c r="E178" s="2">
        <v>45658</v>
      </c>
      <c r="F178" s="2">
        <v>45689</v>
      </c>
      <c r="G178" s="4">
        <v>2</v>
      </c>
      <c r="H178" s="15">
        <v>100</v>
      </c>
      <c r="K178" s="66" t="str">
        <f>IF(L178="CHE", COUNTIF($L$2:L178, "CHE"), "")</f>
        <v/>
      </c>
      <c r="L178" s="72" t="s">
        <v>236</v>
      </c>
      <c r="M178" s="77">
        <v>171</v>
      </c>
      <c r="N178" s="84" t="s">
        <v>372</v>
      </c>
      <c r="O178" s="46">
        <f>SUMIF(C:C,M178,H:H)</f>
        <v>0</v>
      </c>
      <c r="P178" s="47">
        <f>_xlfn.MINIFS($E:$E,$C:$C,$M178)</f>
        <v>0</v>
      </c>
      <c r="Q178" s="47">
        <f>_xlfn.MAXIFS($F:$F,$C:$C,$M178)</f>
        <v>0</v>
      </c>
      <c r="R178" s="51">
        <f t="shared" si="4"/>
        <v>1</v>
      </c>
      <c r="S178">
        <f t="shared" si="5"/>
        <v>50</v>
      </c>
    </row>
    <row r="179" spans="1:19" ht="18.5">
      <c r="A179" s="16">
        <v>45730</v>
      </c>
      <c r="B179" s="5" t="s">
        <v>343</v>
      </c>
      <c r="C179" s="3">
        <v>99</v>
      </c>
      <c r="D179" s="6" t="s">
        <v>341</v>
      </c>
      <c r="E179" s="2">
        <v>45717</v>
      </c>
      <c r="F179" s="2">
        <v>45748</v>
      </c>
      <c r="G179" s="4">
        <v>2</v>
      </c>
      <c r="H179" s="15">
        <v>100</v>
      </c>
      <c r="K179" s="66">
        <f>IF(L179="CHE", COUNTIF($L$2:L179, "CHE"), "")</f>
        <v>97</v>
      </c>
      <c r="L179" s="66" t="s">
        <v>17</v>
      </c>
      <c r="M179" s="79">
        <v>229</v>
      </c>
      <c r="N179" s="86" t="s">
        <v>374</v>
      </c>
      <c r="O179" s="46">
        <f>SUMIF(C:C,M179,H:H)</f>
        <v>900</v>
      </c>
      <c r="P179" s="47">
        <f>_xlfn.MINIFS($E:$E,$C:$C,$M179)</f>
        <v>45658</v>
      </c>
      <c r="Q179" s="47">
        <f>_xlfn.MAXIFS($F:$F,$C:$C,$M179)</f>
        <v>46174</v>
      </c>
      <c r="R179" s="51">
        <f t="shared" si="4"/>
        <v>18</v>
      </c>
      <c r="S179">
        <f t="shared" si="5"/>
        <v>900</v>
      </c>
    </row>
    <row r="180" spans="1:19">
      <c r="A180" s="16">
        <v>45833</v>
      </c>
      <c r="B180" s="5" t="s">
        <v>346</v>
      </c>
      <c r="C180" s="3">
        <v>99</v>
      </c>
      <c r="D180" s="6" t="s">
        <v>341</v>
      </c>
      <c r="E180" s="2">
        <v>45778</v>
      </c>
      <c r="F180" s="2">
        <v>45992</v>
      </c>
      <c r="G180" s="4">
        <v>8</v>
      </c>
      <c r="H180" s="15">
        <v>400</v>
      </c>
      <c r="K180" s="66">
        <f>IF(L180="CHE", COUNTIF($L$2:L180, "CHE"), "")</f>
        <v>98</v>
      </c>
      <c r="L180" s="66" t="s">
        <v>17</v>
      </c>
      <c r="M180" s="80">
        <v>225</v>
      </c>
      <c r="N180" s="87" t="s">
        <v>376</v>
      </c>
      <c r="O180" s="46">
        <f>SUMIF(C:C,M180,H:H)</f>
        <v>1200</v>
      </c>
      <c r="P180" s="47">
        <f>_xlfn.MINIFS($E:$E,$C:$C,$M180)</f>
        <v>45658</v>
      </c>
      <c r="Q180" s="47">
        <f>_xlfn.MAXIFS($F:$F,$C:$C,$M180)</f>
        <v>46357</v>
      </c>
    </row>
    <row r="181" spans="1:19">
      <c r="A181" s="16">
        <v>46025</v>
      </c>
      <c r="B181" s="5" t="s">
        <v>348</v>
      </c>
      <c r="C181" s="3">
        <v>99</v>
      </c>
      <c r="D181" s="6" t="s">
        <v>341</v>
      </c>
      <c r="E181" s="2">
        <v>46023</v>
      </c>
      <c r="F181" s="2">
        <v>46082</v>
      </c>
      <c r="G181" s="4">
        <v>3</v>
      </c>
      <c r="H181" s="15">
        <v>150</v>
      </c>
      <c r="K181" s="66">
        <f>IF(L181="CHE", COUNTIF($L$2:L181, "CHE"), "")</f>
        <v>99</v>
      </c>
      <c r="L181" s="66" t="s">
        <v>17</v>
      </c>
      <c r="M181" s="80">
        <v>226</v>
      </c>
      <c r="N181" s="87" t="s">
        <v>378</v>
      </c>
      <c r="O181" s="46">
        <f>SUMIF(C:C,M181,H:H)</f>
        <v>700</v>
      </c>
      <c r="P181" s="47">
        <f>_xlfn.MINIFS($E:$E,$C:$C,$M181)</f>
        <v>45658</v>
      </c>
      <c r="Q181" s="47">
        <f>_xlfn.MAXIFS($F:$F,$C:$C,$M181)</f>
        <v>46054</v>
      </c>
    </row>
    <row r="182" spans="1:19">
      <c r="A182" s="16">
        <v>46143</v>
      </c>
      <c r="B182" s="5" t="s">
        <v>778</v>
      </c>
      <c r="C182" s="3">
        <v>99</v>
      </c>
      <c r="D182" s="6" t="s">
        <v>341</v>
      </c>
      <c r="E182" s="2">
        <v>46113</v>
      </c>
      <c r="F182" s="2">
        <v>46174</v>
      </c>
      <c r="G182" s="4">
        <v>3</v>
      </c>
      <c r="H182" s="15">
        <v>150</v>
      </c>
      <c r="K182" s="66">
        <f>IF(L182="CHE", COUNTIF($L$2:L182, "CHE"), "")</f>
        <v>100</v>
      </c>
      <c r="L182" s="66" t="s">
        <v>17</v>
      </c>
      <c r="M182" s="80">
        <v>227</v>
      </c>
      <c r="N182" s="87" t="s">
        <v>380</v>
      </c>
      <c r="O182" s="46">
        <f>SUMIF(C:C,M182,H:H)</f>
        <v>1200</v>
      </c>
      <c r="P182" s="47">
        <f>_xlfn.MINIFS($E:$E,$C:$C,$M182)</f>
        <v>45658</v>
      </c>
      <c r="Q182" s="47">
        <f>_xlfn.MAXIFS($F:$F,$C:$C,$M182)</f>
        <v>46357</v>
      </c>
    </row>
    <row r="183" spans="1:19">
      <c r="A183" s="52">
        <v>45653</v>
      </c>
      <c r="B183" s="53" t="s">
        <v>350</v>
      </c>
      <c r="C183" s="54">
        <v>100</v>
      </c>
      <c r="D183" s="55" t="s">
        <v>146</v>
      </c>
      <c r="E183" s="56">
        <v>45474</v>
      </c>
      <c r="F183" s="56">
        <v>45627</v>
      </c>
      <c r="G183" s="57">
        <v>6</v>
      </c>
      <c r="H183" s="58">
        <v>300</v>
      </c>
      <c r="K183" s="66">
        <f>IF(L183="CHE", COUNTIF($L$2:L183, "CHE"), "")</f>
        <v>101</v>
      </c>
      <c r="L183" s="66" t="s">
        <v>17</v>
      </c>
      <c r="M183" s="80">
        <v>228</v>
      </c>
      <c r="N183" s="87" t="s">
        <v>381</v>
      </c>
      <c r="O183" s="46">
        <f>SUMIF(C:C,M183,H:H)</f>
        <v>900</v>
      </c>
      <c r="P183" s="47">
        <f>_xlfn.MINIFS($E:$E,$C:$C,$M183)</f>
        <v>45658</v>
      </c>
      <c r="Q183" s="47">
        <f>_xlfn.MAXIFS($F:$F,$C:$C,$M183)</f>
        <v>46174</v>
      </c>
    </row>
    <row r="184" spans="1:19">
      <c r="A184" s="16">
        <v>45637</v>
      </c>
      <c r="B184" s="5" t="s">
        <v>352</v>
      </c>
      <c r="C184" s="3">
        <v>102</v>
      </c>
      <c r="D184" s="6" t="s">
        <v>150</v>
      </c>
      <c r="E184" s="2">
        <v>45597</v>
      </c>
      <c r="F184" s="2">
        <v>45627</v>
      </c>
      <c r="G184" s="4">
        <v>2</v>
      </c>
      <c r="H184" s="15">
        <v>100</v>
      </c>
      <c r="K184" s="92" t="str">
        <f>IF(L184="CHE", COUNTIF($L$2:L184, "CHE"), "")</f>
        <v/>
      </c>
      <c r="L184" s="90" t="s">
        <v>300</v>
      </c>
      <c r="M184" s="91">
        <v>155</v>
      </c>
      <c r="N184" s="87" t="s">
        <v>382</v>
      </c>
      <c r="O184" s="46">
        <f>SUMIF(C:C,M184,H:H)</f>
        <v>750</v>
      </c>
      <c r="P184" s="47">
        <f>_xlfn.MINIFS($E:$E,$C:$C,$M184)</f>
        <v>45658</v>
      </c>
      <c r="Q184" s="47">
        <f>_xlfn.MAXIFS($F:$F,$C:$C,$M184)</f>
        <v>46082</v>
      </c>
    </row>
    <row r="185" spans="1:19">
      <c r="A185" s="16">
        <v>45691</v>
      </c>
      <c r="B185" s="5" t="s">
        <v>354</v>
      </c>
      <c r="C185" s="3">
        <v>102</v>
      </c>
      <c r="D185" s="6" t="s">
        <v>355</v>
      </c>
      <c r="E185" s="2">
        <v>45658</v>
      </c>
      <c r="F185" s="2">
        <v>45689</v>
      </c>
      <c r="G185" s="4">
        <v>2</v>
      </c>
      <c r="H185" s="15">
        <v>100</v>
      </c>
      <c r="K185" s="66" t="str">
        <f>IF(L185="CHE", COUNTIF($L$2:L185, "CHE"), "")</f>
        <v/>
      </c>
      <c r="L185" s="66" t="s">
        <v>21</v>
      </c>
      <c r="M185" s="80">
        <v>156</v>
      </c>
      <c r="N185" s="87" t="s">
        <v>389</v>
      </c>
      <c r="O185" s="46">
        <f>SUMIF(C:C,M185,H:H)</f>
        <v>0</v>
      </c>
      <c r="P185" s="47">
        <f>_xlfn.MINIFS($E:$E,$C:$C,$M185)</f>
        <v>0</v>
      </c>
      <c r="Q185" s="47">
        <f>_xlfn.MAXIFS($F:$F,$C:$C,$M185)</f>
        <v>0</v>
      </c>
    </row>
    <row r="186" spans="1:19">
      <c r="A186" s="16">
        <v>45754</v>
      </c>
      <c r="B186" s="5" t="s">
        <v>435</v>
      </c>
      <c r="C186" s="3">
        <v>102</v>
      </c>
      <c r="D186" s="6" t="s">
        <v>150</v>
      </c>
      <c r="E186" s="2">
        <v>45717</v>
      </c>
      <c r="F186" s="2">
        <v>45748</v>
      </c>
      <c r="G186" s="4">
        <v>2</v>
      </c>
      <c r="H186" s="15">
        <v>100</v>
      </c>
      <c r="K186" s="66" t="str">
        <f>IF(L186="CHE", COUNTIF($L$2:L186, "CHE"), "")</f>
        <v/>
      </c>
      <c r="L186" s="66" t="s">
        <v>21</v>
      </c>
      <c r="M186" s="80">
        <v>157</v>
      </c>
      <c r="N186" s="87" t="s">
        <v>391</v>
      </c>
      <c r="O186" s="46">
        <f>SUMIF(C:C,M186,H:H)</f>
        <v>0</v>
      </c>
      <c r="P186" s="47">
        <f>_xlfn.MINIFS($E:$E,$C:$C,$M186)</f>
        <v>0</v>
      </c>
      <c r="Q186" s="47">
        <f>_xlfn.MAXIFS($F:$F,$C:$C,$M186)</f>
        <v>0</v>
      </c>
    </row>
    <row r="187" spans="1:19">
      <c r="A187" s="16">
        <v>45815</v>
      </c>
      <c r="B187" s="5" t="s">
        <v>484</v>
      </c>
      <c r="C187" s="3">
        <v>102</v>
      </c>
      <c r="D187" s="6" t="s">
        <v>150</v>
      </c>
      <c r="E187" s="2">
        <v>45778</v>
      </c>
      <c r="F187" s="2">
        <v>45809</v>
      </c>
      <c r="G187" s="4">
        <v>2</v>
      </c>
      <c r="H187" s="15">
        <v>100</v>
      </c>
      <c r="K187" s="66" t="str">
        <f>IF(L187="CHE", COUNTIF($L$2:L187, "CHE"), "")</f>
        <v/>
      </c>
      <c r="L187" s="66" t="s">
        <v>21</v>
      </c>
      <c r="M187" s="80">
        <v>158</v>
      </c>
      <c r="N187" s="87" t="s">
        <v>393</v>
      </c>
      <c r="O187" s="46">
        <f>SUMIF(C:C,M187,H:H)</f>
        <v>0</v>
      </c>
      <c r="P187" s="47">
        <f>_xlfn.MINIFS($E:$E,$C:$C,$M187)</f>
        <v>0</v>
      </c>
      <c r="Q187" s="47">
        <f>_xlfn.MAXIFS($F:$F,$C:$C,$M187)</f>
        <v>0</v>
      </c>
    </row>
    <row r="188" spans="1:19">
      <c r="A188" s="16">
        <v>45874</v>
      </c>
      <c r="B188" s="5" t="s">
        <v>552</v>
      </c>
      <c r="C188" s="3">
        <v>102</v>
      </c>
      <c r="D188" s="6" t="s">
        <v>150</v>
      </c>
      <c r="E188" s="2">
        <v>45839</v>
      </c>
      <c r="F188" s="2">
        <v>45870</v>
      </c>
      <c r="G188" s="4">
        <v>2</v>
      </c>
      <c r="H188" s="15">
        <v>100</v>
      </c>
      <c r="K188" s="66" t="str">
        <f>IF(L188="CHE", COUNTIF($L$2:L188, "CHE"), "")</f>
        <v/>
      </c>
      <c r="L188" s="66" t="s">
        <v>21</v>
      </c>
      <c r="M188" s="80">
        <v>159</v>
      </c>
      <c r="N188" s="87" t="s">
        <v>395</v>
      </c>
      <c r="O188" s="46">
        <f>SUMIF(C:C,M188,H:H)</f>
        <v>0</v>
      </c>
      <c r="P188" s="47">
        <f>_xlfn.MINIFS($E:$E,$C:$C,$M188)</f>
        <v>0</v>
      </c>
      <c r="Q188" s="47">
        <f>_xlfn.MAXIFS($F:$F,$C:$C,$M188)</f>
        <v>0</v>
      </c>
    </row>
    <row r="189" spans="1:19">
      <c r="A189" s="16">
        <v>45935</v>
      </c>
      <c r="B189" s="5" t="s">
        <v>715</v>
      </c>
      <c r="C189" s="3">
        <v>102</v>
      </c>
      <c r="D189" s="6" t="s">
        <v>150</v>
      </c>
      <c r="E189" s="2">
        <v>45901</v>
      </c>
      <c r="F189" s="2">
        <v>45992</v>
      </c>
      <c r="G189" s="4">
        <v>4</v>
      </c>
      <c r="H189" s="15">
        <v>200</v>
      </c>
      <c r="K189" s="66" t="str">
        <f>IF(L189="CHE", COUNTIF($L$2:L189, "CHE"), "")</f>
        <v/>
      </c>
      <c r="L189" s="66" t="s">
        <v>21</v>
      </c>
      <c r="M189" s="80">
        <v>160</v>
      </c>
      <c r="N189" s="87" t="s">
        <v>397</v>
      </c>
      <c r="O189" s="46">
        <f>SUMIF(C:C,M189,H:H)</f>
        <v>1200</v>
      </c>
      <c r="P189" s="47">
        <f>_xlfn.MINIFS($E:$E,$C:$C,$M189)</f>
        <v>45658</v>
      </c>
      <c r="Q189" s="47">
        <f>_xlfn.MAXIFS($F:$F,$C:$C,$M189)</f>
        <v>46357</v>
      </c>
    </row>
    <row r="190" spans="1:19">
      <c r="A190" s="16">
        <v>46061</v>
      </c>
      <c r="C190" s="3">
        <v>102</v>
      </c>
      <c r="D190" s="6" t="s">
        <v>150</v>
      </c>
      <c r="E190" s="2">
        <v>46023</v>
      </c>
      <c r="F190" s="2">
        <v>46054</v>
      </c>
      <c r="G190" s="4">
        <v>2</v>
      </c>
      <c r="H190" s="15">
        <v>100</v>
      </c>
      <c r="K190" s="66" t="str">
        <f>IF(L190="CHE", COUNTIF($L$2:L190, "CHE"), "")</f>
        <v/>
      </c>
      <c r="L190" s="66" t="s">
        <v>21</v>
      </c>
      <c r="M190" s="80">
        <v>161</v>
      </c>
      <c r="N190" s="87" t="s">
        <v>399</v>
      </c>
      <c r="O190" s="46">
        <f>SUMIF(C:C,M190,H:H)</f>
        <v>0</v>
      </c>
      <c r="P190" s="47">
        <f>_xlfn.MINIFS($E:$E,$C:$C,$M190)</f>
        <v>0</v>
      </c>
      <c r="Q190" s="47">
        <f>_xlfn.MAXIFS($F:$F,$C:$C,$M190)</f>
        <v>0</v>
      </c>
    </row>
    <row r="191" spans="1:19">
      <c r="A191" s="16">
        <v>46115</v>
      </c>
      <c r="C191" s="3">
        <v>102</v>
      </c>
      <c r="D191" s="6" t="s">
        <v>150</v>
      </c>
      <c r="E191" s="2">
        <v>46082</v>
      </c>
      <c r="F191" s="2">
        <v>46113</v>
      </c>
      <c r="G191" s="4">
        <v>2</v>
      </c>
      <c r="H191" s="15">
        <v>100</v>
      </c>
      <c r="K191" s="92">
        <f>IF(L191="CHE", COUNTIF($L$2:L191, "CHE"), "")</f>
        <v>102</v>
      </c>
      <c r="L191" s="92" t="s">
        <v>17</v>
      </c>
      <c r="M191" s="91">
        <v>230</v>
      </c>
      <c r="N191" s="93" t="s">
        <v>401</v>
      </c>
      <c r="O191" s="46">
        <f>SUMIF(C:C,M191,H:H)</f>
        <v>450</v>
      </c>
      <c r="P191" s="47">
        <f>_xlfn.MINIFS($E:$E,$C:$C,$M191)</f>
        <v>46113</v>
      </c>
      <c r="Q191" s="47">
        <f>_xlfn.MAXIFS($F:$F,$C:$C,$M191)</f>
        <v>46357</v>
      </c>
    </row>
    <row r="192" spans="1:19">
      <c r="A192" s="16">
        <v>45693</v>
      </c>
      <c r="B192" s="5" t="s">
        <v>364</v>
      </c>
      <c r="C192" s="3">
        <v>103</v>
      </c>
      <c r="D192" s="6" t="s">
        <v>365</v>
      </c>
      <c r="E192" s="2">
        <v>45658</v>
      </c>
      <c r="F192" s="2">
        <v>45748</v>
      </c>
      <c r="G192" s="4">
        <v>4</v>
      </c>
      <c r="H192" s="15">
        <v>200</v>
      </c>
      <c r="K192" s="92">
        <f>IF(L192="CHE", COUNTIF($L$2:L192, "CHE"), "")</f>
        <v>103</v>
      </c>
      <c r="L192" s="92" t="s">
        <v>17</v>
      </c>
      <c r="M192" s="91">
        <v>231</v>
      </c>
      <c r="N192" s="93" t="s">
        <v>403</v>
      </c>
      <c r="O192" s="46">
        <f>SUMIF(C:C,M192,H:H)</f>
        <v>450</v>
      </c>
      <c r="P192" s="47">
        <f>_xlfn.MINIFS($E:$E,$C:$C,$M192)</f>
        <v>46113</v>
      </c>
      <c r="Q192" s="47">
        <f>_xlfn.MAXIFS($F:$F,$C:$C,$M192)</f>
        <v>46357</v>
      </c>
    </row>
    <row r="193" spans="1:17">
      <c r="A193" s="16">
        <v>45804</v>
      </c>
      <c r="B193" s="5" t="s">
        <v>367</v>
      </c>
      <c r="C193" s="3">
        <v>103</v>
      </c>
      <c r="D193" s="6" t="s">
        <v>152</v>
      </c>
      <c r="E193" s="2">
        <v>45778</v>
      </c>
      <c r="F193" s="2">
        <v>45870</v>
      </c>
      <c r="G193" s="4">
        <v>4</v>
      </c>
      <c r="H193" s="15">
        <v>200</v>
      </c>
      <c r="K193" s="92">
        <f>IF(L193="CHE", COUNTIF($L$2:L193, "CHE"), "")</f>
        <v>104</v>
      </c>
      <c r="L193" s="92" t="s">
        <v>17</v>
      </c>
      <c r="M193" s="91">
        <v>232</v>
      </c>
      <c r="N193" s="93" t="s">
        <v>405</v>
      </c>
      <c r="O193" s="46">
        <f>SUMIF(C:C,M193,H:H)</f>
        <v>100</v>
      </c>
      <c r="P193" s="47">
        <f>_xlfn.MINIFS($E:$E,$C:$C,$M193)</f>
        <v>46113</v>
      </c>
      <c r="Q193" s="47">
        <f>_xlfn.MAXIFS($F:$F,$C:$C,$M193)</f>
        <v>46143</v>
      </c>
    </row>
    <row r="194" spans="1:17">
      <c r="A194" s="16">
        <v>45943</v>
      </c>
      <c r="B194" s="5" t="s">
        <v>718</v>
      </c>
      <c r="C194" s="3">
        <v>103</v>
      </c>
      <c r="D194" s="6" t="s">
        <v>152</v>
      </c>
      <c r="E194" s="2">
        <v>45901</v>
      </c>
      <c r="F194" s="2">
        <v>45992</v>
      </c>
      <c r="G194" s="4">
        <v>4</v>
      </c>
      <c r="H194" s="15">
        <v>200</v>
      </c>
      <c r="K194" s="92">
        <f>IF(L194="CHE", COUNTIF($L$2:L194, "CHE"), "")</f>
        <v>105</v>
      </c>
      <c r="L194" s="92" t="s">
        <v>17</v>
      </c>
      <c r="M194" s="91">
        <v>233</v>
      </c>
      <c r="N194" s="93" t="s">
        <v>407</v>
      </c>
      <c r="O194" s="46">
        <f>SUMIF(C:C,M194,H:H)</f>
        <v>150</v>
      </c>
      <c r="P194" s="47">
        <f>_xlfn.MINIFS($E:$E,$C:$C,$M194)</f>
        <v>46113</v>
      </c>
      <c r="Q194" s="47">
        <f>_xlfn.MAXIFS($F:$F,$C:$C,$M194)</f>
        <v>46174</v>
      </c>
    </row>
    <row r="195" spans="1:17">
      <c r="A195" s="16">
        <v>46070</v>
      </c>
      <c r="C195" s="3">
        <v>103</v>
      </c>
      <c r="D195" s="6" t="s">
        <v>152</v>
      </c>
      <c r="E195" s="2">
        <v>46023</v>
      </c>
      <c r="F195" s="2">
        <v>46054</v>
      </c>
      <c r="G195" s="4">
        <v>2</v>
      </c>
      <c r="H195" s="15">
        <v>100</v>
      </c>
      <c r="K195" s="92">
        <f>IF(L195="CHE", COUNTIF($L$2:L195, "CHE"), "")</f>
        <v>106</v>
      </c>
      <c r="L195" s="92" t="s">
        <v>17</v>
      </c>
      <c r="M195" s="91">
        <v>234</v>
      </c>
      <c r="N195" s="93" t="s">
        <v>409</v>
      </c>
      <c r="O195" s="46">
        <f>SUMIF(C:C,M195,H:H)</f>
        <v>100</v>
      </c>
      <c r="P195" s="47">
        <f>_xlfn.MINIFS($E:$E,$C:$C,$M195)</f>
        <v>46113</v>
      </c>
      <c r="Q195" s="47">
        <f>_xlfn.MAXIFS($F:$F,$C:$C,$M195)</f>
        <v>46143</v>
      </c>
    </row>
    <row r="196" spans="1:17">
      <c r="A196" s="16">
        <v>46102</v>
      </c>
      <c r="B196" s="5" t="s">
        <v>371</v>
      </c>
      <c r="C196" s="3">
        <v>103</v>
      </c>
      <c r="D196" s="6" t="s">
        <v>152</v>
      </c>
      <c r="E196" s="2">
        <v>46082</v>
      </c>
      <c r="F196" s="2">
        <v>46174</v>
      </c>
      <c r="G196" s="4">
        <v>4</v>
      </c>
      <c r="H196" s="15">
        <v>200</v>
      </c>
      <c r="K196" s="92">
        <f>IF(L196="CHE", COUNTIF($L$2:L196, "CHE"), "")</f>
        <v>107</v>
      </c>
      <c r="L196" s="92" t="s">
        <v>17</v>
      </c>
      <c r="M196" s="91">
        <v>235</v>
      </c>
      <c r="N196" s="93" t="s">
        <v>411</v>
      </c>
      <c r="O196" s="46">
        <f>SUMIF(C:C,M196,H:H)</f>
        <v>50</v>
      </c>
      <c r="P196" s="47">
        <f>_xlfn.MINIFS($E:$E,$C:$C,$M196)</f>
        <v>46113</v>
      </c>
      <c r="Q196" s="47">
        <f>_xlfn.MAXIFS($F:$F,$C:$C,$M196)</f>
        <v>46113</v>
      </c>
    </row>
    <row r="197" spans="1:17">
      <c r="A197" s="16">
        <v>45662</v>
      </c>
      <c r="B197" s="5" t="s">
        <v>373</v>
      </c>
      <c r="C197" s="3">
        <v>104</v>
      </c>
      <c r="D197" s="6" t="s">
        <v>154</v>
      </c>
      <c r="E197" s="2">
        <v>45658</v>
      </c>
      <c r="F197" s="2">
        <v>45689</v>
      </c>
      <c r="G197" s="4">
        <v>2</v>
      </c>
      <c r="H197" s="15">
        <v>100</v>
      </c>
      <c r="K197" s="92">
        <f>IF(L197="CHE", COUNTIF($L$2:L197, "CHE"), "")</f>
        <v>108</v>
      </c>
      <c r="L197" s="92" t="s">
        <v>17</v>
      </c>
      <c r="M197" s="91">
        <v>236</v>
      </c>
      <c r="N197" s="93" t="s">
        <v>413</v>
      </c>
      <c r="O197" s="46">
        <f>SUMIF(C:C,M197,H:H)</f>
        <v>150</v>
      </c>
      <c r="P197" s="47">
        <f>_xlfn.MINIFS($E:$E,$C:$C,$M197)</f>
        <v>46113</v>
      </c>
      <c r="Q197" s="47">
        <f>_xlfn.MAXIFS($F:$F,$C:$C,$M197)</f>
        <v>46174</v>
      </c>
    </row>
    <row r="198" spans="1:17">
      <c r="A198" s="16">
        <v>45723</v>
      </c>
      <c r="B198" s="5" t="s">
        <v>375</v>
      </c>
      <c r="C198" s="3">
        <v>104</v>
      </c>
      <c r="D198" s="6" t="s">
        <v>154</v>
      </c>
      <c r="E198" s="2">
        <v>45717</v>
      </c>
      <c r="F198" s="2">
        <v>45748</v>
      </c>
      <c r="G198" s="4">
        <v>2</v>
      </c>
      <c r="H198" s="15">
        <v>100</v>
      </c>
      <c r="K198" s="92">
        <f>IF(L198="CHE", COUNTIF($L$2:L198, "CHE"), "")</f>
        <v>109</v>
      </c>
      <c r="L198" s="92" t="s">
        <v>17</v>
      </c>
      <c r="M198" s="91">
        <v>237</v>
      </c>
      <c r="N198" s="93" t="s">
        <v>415</v>
      </c>
      <c r="O198" s="46">
        <f>SUMIF(C:C,M198,H:H)</f>
        <v>450</v>
      </c>
      <c r="P198" s="47">
        <f>_xlfn.MINIFS($E:$E,$C:$C,$M198)</f>
        <v>46113</v>
      </c>
      <c r="Q198" s="47">
        <f>_xlfn.MAXIFS($F:$F,$C:$C,$M198)</f>
        <v>46357</v>
      </c>
    </row>
    <row r="199" spans="1:17">
      <c r="A199" s="16">
        <v>45782</v>
      </c>
      <c r="B199" s="5" t="s">
        <v>536</v>
      </c>
      <c r="C199" s="3">
        <v>104</v>
      </c>
      <c r="D199" s="6" t="s">
        <v>154</v>
      </c>
      <c r="E199" s="2">
        <v>45778</v>
      </c>
      <c r="F199" s="2">
        <v>45809</v>
      </c>
      <c r="G199" s="4">
        <v>2</v>
      </c>
      <c r="H199" s="15">
        <v>100</v>
      </c>
      <c r="K199" s="92">
        <f>IF(L199="CHE", COUNTIF($L$2:L199, "CHE"), "")</f>
        <v>110</v>
      </c>
      <c r="L199" s="92" t="s">
        <v>17</v>
      </c>
      <c r="M199" s="91">
        <v>238</v>
      </c>
      <c r="N199" s="93" t="s">
        <v>382</v>
      </c>
      <c r="O199" s="46">
        <f>SUMIF(C:C,M199,H:H)</f>
        <v>0</v>
      </c>
      <c r="P199" s="47">
        <f>_xlfn.MINIFS($E:$E,$C:$C,$M199)</f>
        <v>0</v>
      </c>
      <c r="Q199" s="47">
        <f>_xlfn.MAXIFS($F:$F,$C:$C,$M199)</f>
        <v>0</v>
      </c>
    </row>
    <row r="200" spans="1:17">
      <c r="A200" s="16">
        <v>45880</v>
      </c>
      <c r="B200" s="5" t="s">
        <v>223</v>
      </c>
      <c r="C200" s="3">
        <v>104</v>
      </c>
      <c r="D200" s="6" t="s">
        <v>154</v>
      </c>
      <c r="E200" s="2">
        <v>45839</v>
      </c>
      <c r="F200" s="2">
        <v>45870</v>
      </c>
      <c r="G200" s="4">
        <v>2</v>
      </c>
      <c r="H200" s="15">
        <v>100</v>
      </c>
      <c r="K200" s="92">
        <f>IF(L200="CHE", COUNTIF($L$2:L200, "CHE"), "")</f>
        <v>111</v>
      </c>
      <c r="L200" s="92" t="s">
        <v>17</v>
      </c>
      <c r="M200" s="91">
        <v>239</v>
      </c>
      <c r="N200" s="93" t="s">
        <v>418</v>
      </c>
      <c r="O200" s="46">
        <f>SUMIF(C:C,M200,H:H)</f>
        <v>450</v>
      </c>
      <c r="P200" s="47">
        <f>_xlfn.MINIFS($E:$E,$C:$C,$M200)</f>
        <v>46113</v>
      </c>
      <c r="Q200" s="47">
        <f>_xlfn.MAXIFS($F:$F,$C:$C,$M200)</f>
        <v>46357</v>
      </c>
    </row>
    <row r="201" spans="1:17">
      <c r="A201" s="16">
        <v>45948</v>
      </c>
      <c r="B201" s="5" t="s">
        <v>719</v>
      </c>
      <c r="C201" s="3">
        <v>104</v>
      </c>
      <c r="D201" s="6" t="s">
        <v>154</v>
      </c>
      <c r="E201" s="2">
        <v>45901</v>
      </c>
      <c r="F201" s="2">
        <v>45992</v>
      </c>
      <c r="G201" s="4">
        <v>4</v>
      </c>
      <c r="H201" s="15">
        <v>200</v>
      </c>
      <c r="K201" s="92">
        <f>IF(L201="CHE", COUNTIF($L$2:L201, "CHE"), "")</f>
        <v>112</v>
      </c>
      <c r="L201" s="92" t="s">
        <v>17</v>
      </c>
      <c r="M201" s="91">
        <v>240</v>
      </c>
      <c r="N201" s="93" t="s">
        <v>420</v>
      </c>
      <c r="O201" s="46">
        <f>SUMIF(C:C,M201,H:H)</f>
        <v>150</v>
      </c>
      <c r="P201" s="47">
        <f>_xlfn.MINIFS($E:$E,$C:$C,$M201)</f>
        <v>46113</v>
      </c>
      <c r="Q201" s="47">
        <f>_xlfn.MAXIFS($F:$F,$C:$C,$M201)</f>
        <v>46174</v>
      </c>
    </row>
    <row r="202" spans="1:17">
      <c r="A202" s="16">
        <v>46065</v>
      </c>
      <c r="C202" s="3">
        <v>104</v>
      </c>
      <c r="D202" s="6" t="s">
        <v>154</v>
      </c>
      <c r="E202" s="2">
        <v>46023</v>
      </c>
      <c r="F202" s="2">
        <v>46054</v>
      </c>
      <c r="G202" s="4">
        <v>2</v>
      </c>
      <c r="H202" s="15">
        <v>100</v>
      </c>
      <c r="K202" s="92">
        <f>IF(L202="CHE", COUNTIF($L$2:L202, "CHE"), "")</f>
        <v>113</v>
      </c>
      <c r="L202" s="92" t="s">
        <v>17</v>
      </c>
      <c r="M202" s="91">
        <v>241</v>
      </c>
      <c r="N202" s="93" t="s">
        <v>422</v>
      </c>
      <c r="O202" s="46">
        <f>SUMIF(C:C,M202,H:H)</f>
        <v>0</v>
      </c>
      <c r="P202" s="47">
        <f>_xlfn.MINIFS($E:$E,$C:$C,$M202)</f>
        <v>0</v>
      </c>
      <c r="Q202" s="47">
        <f>_xlfn.MAXIFS($F:$F,$C:$C,$M202)</f>
        <v>0</v>
      </c>
    </row>
    <row r="203" spans="1:17">
      <c r="A203" s="16">
        <v>45658</v>
      </c>
      <c r="B203" s="5" t="s">
        <v>390</v>
      </c>
      <c r="C203" s="3">
        <v>106</v>
      </c>
      <c r="D203" s="6" t="s">
        <v>385</v>
      </c>
      <c r="E203" s="2">
        <v>45658</v>
      </c>
      <c r="F203" s="2">
        <v>45809</v>
      </c>
      <c r="G203" s="4">
        <v>6</v>
      </c>
      <c r="H203" s="15">
        <v>300</v>
      </c>
      <c r="K203" s="92">
        <f>IF(L203="CHE", COUNTIF($L$2:L203, "CHE"), "")</f>
        <v>114</v>
      </c>
      <c r="L203" s="92" t="s">
        <v>17</v>
      </c>
      <c r="M203" s="91">
        <v>242</v>
      </c>
      <c r="N203" s="93" t="s">
        <v>423</v>
      </c>
      <c r="O203" s="46">
        <f>SUMIF(C:C,M203,H:H)</f>
        <v>0</v>
      </c>
      <c r="P203" s="47">
        <f>_xlfn.MINIFS($E:$E,$C:$C,$M203)</f>
        <v>0</v>
      </c>
      <c r="Q203" s="47">
        <f>_xlfn.MAXIFS($F:$F,$C:$C,$M203)</f>
        <v>0</v>
      </c>
    </row>
    <row r="204" spans="1:17">
      <c r="A204" s="16">
        <v>45818</v>
      </c>
      <c r="B204" s="5" t="s">
        <v>392</v>
      </c>
      <c r="C204" s="3">
        <v>106</v>
      </c>
      <c r="D204" s="6" t="s">
        <v>156</v>
      </c>
      <c r="E204" s="2">
        <v>45839</v>
      </c>
      <c r="F204" s="2">
        <v>45992</v>
      </c>
      <c r="G204" s="4">
        <v>6</v>
      </c>
      <c r="H204" s="15">
        <v>300</v>
      </c>
      <c r="Q204" s="44"/>
    </row>
    <row r="205" spans="1:17">
      <c r="A205" s="16">
        <v>46025</v>
      </c>
      <c r="B205" s="5" t="s">
        <v>394</v>
      </c>
      <c r="C205" s="3">
        <v>106</v>
      </c>
      <c r="D205" s="6" t="s">
        <v>156</v>
      </c>
      <c r="E205" s="2">
        <v>46023</v>
      </c>
      <c r="F205" s="2">
        <v>46023</v>
      </c>
      <c r="G205" s="4">
        <v>1</v>
      </c>
      <c r="H205" s="15">
        <v>50</v>
      </c>
      <c r="Q205" s="44"/>
    </row>
    <row r="206" spans="1:17">
      <c r="A206" s="16">
        <v>46025</v>
      </c>
      <c r="B206" s="5" t="s">
        <v>396</v>
      </c>
      <c r="C206" s="3">
        <v>106</v>
      </c>
      <c r="D206" s="6" t="s">
        <v>156</v>
      </c>
      <c r="E206" s="2">
        <v>46054</v>
      </c>
      <c r="F206" s="2">
        <v>46054</v>
      </c>
      <c r="G206" s="4">
        <v>1</v>
      </c>
      <c r="H206" s="15">
        <v>50</v>
      </c>
      <c r="Q206" s="44"/>
    </row>
    <row r="207" spans="1:17">
      <c r="A207" s="16">
        <v>46025</v>
      </c>
      <c r="B207" s="5" t="s">
        <v>398</v>
      </c>
      <c r="C207" s="3">
        <v>106</v>
      </c>
      <c r="D207" s="6" t="s">
        <v>156</v>
      </c>
      <c r="E207" s="2">
        <v>46082</v>
      </c>
      <c r="F207" s="2">
        <v>46082</v>
      </c>
      <c r="G207" s="4">
        <v>1</v>
      </c>
      <c r="H207" s="15">
        <v>50</v>
      </c>
      <c r="L207" s="71" t="s">
        <v>425</v>
      </c>
      <c r="M207" s="81">
        <f>COUNTIF(L2:L203,"CHE")+COUNTIF(L2:L203,"CHE-?")+COUNTIF(L2:L203,"CHE-X")</f>
        <v>138</v>
      </c>
      <c r="Q207" s="44"/>
    </row>
    <row r="208" spans="1:17">
      <c r="A208" s="16">
        <v>45668</v>
      </c>
      <c r="B208" s="5" t="s">
        <v>400</v>
      </c>
      <c r="C208" s="3">
        <v>114</v>
      </c>
      <c r="D208" s="6" t="s">
        <v>170</v>
      </c>
      <c r="E208" s="2">
        <v>45658</v>
      </c>
      <c r="F208" s="2">
        <v>45689</v>
      </c>
      <c r="G208" s="4">
        <v>2</v>
      </c>
      <c r="H208" s="15">
        <v>100</v>
      </c>
      <c r="Q208" s="44"/>
    </row>
    <row r="209" spans="1:17">
      <c r="A209" s="16">
        <v>45718</v>
      </c>
      <c r="B209" s="5" t="s">
        <v>402</v>
      </c>
      <c r="C209" s="3">
        <v>114</v>
      </c>
      <c r="D209" s="6" t="s">
        <v>170</v>
      </c>
      <c r="E209" s="2">
        <v>45717</v>
      </c>
      <c r="F209" s="2">
        <v>45748</v>
      </c>
      <c r="G209" s="4">
        <v>2</v>
      </c>
      <c r="H209" s="15">
        <v>100</v>
      </c>
      <c r="L209" s="71" t="s">
        <v>426</v>
      </c>
      <c r="M209" s="81">
        <f>COUNTIF($L$2:$L$207,"CHE")</f>
        <v>114</v>
      </c>
      <c r="Q209" s="44"/>
    </row>
    <row r="210" spans="1:17">
      <c r="A210" s="16">
        <v>45816</v>
      </c>
      <c r="B210" s="5" t="s">
        <v>404</v>
      </c>
      <c r="C210" s="3">
        <v>114</v>
      </c>
      <c r="D210" s="6" t="s">
        <v>170</v>
      </c>
      <c r="E210" s="2">
        <v>45778</v>
      </c>
      <c r="F210" s="2">
        <v>45870</v>
      </c>
      <c r="G210" s="4">
        <v>4</v>
      </c>
      <c r="H210" s="15">
        <v>200</v>
      </c>
      <c r="L210" s="71" t="s">
        <v>427</v>
      </c>
      <c r="M210" s="81">
        <f>COUNTIF(L2:L190,"CHE - ?")</f>
        <v>0</v>
      </c>
      <c r="Q210" s="44"/>
    </row>
    <row r="211" spans="1:17">
      <c r="A211" s="16">
        <v>45911</v>
      </c>
      <c r="B211" s="5" t="s">
        <v>668</v>
      </c>
      <c r="C211" s="3">
        <v>114</v>
      </c>
      <c r="D211" s="6" t="s">
        <v>170</v>
      </c>
      <c r="E211" s="2">
        <v>45901</v>
      </c>
      <c r="F211" s="2">
        <v>45992</v>
      </c>
      <c r="G211" s="4">
        <v>4</v>
      </c>
      <c r="H211" s="15">
        <v>200</v>
      </c>
      <c r="L211" s="71" t="s">
        <v>428</v>
      </c>
      <c r="M211" s="81" cm="1">
        <f t="array" ref="M211">SUMPRODUCT(COUNTIF(L2:L190, {"CHE-X","退 (Jan-25)","退 (Oct-25)","退 (Jan-26)"}))</f>
        <v>21</v>
      </c>
      <c r="Q211" s="44"/>
    </row>
    <row r="212" spans="1:17" ht="19.5" thickBot="1">
      <c r="A212" s="16">
        <v>45627</v>
      </c>
      <c r="B212" s="5" t="s">
        <v>408</v>
      </c>
      <c r="C212" s="3">
        <v>116</v>
      </c>
      <c r="D212" s="6" t="s">
        <v>171</v>
      </c>
      <c r="E212" s="2">
        <v>45627</v>
      </c>
      <c r="F212" s="2">
        <v>45627</v>
      </c>
      <c r="G212" s="4">
        <v>1</v>
      </c>
      <c r="H212" s="15">
        <v>50</v>
      </c>
      <c r="M212" s="82">
        <f>SUM(M209:M211)</f>
        <v>135</v>
      </c>
      <c r="Q212" s="44"/>
    </row>
    <row r="213" spans="1:17" ht="19.5" thickTop="1">
      <c r="A213" s="16">
        <v>45659</v>
      </c>
      <c r="B213" s="5" t="s">
        <v>410</v>
      </c>
      <c r="C213" s="3">
        <v>116</v>
      </c>
      <c r="D213" s="6" t="s">
        <v>171</v>
      </c>
      <c r="E213" s="2">
        <v>45658</v>
      </c>
      <c r="F213" s="2">
        <v>45658</v>
      </c>
      <c r="G213" s="4">
        <v>1</v>
      </c>
      <c r="H213" s="15">
        <v>50</v>
      </c>
      <c r="Q213" s="44"/>
    </row>
    <row r="214" spans="1:17">
      <c r="A214" s="16">
        <v>45691</v>
      </c>
      <c r="B214" s="5" t="s">
        <v>412</v>
      </c>
      <c r="C214" s="3">
        <v>116</v>
      </c>
      <c r="D214" s="6" t="s">
        <v>171</v>
      </c>
      <c r="E214" s="2">
        <v>45689</v>
      </c>
      <c r="F214" s="2">
        <v>45689</v>
      </c>
      <c r="G214" s="4">
        <v>1</v>
      </c>
      <c r="H214" s="15">
        <v>50</v>
      </c>
      <c r="L214" s="71" t="s">
        <v>432</v>
      </c>
      <c r="M214" s="81">
        <f>COUNTIF(L2:L190,"STW")</f>
        <v>32</v>
      </c>
      <c r="Q214" s="44"/>
    </row>
    <row r="215" spans="1:17">
      <c r="A215" s="16">
        <v>45718</v>
      </c>
      <c r="B215" s="5" t="s">
        <v>414</v>
      </c>
      <c r="C215" s="3">
        <v>116</v>
      </c>
      <c r="D215" s="6" t="s">
        <v>171</v>
      </c>
      <c r="E215" s="2">
        <v>45717</v>
      </c>
      <c r="F215" s="2">
        <v>45717</v>
      </c>
      <c r="G215" s="4">
        <v>1</v>
      </c>
      <c r="H215" s="15">
        <v>50</v>
      </c>
      <c r="Q215" s="44"/>
    </row>
    <row r="216" spans="1:17">
      <c r="A216" s="16">
        <v>45748</v>
      </c>
      <c r="B216" s="5" t="s">
        <v>416</v>
      </c>
      <c r="C216" s="3">
        <v>116</v>
      </c>
      <c r="D216" s="6" t="s">
        <v>171</v>
      </c>
      <c r="E216" s="2">
        <v>45748</v>
      </c>
      <c r="F216" s="2">
        <v>45748</v>
      </c>
      <c r="G216" s="4">
        <v>1</v>
      </c>
      <c r="H216" s="15">
        <v>50</v>
      </c>
      <c r="Q216" s="44"/>
    </row>
    <row r="217" spans="1:17">
      <c r="A217" s="16">
        <v>45779</v>
      </c>
      <c r="B217" s="5" t="s">
        <v>417</v>
      </c>
      <c r="C217" s="3">
        <v>116</v>
      </c>
      <c r="D217" s="6" t="s">
        <v>171</v>
      </c>
      <c r="E217" s="2">
        <v>45778</v>
      </c>
      <c r="F217" s="2">
        <v>45778</v>
      </c>
      <c r="G217" s="4">
        <v>1</v>
      </c>
      <c r="H217" s="15">
        <v>50</v>
      </c>
      <c r="Q217" s="44"/>
    </row>
    <row r="218" spans="1:17">
      <c r="A218" s="16">
        <v>45810</v>
      </c>
      <c r="B218" s="5" t="s">
        <v>436</v>
      </c>
      <c r="C218" s="3">
        <v>116</v>
      </c>
      <c r="D218" s="6" t="s">
        <v>171</v>
      </c>
      <c r="E218" s="2">
        <v>45809</v>
      </c>
      <c r="F218" s="2">
        <v>45809</v>
      </c>
      <c r="G218" s="4">
        <v>1</v>
      </c>
      <c r="H218" s="15">
        <v>50</v>
      </c>
      <c r="Q218" s="44"/>
    </row>
    <row r="219" spans="1:17">
      <c r="A219" s="16">
        <v>45840</v>
      </c>
      <c r="B219" s="5" t="s">
        <v>437</v>
      </c>
      <c r="C219" s="3">
        <v>116</v>
      </c>
      <c r="D219" s="6" t="s">
        <v>171</v>
      </c>
      <c r="E219" s="2">
        <v>45839</v>
      </c>
      <c r="F219" s="2">
        <v>45839</v>
      </c>
      <c r="G219" s="4">
        <v>1</v>
      </c>
      <c r="H219" s="15">
        <v>50</v>
      </c>
      <c r="Q219" s="44"/>
    </row>
    <row r="220" spans="1:17">
      <c r="A220" s="16">
        <v>45870</v>
      </c>
      <c r="B220" s="5" t="s">
        <v>541</v>
      </c>
      <c r="C220" s="3">
        <v>116</v>
      </c>
      <c r="D220" s="6" t="s">
        <v>171</v>
      </c>
      <c r="E220" s="2">
        <v>45870</v>
      </c>
      <c r="F220" s="2">
        <v>45870</v>
      </c>
      <c r="G220" s="4">
        <v>1</v>
      </c>
      <c r="H220" s="15">
        <v>50</v>
      </c>
      <c r="Q220" s="44"/>
    </row>
    <row r="221" spans="1:17">
      <c r="A221" s="16">
        <v>45901</v>
      </c>
      <c r="B221" s="5" t="s">
        <v>538</v>
      </c>
      <c r="C221" s="3">
        <v>116</v>
      </c>
      <c r="D221" s="6" t="s">
        <v>171</v>
      </c>
      <c r="E221" s="2">
        <v>45901</v>
      </c>
      <c r="F221" s="2">
        <v>45901</v>
      </c>
      <c r="G221" s="4">
        <v>1</v>
      </c>
      <c r="H221" s="15">
        <v>50</v>
      </c>
      <c r="Q221" s="44"/>
    </row>
    <row r="222" spans="1:17">
      <c r="A222" s="16">
        <v>45931</v>
      </c>
      <c r="B222" s="5" t="s">
        <v>711</v>
      </c>
      <c r="C222" s="3">
        <v>116</v>
      </c>
      <c r="D222" s="6" t="s">
        <v>171</v>
      </c>
      <c r="E222" s="2">
        <v>45931</v>
      </c>
      <c r="F222" s="2">
        <v>45931</v>
      </c>
      <c r="G222" s="4">
        <v>1</v>
      </c>
      <c r="H222" s="15">
        <v>50</v>
      </c>
      <c r="Q222" s="44"/>
    </row>
    <row r="223" spans="1:17">
      <c r="A223" s="16">
        <v>45962</v>
      </c>
      <c r="B223" s="5" t="s">
        <v>723</v>
      </c>
      <c r="C223" s="3">
        <v>116</v>
      </c>
      <c r="D223" s="6" t="s">
        <v>171</v>
      </c>
      <c r="E223" s="2">
        <v>45962</v>
      </c>
      <c r="F223" s="2">
        <v>45962</v>
      </c>
      <c r="G223" s="4">
        <v>1</v>
      </c>
      <c r="H223" s="15">
        <v>50</v>
      </c>
      <c r="Q223" s="44"/>
    </row>
    <row r="224" spans="1:17">
      <c r="A224" s="16">
        <v>45993</v>
      </c>
      <c r="B224" s="5" t="s">
        <v>733</v>
      </c>
      <c r="C224" s="3">
        <v>116</v>
      </c>
      <c r="D224" s="6" t="s">
        <v>171</v>
      </c>
      <c r="E224" s="2">
        <v>45992</v>
      </c>
      <c r="F224" s="2">
        <v>45992</v>
      </c>
      <c r="G224" s="4">
        <v>1</v>
      </c>
      <c r="H224" s="15">
        <v>50</v>
      </c>
      <c r="Q224" s="44"/>
    </row>
    <row r="225" spans="1:17">
      <c r="A225" s="16">
        <v>46027</v>
      </c>
      <c r="B225" s="5" t="s">
        <v>747</v>
      </c>
      <c r="C225" s="3">
        <v>116</v>
      </c>
      <c r="D225" s="6" t="s">
        <v>171</v>
      </c>
      <c r="E225" s="2">
        <v>46023</v>
      </c>
      <c r="F225" s="2">
        <v>46023</v>
      </c>
      <c r="G225" s="4">
        <v>1</v>
      </c>
      <c r="H225" s="15">
        <v>50</v>
      </c>
      <c r="Q225" s="44"/>
    </row>
    <row r="226" spans="1:17">
      <c r="A226" s="16">
        <v>46058</v>
      </c>
      <c r="C226" s="3">
        <v>116</v>
      </c>
      <c r="D226" s="6" t="s">
        <v>171</v>
      </c>
      <c r="E226" s="2">
        <v>46054</v>
      </c>
      <c r="F226" s="2">
        <v>46054</v>
      </c>
      <c r="G226" s="4">
        <v>1</v>
      </c>
      <c r="H226" s="15">
        <v>50</v>
      </c>
      <c r="Q226" s="44"/>
    </row>
    <row r="227" spans="1:17">
      <c r="A227" s="16">
        <v>46085</v>
      </c>
      <c r="C227" s="3">
        <v>116</v>
      </c>
      <c r="D227" s="6" t="s">
        <v>171</v>
      </c>
      <c r="E227" s="2">
        <v>46082</v>
      </c>
      <c r="F227" s="2">
        <v>46082</v>
      </c>
      <c r="G227" s="4">
        <v>1</v>
      </c>
      <c r="H227" s="15">
        <v>50</v>
      </c>
      <c r="Q227" s="44"/>
    </row>
    <row r="228" spans="1:17">
      <c r="A228" s="16">
        <v>46113</v>
      </c>
      <c r="C228" s="3">
        <v>116</v>
      </c>
      <c r="D228" s="6" t="s">
        <v>171</v>
      </c>
      <c r="E228" s="2">
        <v>46113</v>
      </c>
      <c r="F228" s="2">
        <v>46113</v>
      </c>
      <c r="G228" s="4">
        <v>1</v>
      </c>
      <c r="H228" s="15">
        <v>50</v>
      </c>
      <c r="Q228" s="44"/>
    </row>
    <row r="229" spans="1:17">
      <c r="A229" s="16">
        <v>46143</v>
      </c>
      <c r="C229" s="3">
        <v>116</v>
      </c>
      <c r="D229" s="6" t="s">
        <v>171</v>
      </c>
      <c r="E229" s="2">
        <v>46143</v>
      </c>
      <c r="F229" s="2">
        <v>46143</v>
      </c>
      <c r="G229" s="4">
        <v>1</v>
      </c>
      <c r="H229" s="15">
        <v>50</v>
      </c>
      <c r="Q229" s="44"/>
    </row>
    <row r="230" spans="1:17">
      <c r="A230" s="16">
        <v>45627</v>
      </c>
      <c r="B230" s="5" t="s">
        <v>429</v>
      </c>
      <c r="C230" s="3">
        <v>117</v>
      </c>
      <c r="D230" s="6" t="s">
        <v>173</v>
      </c>
      <c r="E230" s="2">
        <v>45627</v>
      </c>
      <c r="F230" s="2">
        <v>45627</v>
      </c>
      <c r="G230" s="4">
        <v>1</v>
      </c>
      <c r="H230" s="15">
        <v>50</v>
      </c>
      <c r="Q230" s="44"/>
    </row>
    <row r="231" spans="1:17">
      <c r="A231" s="16">
        <v>45659</v>
      </c>
      <c r="B231" s="5" t="s">
        <v>430</v>
      </c>
      <c r="C231" s="3">
        <v>117</v>
      </c>
      <c r="D231" s="6" t="s">
        <v>173</v>
      </c>
      <c r="E231" s="2">
        <v>45658</v>
      </c>
      <c r="F231" s="2">
        <v>45658</v>
      </c>
      <c r="G231" s="4">
        <v>1</v>
      </c>
      <c r="H231" s="15">
        <v>50</v>
      </c>
      <c r="Q231" s="44"/>
    </row>
    <row r="232" spans="1:17">
      <c r="A232" s="16">
        <v>45691</v>
      </c>
      <c r="B232" s="5" t="s">
        <v>431</v>
      </c>
      <c r="C232" s="3">
        <v>117</v>
      </c>
      <c r="D232" s="6" t="s">
        <v>173</v>
      </c>
      <c r="E232" s="2">
        <v>45689</v>
      </c>
      <c r="F232" s="2">
        <v>45689</v>
      </c>
      <c r="G232" s="4">
        <v>1</v>
      </c>
      <c r="H232" s="15">
        <v>50</v>
      </c>
      <c r="Q232" s="44"/>
    </row>
    <row r="233" spans="1:17">
      <c r="A233" s="16">
        <v>45718</v>
      </c>
      <c r="B233" s="5" t="s">
        <v>433</v>
      </c>
      <c r="C233" s="3">
        <v>117</v>
      </c>
      <c r="D233" s="6" t="s">
        <v>173</v>
      </c>
      <c r="E233" s="2">
        <v>45717</v>
      </c>
      <c r="F233" s="2">
        <v>45717</v>
      </c>
      <c r="G233" s="4">
        <v>1</v>
      </c>
      <c r="H233" s="15">
        <v>50</v>
      </c>
      <c r="Q233" s="44"/>
    </row>
    <row r="234" spans="1:17">
      <c r="A234" s="94">
        <v>45749</v>
      </c>
      <c r="B234" s="95" t="s">
        <v>434</v>
      </c>
      <c r="C234" s="96">
        <v>117</v>
      </c>
      <c r="D234" s="97" t="s">
        <v>173</v>
      </c>
      <c r="E234" s="98">
        <v>45748</v>
      </c>
      <c r="F234" s="98">
        <v>45748</v>
      </c>
      <c r="G234" s="99">
        <v>1</v>
      </c>
      <c r="H234" s="100">
        <v>50</v>
      </c>
      <c r="Q234" s="44"/>
    </row>
    <row r="235" spans="1:17">
      <c r="A235" s="16">
        <v>45779</v>
      </c>
      <c r="B235" s="5" t="s">
        <v>706</v>
      </c>
      <c r="C235" s="3">
        <v>117</v>
      </c>
      <c r="D235" s="6" t="s">
        <v>173</v>
      </c>
      <c r="E235" s="2">
        <v>45778</v>
      </c>
      <c r="F235" s="2">
        <v>45778</v>
      </c>
      <c r="G235" s="4">
        <v>1</v>
      </c>
      <c r="H235" s="15">
        <v>50</v>
      </c>
      <c r="Q235" s="44"/>
    </row>
    <row r="236" spans="1:17">
      <c r="A236" s="16">
        <v>45810</v>
      </c>
      <c r="B236" s="5" t="s">
        <v>176</v>
      </c>
      <c r="C236" s="3">
        <v>117</v>
      </c>
      <c r="D236" s="6" t="s">
        <v>173</v>
      </c>
      <c r="E236" s="2">
        <v>45809</v>
      </c>
      <c r="F236" s="2">
        <v>45809</v>
      </c>
      <c r="G236" s="4">
        <v>1</v>
      </c>
      <c r="H236" s="15">
        <v>50</v>
      </c>
      <c r="Q236" s="44"/>
    </row>
    <row r="237" spans="1:17">
      <c r="A237" s="16">
        <v>45840</v>
      </c>
      <c r="B237" s="5" t="s">
        <v>485</v>
      </c>
      <c r="C237" s="3">
        <v>117</v>
      </c>
      <c r="D237" s="6" t="s">
        <v>173</v>
      </c>
      <c r="E237" s="2">
        <v>45839</v>
      </c>
      <c r="F237" s="2">
        <v>45839</v>
      </c>
      <c r="G237" s="4">
        <v>1</v>
      </c>
      <c r="H237" s="15">
        <v>50</v>
      </c>
      <c r="Q237" s="44"/>
    </row>
    <row r="238" spans="1:17">
      <c r="A238" s="16">
        <v>45870</v>
      </c>
      <c r="B238" s="5" t="s">
        <v>163</v>
      </c>
      <c r="C238" s="3">
        <v>117</v>
      </c>
      <c r="D238" s="6" t="s">
        <v>173</v>
      </c>
      <c r="E238" s="2">
        <v>45870</v>
      </c>
      <c r="F238" s="2">
        <v>45870</v>
      </c>
      <c r="G238" s="4">
        <v>1</v>
      </c>
      <c r="H238" s="15">
        <v>50</v>
      </c>
      <c r="Q238" s="44"/>
    </row>
    <row r="239" spans="1:17">
      <c r="A239" s="16">
        <v>45901</v>
      </c>
      <c r="B239" s="5" t="s">
        <v>444</v>
      </c>
      <c r="C239" s="3">
        <v>117</v>
      </c>
      <c r="D239" s="6" t="s">
        <v>173</v>
      </c>
      <c r="E239" s="2">
        <v>45901</v>
      </c>
      <c r="F239" s="2">
        <v>45901</v>
      </c>
      <c r="G239" s="4">
        <v>1</v>
      </c>
      <c r="H239" s="15">
        <v>50</v>
      </c>
      <c r="Q239" s="44"/>
    </row>
    <row r="240" spans="1:17">
      <c r="A240" s="16">
        <v>45931</v>
      </c>
      <c r="B240" s="5" t="s">
        <v>712</v>
      </c>
      <c r="C240" s="3">
        <v>117</v>
      </c>
      <c r="D240" s="6" t="s">
        <v>173</v>
      </c>
      <c r="E240" s="2">
        <v>45931</v>
      </c>
      <c r="F240" s="2">
        <v>45931</v>
      </c>
      <c r="G240" s="4">
        <v>1</v>
      </c>
      <c r="H240" s="15">
        <v>50</v>
      </c>
      <c r="Q240" s="44"/>
    </row>
    <row r="241" spans="1:17">
      <c r="A241" s="16">
        <v>45962</v>
      </c>
      <c r="B241" s="5" t="s">
        <v>724</v>
      </c>
      <c r="C241" s="3">
        <v>117</v>
      </c>
      <c r="D241" s="6" t="s">
        <v>173</v>
      </c>
      <c r="E241" s="2">
        <v>45962</v>
      </c>
      <c r="F241" s="2">
        <v>45962</v>
      </c>
      <c r="G241" s="4">
        <v>1</v>
      </c>
      <c r="H241" s="15">
        <v>50</v>
      </c>
      <c r="Q241" s="44"/>
    </row>
    <row r="242" spans="1:17">
      <c r="A242" s="16">
        <v>45993</v>
      </c>
      <c r="B242" s="5" t="s">
        <v>734</v>
      </c>
      <c r="C242" s="3">
        <v>117</v>
      </c>
      <c r="D242" s="6" t="s">
        <v>173</v>
      </c>
      <c r="E242" s="2">
        <v>45992</v>
      </c>
      <c r="F242" s="2">
        <v>45992</v>
      </c>
      <c r="G242" s="4">
        <v>1</v>
      </c>
      <c r="H242" s="15">
        <v>50</v>
      </c>
      <c r="Q242" s="44"/>
    </row>
    <row r="243" spans="1:17">
      <c r="A243" s="16">
        <v>46027</v>
      </c>
      <c r="B243" s="5" t="s">
        <v>748</v>
      </c>
      <c r="C243" s="3">
        <v>117</v>
      </c>
      <c r="D243" s="6" t="s">
        <v>173</v>
      </c>
      <c r="E243" s="2">
        <v>46023</v>
      </c>
      <c r="F243" s="2">
        <v>46023</v>
      </c>
      <c r="G243" s="4">
        <v>1</v>
      </c>
      <c r="H243" s="15">
        <v>50</v>
      </c>
      <c r="Q243" s="44"/>
    </row>
    <row r="244" spans="1:17">
      <c r="A244" s="16">
        <v>46058</v>
      </c>
      <c r="C244" s="3">
        <v>117</v>
      </c>
      <c r="D244" s="6" t="s">
        <v>173</v>
      </c>
      <c r="E244" s="2">
        <v>46054</v>
      </c>
      <c r="F244" s="2">
        <v>46054</v>
      </c>
      <c r="G244" s="4">
        <v>1</v>
      </c>
      <c r="H244" s="15">
        <v>50</v>
      </c>
      <c r="Q244" s="44"/>
    </row>
    <row r="245" spans="1:17">
      <c r="A245" s="16">
        <v>46085</v>
      </c>
      <c r="C245" s="3">
        <v>117</v>
      </c>
      <c r="D245" s="6" t="s">
        <v>173</v>
      </c>
      <c r="E245" s="2">
        <v>46082</v>
      </c>
      <c r="F245" s="2">
        <v>46082</v>
      </c>
      <c r="G245" s="4">
        <v>1</v>
      </c>
      <c r="H245" s="15">
        <v>50</v>
      </c>
      <c r="Q245" s="44"/>
    </row>
    <row r="246" spans="1:17">
      <c r="A246" s="16">
        <v>46113</v>
      </c>
      <c r="C246" s="3">
        <v>117</v>
      </c>
      <c r="D246" s="6" t="s">
        <v>173</v>
      </c>
      <c r="E246" s="2">
        <v>46113</v>
      </c>
      <c r="F246" s="2">
        <v>46113</v>
      </c>
      <c r="G246" s="4">
        <v>1</v>
      </c>
      <c r="H246" s="15">
        <v>50</v>
      </c>
      <c r="Q246" s="44"/>
    </row>
    <row r="247" spans="1:17">
      <c r="A247" s="16">
        <v>46145</v>
      </c>
      <c r="C247" s="3">
        <v>117</v>
      </c>
      <c r="D247" s="6" t="s">
        <v>173</v>
      </c>
      <c r="E247" s="2">
        <v>46143</v>
      </c>
      <c r="F247" s="2">
        <v>46143</v>
      </c>
      <c r="G247" s="4">
        <v>1</v>
      </c>
      <c r="H247" s="15">
        <v>50</v>
      </c>
      <c r="Q247" s="44"/>
    </row>
    <row r="248" spans="1:17">
      <c r="A248" s="16">
        <v>45671</v>
      </c>
      <c r="B248" s="5" t="s">
        <v>440</v>
      </c>
      <c r="C248" s="3">
        <v>120</v>
      </c>
      <c r="D248" s="6" t="s">
        <v>175</v>
      </c>
      <c r="E248" s="2">
        <v>45658</v>
      </c>
      <c r="F248" s="2">
        <v>45992</v>
      </c>
      <c r="G248" s="4">
        <v>12</v>
      </c>
      <c r="H248" s="15">
        <v>600</v>
      </c>
      <c r="Q248" s="44"/>
    </row>
    <row r="249" spans="1:17">
      <c r="A249" s="16">
        <v>46025</v>
      </c>
      <c r="B249" s="5" t="s">
        <v>441</v>
      </c>
      <c r="C249" s="3">
        <v>120</v>
      </c>
      <c r="D249" s="6" t="s">
        <v>175</v>
      </c>
      <c r="E249" s="2">
        <v>46023</v>
      </c>
      <c r="F249" s="2">
        <v>46357</v>
      </c>
      <c r="G249" s="4">
        <v>12</v>
      </c>
      <c r="H249" s="15">
        <v>600</v>
      </c>
      <c r="Q249" s="44"/>
    </row>
    <row r="250" spans="1:17">
      <c r="A250" s="16">
        <v>45679</v>
      </c>
      <c r="B250" s="5" t="s">
        <v>442</v>
      </c>
      <c r="C250" s="3">
        <v>123</v>
      </c>
      <c r="D250" s="6" t="s">
        <v>177</v>
      </c>
      <c r="E250" s="2">
        <v>45658</v>
      </c>
      <c r="F250" s="2">
        <v>45689</v>
      </c>
      <c r="G250" s="4">
        <v>2</v>
      </c>
      <c r="H250" s="15">
        <v>100</v>
      </c>
      <c r="Q250" s="44"/>
    </row>
    <row r="251" spans="1:17">
      <c r="A251" s="16">
        <v>45719</v>
      </c>
      <c r="B251" s="5" t="s">
        <v>443</v>
      </c>
      <c r="C251" s="3">
        <v>123</v>
      </c>
      <c r="D251" s="6" t="s">
        <v>177</v>
      </c>
      <c r="E251" s="2">
        <v>45717</v>
      </c>
      <c r="F251" s="2">
        <v>45748</v>
      </c>
      <c r="G251" s="4">
        <v>2</v>
      </c>
      <c r="H251" s="15">
        <v>100</v>
      </c>
      <c r="Q251" s="44"/>
    </row>
    <row r="252" spans="1:17">
      <c r="A252" s="16">
        <v>45779</v>
      </c>
      <c r="B252" s="5" t="s">
        <v>483</v>
      </c>
      <c r="C252" s="3">
        <v>123</v>
      </c>
      <c r="D252" s="6" t="s">
        <v>177</v>
      </c>
      <c r="E252" s="2">
        <v>45778</v>
      </c>
      <c r="F252" s="2">
        <v>45809</v>
      </c>
      <c r="G252" s="4">
        <v>2</v>
      </c>
      <c r="H252" s="15">
        <v>100</v>
      </c>
      <c r="Q252" s="44"/>
    </row>
    <row r="253" spans="1:17">
      <c r="A253" s="16">
        <v>45905</v>
      </c>
      <c r="B253" s="5" t="s">
        <v>487</v>
      </c>
      <c r="C253" s="3">
        <v>123</v>
      </c>
      <c r="D253" s="6" t="s">
        <v>177</v>
      </c>
      <c r="E253" s="2">
        <v>45839</v>
      </c>
      <c r="F253" s="2">
        <v>45931</v>
      </c>
      <c r="G253" s="4">
        <v>4</v>
      </c>
      <c r="H253" s="15">
        <v>200</v>
      </c>
      <c r="Q253" s="44"/>
    </row>
    <row r="254" spans="1:17">
      <c r="A254" s="16">
        <v>45993</v>
      </c>
      <c r="B254" s="5" t="s">
        <v>735</v>
      </c>
      <c r="C254" s="3">
        <v>123</v>
      </c>
      <c r="D254" s="6" t="s">
        <v>177</v>
      </c>
      <c r="E254" s="2">
        <v>45962</v>
      </c>
      <c r="F254" s="2">
        <v>45992</v>
      </c>
      <c r="G254" s="4">
        <v>2</v>
      </c>
      <c r="H254" s="15">
        <v>100</v>
      </c>
      <c r="Q254" s="44"/>
    </row>
    <row r="255" spans="1:17">
      <c r="A255" s="16">
        <v>46056</v>
      </c>
      <c r="C255" s="3">
        <v>123</v>
      </c>
      <c r="D255" s="6" t="s">
        <v>177</v>
      </c>
      <c r="E255" s="2">
        <v>46023</v>
      </c>
      <c r="F255" s="2">
        <v>46054</v>
      </c>
      <c r="G255" s="4">
        <v>2</v>
      </c>
      <c r="H255" s="15">
        <v>100</v>
      </c>
      <c r="Q255" s="44"/>
    </row>
    <row r="256" spans="1:17">
      <c r="A256" s="16">
        <v>46091</v>
      </c>
      <c r="C256" s="3">
        <v>123</v>
      </c>
      <c r="D256" s="6" t="s">
        <v>177</v>
      </c>
      <c r="E256" s="2">
        <v>46082</v>
      </c>
      <c r="F256" s="2">
        <v>46113</v>
      </c>
      <c r="G256" s="4">
        <v>2</v>
      </c>
      <c r="H256" s="15">
        <v>100</v>
      </c>
      <c r="Q256" s="44"/>
    </row>
    <row r="257" spans="1:17">
      <c r="A257" s="52">
        <v>45665</v>
      </c>
      <c r="B257" s="53" t="s">
        <v>445</v>
      </c>
      <c r="C257" s="54">
        <v>124</v>
      </c>
      <c r="D257" s="55" t="s">
        <v>180</v>
      </c>
      <c r="E257" s="56">
        <v>45627</v>
      </c>
      <c r="F257" s="56">
        <v>45627</v>
      </c>
      <c r="G257" s="57">
        <v>1</v>
      </c>
      <c r="H257" s="58">
        <v>50</v>
      </c>
      <c r="Q257" s="44"/>
    </row>
    <row r="258" spans="1:17">
      <c r="A258" s="16">
        <v>45664</v>
      </c>
      <c r="B258" s="5" t="s">
        <v>446</v>
      </c>
      <c r="C258" s="3">
        <v>126</v>
      </c>
      <c r="D258" s="6" t="s">
        <v>182</v>
      </c>
      <c r="E258" s="2">
        <v>45658</v>
      </c>
      <c r="F258" s="2">
        <v>45717</v>
      </c>
      <c r="G258" s="4">
        <v>3</v>
      </c>
      <c r="H258" s="15">
        <v>150</v>
      </c>
      <c r="Q258" s="44"/>
    </row>
    <row r="259" spans="1:17">
      <c r="A259" s="16">
        <v>45770</v>
      </c>
      <c r="B259" s="5" t="s">
        <v>447</v>
      </c>
      <c r="C259" s="3">
        <v>126</v>
      </c>
      <c r="D259" s="6" t="s">
        <v>182</v>
      </c>
      <c r="E259" s="2">
        <v>45748</v>
      </c>
      <c r="F259" s="2">
        <v>45809</v>
      </c>
      <c r="G259" s="4">
        <v>3</v>
      </c>
      <c r="H259" s="15">
        <v>150</v>
      </c>
      <c r="Q259" s="44"/>
    </row>
    <row r="260" spans="1:17">
      <c r="A260" s="16">
        <v>45854</v>
      </c>
      <c r="B260" s="5" t="s">
        <v>448</v>
      </c>
      <c r="C260" s="3">
        <v>126</v>
      </c>
      <c r="D260" s="6" t="s">
        <v>182</v>
      </c>
      <c r="E260" s="2">
        <v>45839</v>
      </c>
      <c r="F260" s="2">
        <v>45901</v>
      </c>
      <c r="G260" s="4">
        <v>3</v>
      </c>
      <c r="H260" s="15">
        <v>150</v>
      </c>
      <c r="Q260" s="44"/>
    </row>
    <row r="261" spans="1:17">
      <c r="A261" s="16">
        <v>45969</v>
      </c>
      <c r="B261" s="5" t="s">
        <v>449</v>
      </c>
      <c r="C261" s="3">
        <v>126</v>
      </c>
      <c r="D261" s="6" t="s">
        <v>182</v>
      </c>
      <c r="E261" s="2">
        <v>45931</v>
      </c>
      <c r="F261" s="2">
        <v>45992</v>
      </c>
      <c r="G261" s="4">
        <v>3</v>
      </c>
      <c r="H261" s="15">
        <v>150</v>
      </c>
      <c r="Q261" s="44"/>
    </row>
    <row r="262" spans="1:17">
      <c r="A262" s="16">
        <v>46038</v>
      </c>
      <c r="B262" s="5" t="s">
        <v>450</v>
      </c>
      <c r="C262" s="3">
        <v>126</v>
      </c>
      <c r="D262" s="6" t="s">
        <v>182</v>
      </c>
      <c r="E262" s="2">
        <v>46023</v>
      </c>
      <c r="F262" s="2">
        <v>46082</v>
      </c>
      <c r="G262" s="4">
        <v>3</v>
      </c>
      <c r="H262" s="15">
        <v>150</v>
      </c>
      <c r="Q262" s="44"/>
    </row>
    <row r="263" spans="1:17">
      <c r="A263" s="16">
        <v>46084</v>
      </c>
      <c r="B263" s="5" t="s">
        <v>451</v>
      </c>
      <c r="C263" s="3">
        <v>126</v>
      </c>
      <c r="D263" s="6" t="s">
        <v>182</v>
      </c>
      <c r="E263" s="2">
        <v>46113</v>
      </c>
      <c r="F263" s="2">
        <v>46174</v>
      </c>
      <c r="G263" s="4">
        <v>3</v>
      </c>
      <c r="H263" s="15">
        <v>150</v>
      </c>
      <c r="Q263" s="44"/>
    </row>
    <row r="264" spans="1:17">
      <c r="A264" s="16">
        <v>45686</v>
      </c>
      <c r="B264" s="5" t="s">
        <v>452</v>
      </c>
      <c r="C264" s="3">
        <v>127</v>
      </c>
      <c r="D264" s="6" t="s">
        <v>183</v>
      </c>
      <c r="E264" s="2">
        <v>45658</v>
      </c>
      <c r="F264" s="2">
        <v>45992</v>
      </c>
      <c r="G264" s="4">
        <v>12</v>
      </c>
      <c r="H264" s="15">
        <v>600</v>
      </c>
      <c r="Q264" s="44"/>
    </row>
    <row r="265" spans="1:17">
      <c r="A265" s="16">
        <v>46041</v>
      </c>
      <c r="B265" s="5" t="s">
        <v>453</v>
      </c>
      <c r="C265" s="3">
        <v>127</v>
      </c>
      <c r="D265" s="6" t="s">
        <v>183</v>
      </c>
      <c r="E265" s="2">
        <v>46023</v>
      </c>
      <c r="F265" s="2">
        <v>46357</v>
      </c>
      <c r="G265" s="4">
        <v>12</v>
      </c>
      <c r="H265" s="15">
        <v>600</v>
      </c>
      <c r="Q265" s="44"/>
    </row>
    <row r="266" spans="1:17">
      <c r="A266" s="16">
        <v>45561</v>
      </c>
      <c r="B266" s="5" t="s">
        <v>454</v>
      </c>
      <c r="C266" s="3">
        <v>128</v>
      </c>
      <c r="D266" s="6" t="s">
        <v>455</v>
      </c>
      <c r="E266" s="2">
        <v>45658</v>
      </c>
      <c r="F266" s="2">
        <v>45717</v>
      </c>
      <c r="G266" s="4">
        <v>3</v>
      </c>
      <c r="H266" s="15">
        <v>150</v>
      </c>
      <c r="Q266" s="44"/>
    </row>
    <row r="267" spans="1:17">
      <c r="A267" s="16">
        <v>45742</v>
      </c>
      <c r="B267" s="5" t="s">
        <v>456</v>
      </c>
      <c r="C267" s="3">
        <v>128</v>
      </c>
      <c r="D267" s="6" t="s">
        <v>457</v>
      </c>
      <c r="E267" s="2">
        <v>45748</v>
      </c>
      <c r="F267" s="2">
        <v>45901</v>
      </c>
      <c r="G267" s="4">
        <v>6</v>
      </c>
      <c r="H267" s="15">
        <v>300</v>
      </c>
      <c r="Q267" s="44"/>
    </row>
    <row r="268" spans="1:17">
      <c r="A268" s="16">
        <v>45934</v>
      </c>
      <c r="B268" s="5" t="s">
        <v>714</v>
      </c>
      <c r="C268" s="3">
        <v>128</v>
      </c>
      <c r="D268" s="6" t="s">
        <v>184</v>
      </c>
      <c r="E268" s="2">
        <v>45931</v>
      </c>
      <c r="F268" s="2">
        <v>45992</v>
      </c>
      <c r="G268" s="4">
        <v>3</v>
      </c>
      <c r="H268" s="15">
        <v>150</v>
      </c>
      <c r="Q268" s="44"/>
    </row>
    <row r="269" spans="1:17">
      <c r="A269" s="16">
        <v>46009</v>
      </c>
      <c r="B269" s="5" t="s">
        <v>740</v>
      </c>
      <c r="C269" s="3">
        <v>128</v>
      </c>
      <c r="D269" s="6" t="s">
        <v>184</v>
      </c>
      <c r="E269" s="2">
        <v>46023</v>
      </c>
      <c r="F269" s="2">
        <v>46174</v>
      </c>
      <c r="G269" s="4">
        <v>6</v>
      </c>
      <c r="H269" s="15">
        <v>300</v>
      </c>
      <c r="Q269" s="44"/>
    </row>
    <row r="270" spans="1:17">
      <c r="A270" s="16">
        <v>46130</v>
      </c>
      <c r="B270" s="5" t="s">
        <v>774</v>
      </c>
      <c r="C270" s="3">
        <v>128</v>
      </c>
      <c r="D270" s="6" t="s">
        <v>184</v>
      </c>
      <c r="E270" s="2">
        <v>46204</v>
      </c>
      <c r="F270" s="2">
        <v>46357</v>
      </c>
      <c r="G270" s="4">
        <v>6</v>
      </c>
      <c r="H270" s="15">
        <v>300</v>
      </c>
      <c r="Q270" s="44"/>
    </row>
    <row r="271" spans="1:17">
      <c r="A271" s="16">
        <v>45760</v>
      </c>
      <c r="B271" s="5" t="s">
        <v>458</v>
      </c>
      <c r="C271" s="3">
        <v>130</v>
      </c>
      <c r="D271" s="6" t="s">
        <v>185</v>
      </c>
      <c r="E271" s="2">
        <v>45597</v>
      </c>
      <c r="F271" s="2">
        <v>45778</v>
      </c>
      <c r="G271" s="4">
        <v>7</v>
      </c>
      <c r="H271" s="15">
        <v>350</v>
      </c>
      <c r="Q271" s="44"/>
    </row>
    <row r="272" spans="1:17">
      <c r="A272" s="16">
        <v>45685</v>
      </c>
      <c r="B272" s="5" t="s">
        <v>459</v>
      </c>
      <c r="C272" s="3">
        <v>131</v>
      </c>
      <c r="D272" s="6" t="s">
        <v>187</v>
      </c>
      <c r="E272" s="2">
        <v>45658</v>
      </c>
      <c r="F272" s="2">
        <v>45717</v>
      </c>
      <c r="G272" s="4">
        <v>3</v>
      </c>
      <c r="H272" s="15">
        <v>150</v>
      </c>
      <c r="Q272" s="44"/>
    </row>
    <row r="273" spans="1:17">
      <c r="A273" s="16">
        <v>45775</v>
      </c>
      <c r="B273" s="5" t="s">
        <v>460</v>
      </c>
      <c r="C273" s="3">
        <v>131</v>
      </c>
      <c r="D273" s="6" t="s">
        <v>187</v>
      </c>
      <c r="E273" s="2">
        <v>45748</v>
      </c>
      <c r="F273" s="2">
        <v>45778</v>
      </c>
      <c r="G273" s="4">
        <v>2</v>
      </c>
      <c r="H273" s="15">
        <v>100</v>
      </c>
      <c r="Q273" s="44"/>
    </row>
    <row r="274" spans="1:17">
      <c r="A274" s="16">
        <v>45804</v>
      </c>
      <c r="B274" s="5" t="s">
        <v>461</v>
      </c>
      <c r="C274" s="3">
        <v>131</v>
      </c>
      <c r="D274" s="6" t="s">
        <v>187</v>
      </c>
      <c r="E274" s="2">
        <v>45809</v>
      </c>
      <c r="F274" s="2">
        <v>45870</v>
      </c>
      <c r="G274" s="4">
        <v>3</v>
      </c>
      <c r="H274" s="15">
        <v>150</v>
      </c>
      <c r="Q274" s="44"/>
    </row>
    <row r="275" spans="1:17">
      <c r="A275" s="16">
        <v>45922</v>
      </c>
      <c r="B275" s="5" t="s">
        <v>462</v>
      </c>
      <c r="C275" s="3">
        <v>131</v>
      </c>
      <c r="D275" s="6" t="s">
        <v>187</v>
      </c>
      <c r="E275" s="2">
        <v>45901</v>
      </c>
      <c r="F275" s="2">
        <v>45992</v>
      </c>
      <c r="G275" s="4">
        <v>4</v>
      </c>
      <c r="H275" s="15">
        <v>200</v>
      </c>
      <c r="Q275" s="44"/>
    </row>
    <row r="276" spans="1:17">
      <c r="A276" s="16">
        <v>46053</v>
      </c>
      <c r="B276" s="5" t="s">
        <v>463</v>
      </c>
      <c r="C276" s="3">
        <v>131</v>
      </c>
      <c r="D276" s="6" t="s">
        <v>187</v>
      </c>
      <c r="E276" s="2">
        <v>46023</v>
      </c>
      <c r="F276" s="2">
        <v>46023</v>
      </c>
      <c r="G276" s="4">
        <v>1</v>
      </c>
      <c r="H276" s="15">
        <v>50</v>
      </c>
      <c r="Q276" s="44"/>
    </row>
    <row r="277" spans="1:17">
      <c r="A277" s="16">
        <v>46070</v>
      </c>
      <c r="B277" s="5" t="s">
        <v>464</v>
      </c>
      <c r="C277" s="3">
        <v>131</v>
      </c>
      <c r="D277" s="6" t="s">
        <v>187</v>
      </c>
      <c r="E277" s="2">
        <v>46054</v>
      </c>
      <c r="F277" s="2">
        <v>46082</v>
      </c>
      <c r="G277" s="4">
        <v>2</v>
      </c>
      <c r="H277" s="15">
        <v>100</v>
      </c>
      <c r="Q277" s="44"/>
    </row>
    <row r="278" spans="1:17">
      <c r="A278" s="16">
        <v>46165</v>
      </c>
      <c r="B278" s="5" t="s">
        <v>790</v>
      </c>
      <c r="C278" s="3">
        <v>131</v>
      </c>
      <c r="D278" s="6" t="s">
        <v>187</v>
      </c>
      <c r="E278" s="2">
        <v>46113</v>
      </c>
      <c r="F278" s="2">
        <v>46174</v>
      </c>
      <c r="G278" s="4">
        <v>3</v>
      </c>
      <c r="H278" s="15">
        <v>150</v>
      </c>
      <c r="Q278" s="44"/>
    </row>
    <row r="279" spans="1:17">
      <c r="A279" s="16">
        <v>45657</v>
      </c>
      <c r="B279" s="5" t="s">
        <v>465</v>
      </c>
      <c r="C279" s="3">
        <v>132</v>
      </c>
      <c r="D279" s="6" t="s">
        <v>189</v>
      </c>
      <c r="E279" s="2">
        <v>45658</v>
      </c>
      <c r="F279" s="2">
        <v>45689</v>
      </c>
      <c r="G279" s="4">
        <v>2</v>
      </c>
      <c r="H279" s="15">
        <v>100</v>
      </c>
      <c r="Q279" s="44"/>
    </row>
    <row r="280" spans="1:17">
      <c r="A280" s="16">
        <v>45700</v>
      </c>
      <c r="B280" s="5" t="s">
        <v>466</v>
      </c>
      <c r="C280" s="3">
        <v>132</v>
      </c>
      <c r="D280" s="6" t="s">
        <v>189</v>
      </c>
      <c r="E280" s="2">
        <v>45717</v>
      </c>
      <c r="F280" s="2">
        <v>45748</v>
      </c>
      <c r="G280" s="4">
        <v>2</v>
      </c>
      <c r="H280" s="15">
        <v>100</v>
      </c>
      <c r="Q280" s="44"/>
    </row>
    <row r="281" spans="1:17">
      <c r="A281" s="16">
        <v>45755</v>
      </c>
      <c r="B281" s="5" t="s">
        <v>467</v>
      </c>
      <c r="C281" s="3">
        <v>132</v>
      </c>
      <c r="D281" s="6" t="s">
        <v>189</v>
      </c>
      <c r="E281" s="2">
        <v>45778</v>
      </c>
      <c r="F281" s="2">
        <v>45778</v>
      </c>
      <c r="G281" s="4">
        <v>1</v>
      </c>
      <c r="H281" s="15">
        <v>50</v>
      </c>
      <c r="Q281" s="44"/>
    </row>
    <row r="282" spans="1:17">
      <c r="A282" s="16">
        <v>45832</v>
      </c>
      <c r="B282" s="5" t="s">
        <v>468</v>
      </c>
      <c r="C282" s="3">
        <v>132</v>
      </c>
      <c r="D282" s="6" t="s">
        <v>189</v>
      </c>
      <c r="E282" s="2">
        <v>45809</v>
      </c>
      <c r="F282" s="2">
        <v>45870</v>
      </c>
      <c r="G282" s="4">
        <v>3</v>
      </c>
      <c r="H282" s="15">
        <v>150</v>
      </c>
      <c r="Q282" s="44"/>
    </row>
    <row r="283" spans="1:17">
      <c r="A283" s="16">
        <v>46014</v>
      </c>
      <c r="B283" s="5" t="s">
        <v>469</v>
      </c>
      <c r="C283" s="3">
        <v>132</v>
      </c>
      <c r="D283" s="6" t="s">
        <v>189</v>
      </c>
      <c r="E283" s="2">
        <v>45901</v>
      </c>
      <c r="F283" s="2">
        <v>45962</v>
      </c>
      <c r="G283" s="4">
        <v>3</v>
      </c>
      <c r="H283" s="15">
        <v>150</v>
      </c>
      <c r="Q283" s="44"/>
    </row>
    <row r="284" spans="1:17">
      <c r="A284" s="16">
        <v>46049</v>
      </c>
      <c r="B284" s="5" t="s">
        <v>470</v>
      </c>
      <c r="C284" s="3">
        <v>132</v>
      </c>
      <c r="D284" s="6" t="s">
        <v>189</v>
      </c>
      <c r="E284" s="2">
        <v>45992</v>
      </c>
      <c r="F284" s="2">
        <v>46054</v>
      </c>
      <c r="G284" s="4">
        <v>3</v>
      </c>
      <c r="H284" s="15">
        <v>150</v>
      </c>
      <c r="Q284" s="44"/>
    </row>
    <row r="285" spans="1:17">
      <c r="A285" s="16">
        <v>46084</v>
      </c>
      <c r="B285" s="5" t="s">
        <v>471</v>
      </c>
      <c r="C285" s="3">
        <v>132</v>
      </c>
      <c r="D285" s="6" t="s">
        <v>189</v>
      </c>
      <c r="E285" s="2">
        <v>46082</v>
      </c>
      <c r="F285" s="2">
        <v>46174</v>
      </c>
      <c r="G285" s="4">
        <v>4</v>
      </c>
      <c r="H285" s="15">
        <v>200</v>
      </c>
      <c r="Q285" s="44"/>
    </row>
    <row r="286" spans="1:17">
      <c r="A286" s="16">
        <v>45738</v>
      </c>
      <c r="B286" s="5" t="s">
        <v>472</v>
      </c>
      <c r="C286" s="3">
        <v>134</v>
      </c>
      <c r="D286" s="6" t="s">
        <v>191</v>
      </c>
      <c r="E286" s="2">
        <v>45658</v>
      </c>
      <c r="F286" s="2">
        <v>45809</v>
      </c>
      <c r="G286" s="4">
        <v>6</v>
      </c>
      <c r="H286" s="15">
        <v>300</v>
      </c>
      <c r="Q286" s="44"/>
    </row>
    <row r="287" spans="1:17">
      <c r="A287" s="16">
        <v>45926</v>
      </c>
      <c r="B287" s="5" t="s">
        <v>473</v>
      </c>
      <c r="C287" s="3">
        <v>134</v>
      </c>
      <c r="D287" s="6" t="s">
        <v>191</v>
      </c>
      <c r="E287" s="2">
        <v>45839</v>
      </c>
      <c r="F287" s="2">
        <v>45931</v>
      </c>
      <c r="G287" s="4">
        <v>4</v>
      </c>
      <c r="H287" s="15">
        <v>200</v>
      </c>
      <c r="Q287" s="44"/>
    </row>
    <row r="288" spans="1:17">
      <c r="A288" s="16">
        <v>46036</v>
      </c>
      <c r="B288" s="5" t="s">
        <v>751</v>
      </c>
      <c r="C288" s="3">
        <v>134</v>
      </c>
      <c r="D288" s="6" t="s">
        <v>191</v>
      </c>
      <c r="E288" s="2">
        <v>45962</v>
      </c>
      <c r="F288" s="2">
        <v>46357</v>
      </c>
      <c r="G288" s="4">
        <v>14</v>
      </c>
      <c r="H288" s="15">
        <v>700</v>
      </c>
      <c r="Q288" s="44"/>
    </row>
    <row r="289" spans="1:17">
      <c r="A289" s="16">
        <v>45738</v>
      </c>
      <c r="B289" s="5" t="s">
        <v>474</v>
      </c>
      <c r="C289" s="3">
        <v>135</v>
      </c>
      <c r="D289" s="6" t="s">
        <v>193</v>
      </c>
      <c r="E289" s="2">
        <v>45658</v>
      </c>
      <c r="F289" s="2">
        <v>45809</v>
      </c>
      <c r="G289" s="4">
        <v>6</v>
      </c>
      <c r="H289" s="15">
        <v>300</v>
      </c>
      <c r="Q289" s="44"/>
    </row>
    <row r="290" spans="1:17">
      <c r="A290" s="16">
        <v>45926</v>
      </c>
      <c r="B290" s="5" t="s">
        <v>475</v>
      </c>
      <c r="C290" s="3">
        <v>135</v>
      </c>
      <c r="D290" s="6" t="s">
        <v>193</v>
      </c>
      <c r="E290" s="2">
        <v>45839</v>
      </c>
      <c r="F290" s="2">
        <v>45931</v>
      </c>
      <c r="G290" s="4">
        <v>4</v>
      </c>
      <c r="H290" s="15">
        <v>200</v>
      </c>
      <c r="Q290" s="44"/>
    </row>
    <row r="291" spans="1:17">
      <c r="A291" s="16">
        <v>46036</v>
      </c>
      <c r="B291" s="5" t="s">
        <v>752</v>
      </c>
      <c r="C291" s="3">
        <v>135</v>
      </c>
      <c r="D291" s="6" t="s">
        <v>193</v>
      </c>
      <c r="E291" s="2">
        <v>45962</v>
      </c>
      <c r="F291" s="2">
        <v>46357</v>
      </c>
      <c r="G291" s="4">
        <v>14</v>
      </c>
      <c r="H291" s="15">
        <v>700</v>
      </c>
      <c r="Q291" s="44"/>
    </row>
    <row r="292" spans="1:17">
      <c r="A292" s="16">
        <v>45734</v>
      </c>
      <c r="B292" s="5" t="s">
        <v>476</v>
      </c>
      <c r="C292" s="3">
        <v>136</v>
      </c>
      <c r="D292" s="6" t="s">
        <v>195</v>
      </c>
      <c r="E292" s="2">
        <v>45658</v>
      </c>
      <c r="F292" s="2">
        <v>45809</v>
      </c>
      <c r="G292" s="4">
        <v>6</v>
      </c>
      <c r="H292" s="15">
        <v>300</v>
      </c>
      <c r="Q292" s="44"/>
    </row>
    <row r="293" spans="1:17">
      <c r="A293" s="16">
        <v>45969</v>
      </c>
      <c r="B293" s="5" t="s">
        <v>477</v>
      </c>
      <c r="C293" s="3">
        <v>136</v>
      </c>
      <c r="D293" s="6" t="s">
        <v>195</v>
      </c>
      <c r="E293" s="2">
        <v>45839</v>
      </c>
      <c r="F293" s="2">
        <v>45992</v>
      </c>
      <c r="G293" s="4">
        <v>6</v>
      </c>
      <c r="H293" s="15">
        <v>300</v>
      </c>
      <c r="Q293" s="44"/>
    </row>
    <row r="294" spans="1:17">
      <c r="A294" s="16">
        <v>45634</v>
      </c>
      <c r="B294" s="5" t="s">
        <v>478</v>
      </c>
      <c r="C294" s="3">
        <v>137</v>
      </c>
      <c r="D294" s="6" t="s">
        <v>197</v>
      </c>
      <c r="E294" s="2">
        <v>45627</v>
      </c>
      <c r="F294" s="2">
        <v>45627</v>
      </c>
      <c r="G294" s="4">
        <v>1</v>
      </c>
      <c r="H294" s="15">
        <v>50</v>
      </c>
      <c r="Q294" s="44"/>
    </row>
    <row r="295" spans="1:17">
      <c r="A295" s="16">
        <v>45669</v>
      </c>
      <c r="B295" s="5" t="s">
        <v>479</v>
      </c>
      <c r="C295" s="3">
        <v>137</v>
      </c>
      <c r="D295" s="6" t="s">
        <v>197</v>
      </c>
      <c r="E295" s="2">
        <v>45658</v>
      </c>
      <c r="F295" s="2">
        <v>45658</v>
      </c>
      <c r="G295" s="4">
        <v>1</v>
      </c>
      <c r="H295" s="15">
        <v>50</v>
      </c>
      <c r="Q295" s="44"/>
    </row>
    <row r="296" spans="1:17">
      <c r="A296" s="16">
        <v>45710</v>
      </c>
      <c r="B296" s="5" t="s">
        <v>480</v>
      </c>
      <c r="C296" s="3">
        <v>137</v>
      </c>
      <c r="D296" s="6" t="s">
        <v>197</v>
      </c>
      <c r="E296" s="2">
        <v>45689</v>
      </c>
      <c r="F296" s="2">
        <v>45689</v>
      </c>
      <c r="G296" s="4">
        <v>1</v>
      </c>
      <c r="H296" s="15">
        <v>50</v>
      </c>
      <c r="Q296" s="44"/>
    </row>
    <row r="297" spans="1:17">
      <c r="A297" s="16">
        <v>45725</v>
      </c>
      <c r="B297" s="5" t="s">
        <v>481</v>
      </c>
      <c r="C297" s="3">
        <v>137</v>
      </c>
      <c r="D297" s="6" t="s">
        <v>197</v>
      </c>
      <c r="E297" s="2">
        <v>45717</v>
      </c>
      <c r="F297" s="2">
        <v>45717</v>
      </c>
      <c r="G297" s="4">
        <v>1</v>
      </c>
      <c r="H297" s="15">
        <v>50</v>
      </c>
      <c r="Q297" s="44"/>
    </row>
    <row r="298" spans="1:17">
      <c r="A298" s="16">
        <v>45748</v>
      </c>
      <c r="B298" s="5" t="s">
        <v>482</v>
      </c>
      <c r="C298" s="3">
        <v>137</v>
      </c>
      <c r="D298" s="6" t="s">
        <v>197</v>
      </c>
      <c r="E298" s="2">
        <v>45748</v>
      </c>
      <c r="F298" s="2">
        <v>45748</v>
      </c>
      <c r="G298" s="4">
        <v>1</v>
      </c>
      <c r="H298" s="15">
        <v>50</v>
      </c>
      <c r="Q298" s="44"/>
    </row>
    <row r="299" spans="1:17">
      <c r="A299" s="16">
        <v>45781</v>
      </c>
      <c r="B299" s="5" t="s">
        <v>221</v>
      </c>
      <c r="C299" s="3">
        <v>137</v>
      </c>
      <c r="D299" s="6" t="s">
        <v>197</v>
      </c>
      <c r="E299" s="2">
        <v>45778</v>
      </c>
      <c r="F299" s="2">
        <v>45778</v>
      </c>
      <c r="G299" s="4">
        <v>1</v>
      </c>
      <c r="H299" s="15">
        <v>50</v>
      </c>
      <c r="Q299" s="44"/>
    </row>
    <row r="300" spans="1:17">
      <c r="A300" s="16">
        <v>45815</v>
      </c>
      <c r="B300" s="5" t="s">
        <v>160</v>
      </c>
      <c r="C300" s="3">
        <v>137</v>
      </c>
      <c r="D300" s="6" t="s">
        <v>197</v>
      </c>
      <c r="E300" s="2">
        <v>45809</v>
      </c>
      <c r="F300" s="2">
        <v>45809</v>
      </c>
      <c r="G300" s="4">
        <v>1</v>
      </c>
      <c r="H300" s="15">
        <v>50</v>
      </c>
      <c r="Q300" s="44"/>
    </row>
    <row r="301" spans="1:17">
      <c r="A301" s="16">
        <v>45844</v>
      </c>
      <c r="B301" s="5" t="s">
        <v>537</v>
      </c>
      <c r="C301" s="3">
        <v>137</v>
      </c>
      <c r="D301" s="6" t="s">
        <v>197</v>
      </c>
      <c r="E301" s="2">
        <v>45839</v>
      </c>
      <c r="F301" s="2">
        <v>45839</v>
      </c>
      <c r="G301" s="4">
        <v>1</v>
      </c>
      <c r="H301" s="15">
        <v>50</v>
      </c>
      <c r="Q301" s="44"/>
    </row>
    <row r="302" spans="1:17">
      <c r="A302" s="16">
        <v>45877</v>
      </c>
      <c r="B302" s="5" t="s">
        <v>290</v>
      </c>
      <c r="C302" s="3">
        <v>137</v>
      </c>
      <c r="D302" s="6" t="s">
        <v>197</v>
      </c>
      <c r="E302" s="2">
        <v>45870</v>
      </c>
      <c r="F302" s="2">
        <v>45870</v>
      </c>
      <c r="G302" s="4">
        <v>1</v>
      </c>
      <c r="H302" s="15">
        <v>50</v>
      </c>
      <c r="Q302" s="44"/>
    </row>
    <row r="303" spans="1:17">
      <c r="A303" s="16">
        <v>45908</v>
      </c>
      <c r="B303" s="5" t="s">
        <v>406</v>
      </c>
      <c r="C303" s="3">
        <v>137</v>
      </c>
      <c r="D303" s="6" t="s">
        <v>197</v>
      </c>
      <c r="E303" s="2">
        <v>45901</v>
      </c>
      <c r="F303" s="2">
        <v>45901</v>
      </c>
      <c r="G303" s="4">
        <v>1</v>
      </c>
      <c r="H303" s="15">
        <v>50</v>
      </c>
      <c r="Q303" s="44"/>
    </row>
    <row r="304" spans="1:17">
      <c r="A304" s="16">
        <v>45948</v>
      </c>
      <c r="B304" s="5" t="s">
        <v>720</v>
      </c>
      <c r="C304" s="3">
        <v>137</v>
      </c>
      <c r="D304" s="6" t="s">
        <v>197</v>
      </c>
      <c r="E304" s="2">
        <v>45931</v>
      </c>
      <c r="F304" s="2">
        <v>45931</v>
      </c>
      <c r="G304" s="4">
        <v>1</v>
      </c>
      <c r="H304" s="15">
        <v>50</v>
      </c>
      <c r="Q304" s="44"/>
    </row>
    <row r="305" spans="1:17">
      <c r="A305" s="16">
        <v>45977</v>
      </c>
      <c r="B305" s="5" t="s">
        <v>732</v>
      </c>
      <c r="C305" s="3">
        <v>137</v>
      </c>
      <c r="D305" s="6" t="s">
        <v>197</v>
      </c>
      <c r="E305" s="2">
        <v>45962</v>
      </c>
      <c r="F305" s="2">
        <v>45962</v>
      </c>
      <c r="G305" s="4">
        <v>1</v>
      </c>
      <c r="H305" s="15">
        <v>50</v>
      </c>
      <c r="Q305" s="44"/>
    </row>
    <row r="306" spans="1:17">
      <c r="A306" s="16">
        <v>46002</v>
      </c>
      <c r="B306" s="5" t="s">
        <v>738</v>
      </c>
      <c r="C306" s="3">
        <v>137</v>
      </c>
      <c r="D306" s="6" t="s">
        <v>197</v>
      </c>
      <c r="E306" s="2">
        <v>45992</v>
      </c>
      <c r="F306" s="2">
        <v>45992</v>
      </c>
      <c r="G306" s="4">
        <v>1</v>
      </c>
      <c r="H306" s="15">
        <v>50</v>
      </c>
      <c r="Q306" s="44"/>
    </row>
    <row r="307" spans="1:17">
      <c r="A307" s="16">
        <v>46047</v>
      </c>
      <c r="B307" s="5" t="s">
        <v>757</v>
      </c>
      <c r="C307" s="3">
        <v>137</v>
      </c>
      <c r="D307" s="6" t="s">
        <v>197</v>
      </c>
      <c r="E307" s="2">
        <v>46023</v>
      </c>
      <c r="F307" s="2">
        <v>46023</v>
      </c>
      <c r="G307" s="4">
        <v>1</v>
      </c>
      <c r="H307" s="15">
        <v>50</v>
      </c>
      <c r="Q307" s="44"/>
    </row>
    <row r="308" spans="1:17">
      <c r="A308" s="16">
        <v>46076</v>
      </c>
      <c r="C308" s="3">
        <v>137</v>
      </c>
      <c r="D308" s="6" t="s">
        <v>197</v>
      </c>
      <c r="E308" s="2">
        <v>46054</v>
      </c>
      <c r="F308" s="2">
        <v>46054</v>
      </c>
      <c r="G308" s="4">
        <v>1</v>
      </c>
      <c r="H308" s="15">
        <v>50</v>
      </c>
      <c r="Q308" s="44"/>
    </row>
    <row r="309" spans="1:17">
      <c r="A309" s="16">
        <v>46113</v>
      </c>
      <c r="C309" s="3">
        <v>137</v>
      </c>
      <c r="D309" s="6" t="s">
        <v>197</v>
      </c>
      <c r="E309" s="2">
        <v>46082</v>
      </c>
      <c r="F309" s="2">
        <v>46113</v>
      </c>
      <c r="G309" s="4">
        <v>2</v>
      </c>
      <c r="H309" s="15">
        <v>100</v>
      </c>
      <c r="Q309" s="44"/>
    </row>
    <row r="310" spans="1:17">
      <c r="A310" s="16">
        <v>46163</v>
      </c>
      <c r="C310" s="3">
        <v>137</v>
      </c>
      <c r="D310" s="6" t="s">
        <v>197</v>
      </c>
      <c r="E310" s="2">
        <v>46143</v>
      </c>
      <c r="F310" s="2">
        <v>46143</v>
      </c>
      <c r="G310" s="4">
        <v>1</v>
      </c>
      <c r="H310" s="15">
        <v>50</v>
      </c>
      <c r="Q310" s="44"/>
    </row>
    <row r="311" spans="1:17">
      <c r="A311" s="16">
        <v>45729</v>
      </c>
      <c r="B311" s="5" t="s">
        <v>488</v>
      </c>
      <c r="C311" s="3">
        <v>139</v>
      </c>
      <c r="D311" s="6" t="s">
        <v>200</v>
      </c>
      <c r="E311" s="2">
        <v>45658</v>
      </c>
      <c r="F311" s="2">
        <v>45992</v>
      </c>
      <c r="G311" s="4">
        <v>12</v>
      </c>
      <c r="H311" s="15">
        <v>600</v>
      </c>
      <c r="Q311" s="44"/>
    </row>
    <row r="312" spans="1:17">
      <c r="A312" s="16">
        <v>46024</v>
      </c>
      <c r="B312" s="5" t="s">
        <v>745</v>
      </c>
      <c r="C312" s="3">
        <v>139</v>
      </c>
      <c r="D312" s="6" t="s">
        <v>200</v>
      </c>
      <c r="E312" s="2">
        <v>46023</v>
      </c>
      <c r="F312" s="2">
        <v>46054</v>
      </c>
      <c r="G312" s="4">
        <v>2</v>
      </c>
      <c r="H312" s="15">
        <v>100</v>
      </c>
      <c r="Q312" s="44"/>
    </row>
    <row r="313" spans="1:17">
      <c r="A313" s="16">
        <v>46151</v>
      </c>
      <c r="C313" s="3">
        <v>139</v>
      </c>
      <c r="D313" s="6" t="s">
        <v>200</v>
      </c>
      <c r="E313" s="2">
        <v>46082</v>
      </c>
      <c r="F313" s="2">
        <v>46357</v>
      </c>
      <c r="G313" s="4">
        <v>10</v>
      </c>
      <c r="H313" s="15">
        <v>500</v>
      </c>
      <c r="Q313" s="44"/>
    </row>
    <row r="314" spans="1:17">
      <c r="A314" s="16">
        <v>45731</v>
      </c>
      <c r="B314" s="5" t="s">
        <v>489</v>
      </c>
      <c r="C314" s="3">
        <v>145</v>
      </c>
      <c r="D314" s="6" t="s">
        <v>212</v>
      </c>
      <c r="E314" s="2">
        <v>45658</v>
      </c>
      <c r="F314" s="2">
        <v>45748</v>
      </c>
      <c r="G314" s="4">
        <v>4</v>
      </c>
      <c r="H314" s="15">
        <v>200</v>
      </c>
      <c r="Q314" s="44"/>
    </row>
    <row r="315" spans="1:17">
      <c r="A315" s="16">
        <v>45778</v>
      </c>
      <c r="B315" s="5" t="s">
        <v>490</v>
      </c>
      <c r="C315" s="3">
        <v>145</v>
      </c>
      <c r="D315" s="6" t="s">
        <v>212</v>
      </c>
      <c r="E315" s="2">
        <v>45778</v>
      </c>
      <c r="F315" s="2">
        <v>45870</v>
      </c>
      <c r="G315" s="4">
        <v>4</v>
      </c>
      <c r="H315" s="15">
        <v>200</v>
      </c>
      <c r="Q315" s="44"/>
    </row>
    <row r="316" spans="1:17">
      <c r="A316" s="16">
        <v>45895</v>
      </c>
      <c r="B316" s="5" t="s">
        <v>510</v>
      </c>
      <c r="C316" s="3">
        <v>145</v>
      </c>
      <c r="D316" s="6" t="s">
        <v>212</v>
      </c>
      <c r="E316" s="2">
        <v>45901</v>
      </c>
      <c r="F316" s="2">
        <v>45992</v>
      </c>
      <c r="G316" s="4">
        <v>4</v>
      </c>
      <c r="H316" s="15">
        <v>200</v>
      </c>
      <c r="Q316" s="44"/>
    </row>
    <row r="317" spans="1:17">
      <c r="A317" s="16">
        <v>45704</v>
      </c>
      <c r="B317" s="5" t="s">
        <v>492</v>
      </c>
      <c r="C317" s="3">
        <v>148</v>
      </c>
      <c r="D317" s="6" t="s">
        <v>215</v>
      </c>
      <c r="E317" s="2">
        <v>45658</v>
      </c>
      <c r="F317" s="2">
        <v>45992</v>
      </c>
      <c r="G317" s="4">
        <v>12</v>
      </c>
      <c r="H317" s="15">
        <v>600</v>
      </c>
      <c r="Q317" s="44"/>
    </row>
    <row r="318" spans="1:17">
      <c r="A318" s="16">
        <v>46070</v>
      </c>
      <c r="B318" s="5" t="s">
        <v>493</v>
      </c>
      <c r="C318" s="3">
        <v>148</v>
      </c>
      <c r="D318" s="6" t="s">
        <v>215</v>
      </c>
      <c r="E318" s="2">
        <v>46023</v>
      </c>
      <c r="F318" s="2">
        <v>46357</v>
      </c>
      <c r="G318" s="4">
        <v>12</v>
      </c>
      <c r="H318" s="15">
        <v>600</v>
      </c>
      <c r="Q318" s="44"/>
    </row>
    <row r="319" spans="1:17">
      <c r="A319" s="16">
        <v>45648</v>
      </c>
      <c r="B319" s="5" t="s">
        <v>494</v>
      </c>
      <c r="C319" s="3">
        <v>151</v>
      </c>
      <c r="D319" s="6" t="s">
        <v>495</v>
      </c>
      <c r="E319" s="2">
        <v>45658</v>
      </c>
      <c r="F319" s="2">
        <v>45992</v>
      </c>
      <c r="G319" s="4">
        <v>12</v>
      </c>
      <c r="H319" s="15">
        <v>600</v>
      </c>
      <c r="Q319" s="44"/>
    </row>
    <row r="320" spans="1:17">
      <c r="A320" s="16">
        <v>45999</v>
      </c>
      <c r="B320" s="5" t="s">
        <v>496</v>
      </c>
      <c r="C320" s="3">
        <v>151</v>
      </c>
      <c r="D320" s="6" t="s">
        <v>222</v>
      </c>
      <c r="E320" s="2">
        <v>46023</v>
      </c>
      <c r="F320" s="2">
        <v>46357</v>
      </c>
      <c r="G320" s="4">
        <v>12</v>
      </c>
      <c r="H320" s="15">
        <v>600</v>
      </c>
      <c r="Q320" s="44"/>
    </row>
    <row r="321" spans="1:17">
      <c r="A321" s="52">
        <v>45640</v>
      </c>
      <c r="B321" s="53" t="s">
        <v>497</v>
      </c>
      <c r="C321" s="54">
        <v>154</v>
      </c>
      <c r="D321" s="55" t="s">
        <v>498</v>
      </c>
      <c r="E321" s="56">
        <v>45474</v>
      </c>
      <c r="F321" s="56">
        <v>45627</v>
      </c>
      <c r="G321" s="57">
        <v>6</v>
      </c>
      <c r="H321" s="58">
        <v>300</v>
      </c>
      <c r="Q321" s="44"/>
    </row>
    <row r="322" spans="1:17">
      <c r="A322" s="16">
        <v>45670</v>
      </c>
      <c r="B322" s="5" t="s">
        <v>499</v>
      </c>
      <c r="C322" s="3">
        <v>155</v>
      </c>
      <c r="D322" s="6" t="s">
        <v>226</v>
      </c>
      <c r="E322" s="2">
        <v>45658</v>
      </c>
      <c r="F322" s="2">
        <v>45689</v>
      </c>
      <c r="G322" s="4">
        <v>2</v>
      </c>
      <c r="H322" s="15">
        <v>100</v>
      </c>
      <c r="Q322" s="44"/>
    </row>
    <row r="323" spans="1:17">
      <c r="A323" s="16">
        <v>45725</v>
      </c>
      <c r="B323" s="5" t="s">
        <v>500</v>
      </c>
      <c r="C323" s="3">
        <v>155</v>
      </c>
      <c r="D323" s="6" t="s">
        <v>226</v>
      </c>
      <c r="E323" s="2">
        <v>45717</v>
      </c>
      <c r="F323" s="2">
        <v>45748</v>
      </c>
      <c r="G323" s="4">
        <v>2</v>
      </c>
      <c r="H323" s="15">
        <v>100</v>
      </c>
      <c r="Q323" s="44"/>
    </row>
    <row r="324" spans="1:17">
      <c r="A324" s="16">
        <v>45788</v>
      </c>
      <c r="B324" s="5" t="s">
        <v>549</v>
      </c>
      <c r="C324" s="3">
        <v>155</v>
      </c>
      <c r="D324" s="6" t="s">
        <v>226</v>
      </c>
      <c r="E324" s="2">
        <v>45778</v>
      </c>
      <c r="F324" s="2">
        <v>45809</v>
      </c>
      <c r="G324" s="4">
        <v>2</v>
      </c>
      <c r="H324" s="15">
        <v>100</v>
      </c>
      <c r="Q324" s="44"/>
    </row>
    <row r="325" spans="1:17">
      <c r="A325" s="16">
        <v>45858</v>
      </c>
      <c r="B325" s="5" t="s">
        <v>502</v>
      </c>
      <c r="C325" s="3">
        <v>155</v>
      </c>
      <c r="D325" s="6" t="s">
        <v>226</v>
      </c>
      <c r="E325" s="2">
        <v>45839</v>
      </c>
      <c r="F325" s="2">
        <v>45870</v>
      </c>
      <c r="G325" s="4">
        <v>2</v>
      </c>
      <c r="H325" s="15">
        <v>100</v>
      </c>
      <c r="Q325" s="44"/>
    </row>
    <row r="326" spans="1:17">
      <c r="A326" s="16">
        <v>45921</v>
      </c>
      <c r="B326" s="5" t="s">
        <v>503</v>
      </c>
      <c r="C326" s="3">
        <v>155</v>
      </c>
      <c r="D326" s="6" t="s">
        <v>226</v>
      </c>
      <c r="E326" s="2">
        <v>45901</v>
      </c>
      <c r="F326" s="2">
        <v>45992</v>
      </c>
      <c r="G326" s="4">
        <v>4</v>
      </c>
      <c r="H326" s="15">
        <v>200</v>
      </c>
      <c r="Q326" s="44"/>
    </row>
    <row r="327" spans="1:17">
      <c r="A327" s="16">
        <v>46052</v>
      </c>
      <c r="B327" s="5" t="s">
        <v>759</v>
      </c>
      <c r="C327" s="3">
        <v>155</v>
      </c>
      <c r="D327" s="6" t="s">
        <v>226</v>
      </c>
      <c r="E327" s="2">
        <v>46023</v>
      </c>
      <c r="F327" s="2">
        <v>46082</v>
      </c>
      <c r="G327" s="4">
        <v>3</v>
      </c>
      <c r="H327" s="15">
        <v>150</v>
      </c>
      <c r="Q327" s="44"/>
    </row>
    <row r="328" spans="1:17">
      <c r="A328" s="16">
        <v>45650</v>
      </c>
      <c r="B328" s="5" t="s">
        <v>504</v>
      </c>
      <c r="C328" s="3">
        <v>160</v>
      </c>
      <c r="D328" s="6" t="s">
        <v>234</v>
      </c>
      <c r="E328" s="2">
        <v>45658</v>
      </c>
      <c r="F328" s="2">
        <v>45689</v>
      </c>
      <c r="G328" s="4">
        <v>2</v>
      </c>
      <c r="H328" s="15">
        <v>100</v>
      </c>
      <c r="Q328" s="44"/>
    </row>
    <row r="329" spans="1:17">
      <c r="A329" s="16">
        <v>45690</v>
      </c>
      <c r="B329" s="5" t="s">
        <v>505</v>
      </c>
      <c r="C329" s="3">
        <v>160</v>
      </c>
      <c r="D329" s="6" t="s">
        <v>234</v>
      </c>
      <c r="E329" s="2">
        <v>45717</v>
      </c>
      <c r="F329" s="2">
        <v>45992</v>
      </c>
      <c r="G329" s="4">
        <v>10</v>
      </c>
      <c r="H329" s="15">
        <v>500</v>
      </c>
      <c r="Q329" s="44"/>
    </row>
    <row r="330" spans="1:17">
      <c r="A330" s="16">
        <v>46074</v>
      </c>
      <c r="C330" s="3">
        <v>160</v>
      </c>
      <c r="D330" s="6" t="s">
        <v>234</v>
      </c>
      <c r="E330" s="2">
        <v>46023</v>
      </c>
      <c r="F330" s="2">
        <v>46357</v>
      </c>
      <c r="G330" s="4">
        <v>12</v>
      </c>
      <c r="H330" s="15">
        <v>600</v>
      </c>
      <c r="Q330" s="44"/>
    </row>
    <row r="331" spans="1:17">
      <c r="A331" s="16">
        <v>45658</v>
      </c>
      <c r="B331" s="5" t="s">
        <v>506</v>
      </c>
      <c r="C331" s="3">
        <v>162</v>
      </c>
      <c r="D331" s="6" t="s">
        <v>239</v>
      </c>
      <c r="E331" s="2">
        <v>45658</v>
      </c>
      <c r="F331" s="2">
        <v>45689</v>
      </c>
      <c r="G331" s="4">
        <v>2</v>
      </c>
      <c r="H331" s="15">
        <v>100</v>
      </c>
      <c r="Q331" s="44"/>
    </row>
    <row r="332" spans="1:17">
      <c r="A332" s="16">
        <v>45718</v>
      </c>
      <c r="B332" s="5" t="s">
        <v>507</v>
      </c>
      <c r="C332" s="3">
        <v>162</v>
      </c>
      <c r="D332" s="6" t="s">
        <v>239</v>
      </c>
      <c r="E332" s="2">
        <v>45717</v>
      </c>
      <c r="F332" s="2">
        <v>45748</v>
      </c>
      <c r="G332" s="4">
        <v>2</v>
      </c>
      <c r="H332" s="15">
        <v>100</v>
      </c>
      <c r="Q332" s="44"/>
    </row>
    <row r="333" spans="1:17">
      <c r="A333" s="16">
        <v>45753</v>
      </c>
      <c r="B333" s="5" t="s">
        <v>508</v>
      </c>
      <c r="C333" s="3">
        <v>162</v>
      </c>
      <c r="D333" s="6" t="s">
        <v>239</v>
      </c>
      <c r="E333" s="2">
        <v>45778</v>
      </c>
      <c r="F333" s="2">
        <v>45809</v>
      </c>
      <c r="G333" s="4">
        <v>2</v>
      </c>
      <c r="H333" s="15">
        <v>100</v>
      </c>
      <c r="Q333" s="44"/>
    </row>
    <row r="334" spans="1:17">
      <c r="A334" s="16">
        <v>45815</v>
      </c>
      <c r="B334" s="5" t="s">
        <v>357</v>
      </c>
      <c r="C334" s="3">
        <v>162</v>
      </c>
      <c r="D334" s="6" t="s">
        <v>239</v>
      </c>
      <c r="E334" s="2">
        <v>45839</v>
      </c>
      <c r="F334" s="2">
        <v>45870</v>
      </c>
      <c r="G334" s="4">
        <v>2</v>
      </c>
      <c r="H334" s="15">
        <v>100</v>
      </c>
      <c r="Q334" s="44"/>
    </row>
    <row r="335" spans="1:17">
      <c r="A335" s="16">
        <v>45901</v>
      </c>
      <c r="B335" s="5" t="s">
        <v>439</v>
      </c>
      <c r="C335" s="3">
        <v>162</v>
      </c>
      <c r="D335" s="6" t="s">
        <v>239</v>
      </c>
      <c r="E335" s="2">
        <v>45901</v>
      </c>
      <c r="F335" s="2">
        <v>45931</v>
      </c>
      <c r="G335" s="4">
        <v>2</v>
      </c>
      <c r="H335" s="15">
        <v>100</v>
      </c>
      <c r="Q335" s="44"/>
    </row>
    <row r="336" spans="1:17">
      <c r="A336" s="16">
        <v>45965</v>
      </c>
      <c r="B336" s="5" t="s">
        <v>728</v>
      </c>
      <c r="C336" s="3">
        <v>162</v>
      </c>
      <c r="D336" s="6" t="s">
        <v>239</v>
      </c>
      <c r="E336" s="2">
        <v>45962</v>
      </c>
      <c r="F336" s="2">
        <v>45992</v>
      </c>
      <c r="G336" s="4">
        <v>2</v>
      </c>
      <c r="H336" s="15">
        <v>100</v>
      </c>
      <c r="Q336" s="44"/>
    </row>
    <row r="337" spans="1:17">
      <c r="A337" s="16">
        <v>46022</v>
      </c>
      <c r="B337" s="5" t="s">
        <v>743</v>
      </c>
      <c r="C337" s="3">
        <v>162</v>
      </c>
      <c r="D337" s="6" t="s">
        <v>239</v>
      </c>
      <c r="E337" s="2">
        <v>46023</v>
      </c>
      <c r="F337" s="2">
        <v>46054</v>
      </c>
      <c r="G337" s="4">
        <v>2</v>
      </c>
      <c r="H337" s="15">
        <v>100</v>
      </c>
      <c r="Q337" s="44"/>
    </row>
    <row r="338" spans="1:17">
      <c r="A338" s="16">
        <v>46086</v>
      </c>
      <c r="C338" s="3">
        <v>162</v>
      </c>
      <c r="D338" s="6" t="s">
        <v>239</v>
      </c>
      <c r="E338" s="2">
        <v>46082</v>
      </c>
      <c r="F338" s="2">
        <v>46113</v>
      </c>
      <c r="G338" s="4">
        <v>2</v>
      </c>
      <c r="H338" s="15">
        <v>100</v>
      </c>
      <c r="Q338" s="44"/>
    </row>
    <row r="339" spans="1:17">
      <c r="A339" s="16">
        <v>46110</v>
      </c>
      <c r="C339" s="3">
        <v>162</v>
      </c>
      <c r="D339" s="6" t="s">
        <v>239</v>
      </c>
      <c r="E339" s="2">
        <v>46143</v>
      </c>
      <c r="F339" s="2">
        <v>46174</v>
      </c>
      <c r="G339" s="4">
        <v>2</v>
      </c>
      <c r="H339" s="15">
        <v>100</v>
      </c>
      <c r="Q339" s="44"/>
    </row>
    <row r="340" spans="1:17">
      <c r="A340" s="16">
        <v>45928</v>
      </c>
      <c r="B340" s="5" t="s">
        <v>511</v>
      </c>
      <c r="C340" s="3">
        <v>163</v>
      </c>
      <c r="D340" s="6" t="s">
        <v>241</v>
      </c>
      <c r="E340" s="2">
        <v>45658</v>
      </c>
      <c r="F340" s="2">
        <v>45748</v>
      </c>
      <c r="G340" s="4">
        <v>4</v>
      </c>
      <c r="H340" s="15">
        <v>200</v>
      </c>
      <c r="Q340" s="44"/>
    </row>
    <row r="341" spans="1:17">
      <c r="A341" s="16">
        <v>46016</v>
      </c>
      <c r="B341" s="5" t="s">
        <v>742</v>
      </c>
      <c r="C341" s="3">
        <v>163</v>
      </c>
      <c r="D341" s="6" t="s">
        <v>241</v>
      </c>
      <c r="E341" s="2">
        <v>45778</v>
      </c>
      <c r="F341" s="2">
        <v>45931</v>
      </c>
      <c r="G341" s="4">
        <v>6</v>
      </c>
      <c r="H341" s="15">
        <v>300</v>
      </c>
      <c r="Q341" s="44"/>
    </row>
    <row r="342" spans="1:17">
      <c r="A342" s="16">
        <v>45716</v>
      </c>
      <c r="B342" s="5" t="s">
        <v>512</v>
      </c>
      <c r="C342" s="3">
        <v>164</v>
      </c>
      <c r="D342" s="6" t="s">
        <v>513</v>
      </c>
      <c r="E342" s="2">
        <v>45658</v>
      </c>
      <c r="F342" s="2">
        <v>45748</v>
      </c>
      <c r="G342" s="4">
        <v>4</v>
      </c>
      <c r="H342" s="15">
        <v>200</v>
      </c>
      <c r="Q342" s="44"/>
    </row>
    <row r="343" spans="1:17">
      <c r="A343" s="16">
        <v>45745</v>
      </c>
      <c r="B343" s="5" t="s">
        <v>514</v>
      </c>
      <c r="C343" s="3">
        <v>164</v>
      </c>
      <c r="D343" s="6" t="s">
        <v>513</v>
      </c>
      <c r="E343" s="2">
        <v>45778</v>
      </c>
      <c r="F343" s="2">
        <v>45992</v>
      </c>
      <c r="G343" s="4">
        <v>8</v>
      </c>
      <c r="H343" s="15">
        <v>400</v>
      </c>
      <c r="Q343" s="44"/>
    </row>
    <row r="344" spans="1:17">
      <c r="A344" s="16">
        <v>46070</v>
      </c>
      <c r="B344" s="5" t="s">
        <v>515</v>
      </c>
      <c r="C344" s="3">
        <v>164</v>
      </c>
      <c r="D344" s="6" t="s">
        <v>513</v>
      </c>
      <c r="E344" s="2">
        <v>46023</v>
      </c>
      <c r="F344" s="2">
        <v>46143</v>
      </c>
      <c r="G344" s="4">
        <v>5</v>
      </c>
      <c r="H344" s="15">
        <v>250</v>
      </c>
      <c r="Q344" s="44"/>
    </row>
    <row r="345" spans="1:17">
      <c r="A345" s="16">
        <v>46118</v>
      </c>
      <c r="B345" s="5" t="s">
        <v>761</v>
      </c>
      <c r="C345" s="3">
        <v>164</v>
      </c>
      <c r="D345" s="6" t="s">
        <v>513</v>
      </c>
      <c r="E345" s="2">
        <v>46174</v>
      </c>
      <c r="F345" s="2">
        <v>46266</v>
      </c>
      <c r="G345" s="4">
        <v>4</v>
      </c>
      <c r="H345" s="15">
        <v>200</v>
      </c>
      <c r="Q345" s="44"/>
    </row>
    <row r="346" spans="1:17">
      <c r="A346" s="16">
        <v>45694</v>
      </c>
      <c r="B346" s="5" t="s">
        <v>516</v>
      </c>
      <c r="C346" s="3">
        <v>167</v>
      </c>
      <c r="D346" s="6" t="s">
        <v>245</v>
      </c>
      <c r="E346" s="2">
        <v>45658</v>
      </c>
      <c r="F346" s="2">
        <v>45992</v>
      </c>
      <c r="G346" s="4">
        <v>12</v>
      </c>
      <c r="H346" s="15">
        <v>600</v>
      </c>
      <c r="Q346" s="44"/>
    </row>
    <row r="347" spans="1:17">
      <c r="A347" s="16">
        <v>46113</v>
      </c>
      <c r="B347" s="5" t="s">
        <v>517</v>
      </c>
      <c r="C347" s="3">
        <v>167</v>
      </c>
      <c r="D347" s="6" t="s">
        <v>245</v>
      </c>
      <c r="E347" s="2">
        <v>46023</v>
      </c>
      <c r="F347" s="2">
        <v>46174</v>
      </c>
      <c r="G347" s="4">
        <v>6</v>
      </c>
      <c r="H347" s="15">
        <v>300</v>
      </c>
      <c r="Q347" s="44"/>
    </row>
    <row r="348" spans="1:17">
      <c r="A348" s="16">
        <v>45698</v>
      </c>
      <c r="B348" s="5" t="s">
        <v>518</v>
      </c>
      <c r="C348" s="3">
        <v>168</v>
      </c>
      <c r="D348" s="6" t="s">
        <v>247</v>
      </c>
      <c r="E348" s="2">
        <v>45658</v>
      </c>
      <c r="F348" s="2">
        <v>45689</v>
      </c>
      <c r="G348" s="4">
        <v>2</v>
      </c>
      <c r="H348" s="15">
        <v>100</v>
      </c>
      <c r="Q348" s="44"/>
    </row>
    <row r="349" spans="1:17">
      <c r="A349" s="16">
        <v>45772</v>
      </c>
      <c r="B349" s="5" t="s">
        <v>519</v>
      </c>
      <c r="C349" s="3">
        <v>168</v>
      </c>
      <c r="D349" s="6" t="s">
        <v>247</v>
      </c>
      <c r="E349" s="2">
        <v>45717</v>
      </c>
      <c r="F349" s="2">
        <v>45748</v>
      </c>
      <c r="G349" s="4">
        <v>2</v>
      </c>
      <c r="H349" s="15">
        <v>100</v>
      </c>
      <c r="Q349" s="44"/>
    </row>
    <row r="350" spans="1:17">
      <c r="A350" s="16">
        <v>45782</v>
      </c>
      <c r="B350" s="5" t="s">
        <v>520</v>
      </c>
      <c r="C350" s="3">
        <v>168</v>
      </c>
      <c r="D350" s="6" t="s">
        <v>247</v>
      </c>
      <c r="E350" s="2">
        <v>45778</v>
      </c>
      <c r="F350" s="2">
        <v>45809</v>
      </c>
      <c r="G350" s="4">
        <v>2</v>
      </c>
      <c r="H350" s="15">
        <v>100</v>
      </c>
      <c r="Q350" s="44"/>
    </row>
    <row r="351" spans="1:17">
      <c r="A351" s="16">
        <v>45872</v>
      </c>
      <c r="B351" s="5" t="s">
        <v>521</v>
      </c>
      <c r="C351" s="3">
        <v>168</v>
      </c>
      <c r="D351" s="6" t="s">
        <v>247</v>
      </c>
      <c r="E351" s="2">
        <v>45839</v>
      </c>
      <c r="F351" s="2">
        <v>45870</v>
      </c>
      <c r="G351" s="4">
        <v>2</v>
      </c>
      <c r="H351" s="15">
        <v>100</v>
      </c>
      <c r="Q351" s="44"/>
    </row>
    <row r="352" spans="1:17">
      <c r="A352" s="16">
        <v>45926</v>
      </c>
      <c r="B352" s="5" t="s">
        <v>522</v>
      </c>
      <c r="C352" s="3">
        <v>168</v>
      </c>
      <c r="D352" s="6" t="s">
        <v>247</v>
      </c>
      <c r="E352" s="2">
        <v>45901</v>
      </c>
      <c r="F352" s="2">
        <v>45931</v>
      </c>
      <c r="G352" s="4">
        <v>2</v>
      </c>
      <c r="H352" s="15">
        <v>100</v>
      </c>
      <c r="Q352" s="44"/>
    </row>
    <row r="353" spans="1:17">
      <c r="A353" s="16">
        <v>45995</v>
      </c>
      <c r="B353" s="5" t="s">
        <v>523</v>
      </c>
      <c r="C353" s="3">
        <v>168</v>
      </c>
      <c r="D353" s="6" t="s">
        <v>247</v>
      </c>
      <c r="E353" s="2">
        <v>45962</v>
      </c>
      <c r="F353" s="2">
        <v>45992</v>
      </c>
      <c r="G353" s="4">
        <v>2</v>
      </c>
      <c r="H353" s="15">
        <v>100</v>
      </c>
      <c r="Q353" s="44"/>
    </row>
    <row r="354" spans="1:17">
      <c r="A354" s="16">
        <v>46041</v>
      </c>
      <c r="B354" s="5" t="s">
        <v>524</v>
      </c>
      <c r="C354" s="3">
        <v>168</v>
      </c>
      <c r="D354" s="6" t="s">
        <v>247</v>
      </c>
      <c r="E354" s="2">
        <v>46023</v>
      </c>
      <c r="F354" s="2">
        <v>46054</v>
      </c>
      <c r="G354" s="4">
        <v>2</v>
      </c>
      <c r="H354" s="15">
        <v>100</v>
      </c>
      <c r="Q354" s="44"/>
    </row>
    <row r="355" spans="1:17">
      <c r="A355" s="16">
        <v>45686</v>
      </c>
      <c r="B355" s="5" t="s">
        <v>525</v>
      </c>
      <c r="C355" s="3">
        <v>170</v>
      </c>
      <c r="D355" s="6" t="s">
        <v>251</v>
      </c>
      <c r="E355" s="2">
        <v>45658</v>
      </c>
      <c r="F355" s="2">
        <v>45689</v>
      </c>
      <c r="G355" s="4">
        <v>2</v>
      </c>
      <c r="H355" s="15">
        <v>100</v>
      </c>
      <c r="Q355" s="44"/>
    </row>
    <row r="356" spans="1:17">
      <c r="A356" s="16">
        <v>45719</v>
      </c>
      <c r="B356" s="5" t="s">
        <v>526</v>
      </c>
      <c r="C356" s="3">
        <v>170</v>
      </c>
      <c r="D356" s="6" t="s">
        <v>251</v>
      </c>
      <c r="E356" s="2">
        <v>45717</v>
      </c>
      <c r="F356" s="2">
        <v>45748</v>
      </c>
      <c r="G356" s="4">
        <v>2</v>
      </c>
      <c r="H356" s="15">
        <v>100</v>
      </c>
      <c r="Q356" s="44"/>
    </row>
    <row r="357" spans="1:17">
      <c r="A357" s="16">
        <v>45830</v>
      </c>
      <c r="B357" s="5" t="s">
        <v>527</v>
      </c>
      <c r="C357" s="3">
        <v>170</v>
      </c>
      <c r="D357" s="6" t="s">
        <v>251</v>
      </c>
      <c r="E357" s="2">
        <v>45778</v>
      </c>
      <c r="F357" s="2">
        <v>45809</v>
      </c>
      <c r="G357" s="4">
        <v>2</v>
      </c>
      <c r="H357" s="15">
        <v>100</v>
      </c>
      <c r="Q357" s="44"/>
    </row>
    <row r="358" spans="1:17">
      <c r="A358" s="16">
        <v>45856</v>
      </c>
      <c r="B358" s="5" t="s">
        <v>528</v>
      </c>
      <c r="C358" s="3">
        <v>170</v>
      </c>
      <c r="D358" s="6" t="s">
        <v>251</v>
      </c>
      <c r="E358" s="2">
        <v>45839</v>
      </c>
      <c r="F358" s="2">
        <v>45870</v>
      </c>
      <c r="G358" s="4">
        <v>2</v>
      </c>
      <c r="H358" s="15">
        <v>100</v>
      </c>
      <c r="Q358" s="44"/>
    </row>
    <row r="359" spans="1:17">
      <c r="A359" s="16">
        <v>45899</v>
      </c>
      <c r="B359" s="5" t="s">
        <v>529</v>
      </c>
      <c r="C359" s="3">
        <v>170</v>
      </c>
      <c r="D359" s="6" t="s">
        <v>251</v>
      </c>
      <c r="E359" s="2">
        <v>45901</v>
      </c>
      <c r="F359" s="2">
        <v>45931</v>
      </c>
      <c r="G359" s="4">
        <v>2</v>
      </c>
      <c r="H359" s="15">
        <v>100</v>
      </c>
      <c r="Q359" s="44"/>
    </row>
    <row r="360" spans="1:17">
      <c r="A360" s="16">
        <v>45975</v>
      </c>
      <c r="B360" s="5" t="s">
        <v>530</v>
      </c>
      <c r="C360" s="3">
        <v>170</v>
      </c>
      <c r="D360" s="6" t="s">
        <v>251</v>
      </c>
      <c r="E360" s="2">
        <v>45962</v>
      </c>
      <c r="F360" s="2">
        <v>45992</v>
      </c>
      <c r="G360" s="4">
        <v>2</v>
      </c>
      <c r="H360" s="15">
        <v>100</v>
      </c>
      <c r="Q360" s="44"/>
    </row>
    <row r="361" spans="1:17">
      <c r="A361" s="16">
        <v>46023</v>
      </c>
      <c r="B361" s="5" t="s">
        <v>531</v>
      </c>
      <c r="C361" s="3">
        <v>170</v>
      </c>
      <c r="D361" s="6" t="s">
        <v>251</v>
      </c>
      <c r="E361" s="2">
        <v>46023</v>
      </c>
      <c r="F361" s="2">
        <v>46023</v>
      </c>
      <c r="G361" s="4">
        <v>1</v>
      </c>
      <c r="H361" s="15">
        <v>50</v>
      </c>
      <c r="Q361" s="44"/>
    </row>
    <row r="362" spans="1:17">
      <c r="A362" s="16">
        <v>46066</v>
      </c>
      <c r="B362" s="5" t="s">
        <v>532</v>
      </c>
      <c r="C362" s="3">
        <v>170</v>
      </c>
      <c r="D362" s="6" t="s">
        <v>251</v>
      </c>
      <c r="E362" s="2">
        <v>46054</v>
      </c>
      <c r="F362" s="2">
        <v>46054</v>
      </c>
      <c r="G362" s="4">
        <v>1</v>
      </c>
      <c r="H362" s="15">
        <v>50</v>
      </c>
      <c r="Q362" s="44"/>
    </row>
    <row r="363" spans="1:17">
      <c r="A363" s="16">
        <v>46108</v>
      </c>
      <c r="B363" s="5" t="s">
        <v>533</v>
      </c>
      <c r="C363" s="3">
        <v>170</v>
      </c>
      <c r="D363" s="6" t="s">
        <v>251</v>
      </c>
      <c r="E363" s="2">
        <v>46082</v>
      </c>
      <c r="F363" s="2">
        <v>46113</v>
      </c>
      <c r="G363" s="4">
        <v>2</v>
      </c>
      <c r="H363" s="15">
        <v>100</v>
      </c>
      <c r="Q363" s="44"/>
    </row>
    <row r="364" spans="1:17">
      <c r="A364" s="16">
        <v>46144</v>
      </c>
      <c r="B364" s="5" t="s">
        <v>783</v>
      </c>
      <c r="C364" s="3">
        <v>170</v>
      </c>
      <c r="D364" s="6" t="s">
        <v>251</v>
      </c>
      <c r="E364" s="2">
        <v>46143</v>
      </c>
      <c r="F364" s="2">
        <v>46174</v>
      </c>
      <c r="G364" s="4">
        <v>2</v>
      </c>
      <c r="H364" s="15">
        <v>100</v>
      </c>
      <c r="Q364" s="44"/>
    </row>
    <row r="365" spans="1:17">
      <c r="A365" s="16">
        <v>45678</v>
      </c>
      <c r="B365" s="5" t="s">
        <v>534</v>
      </c>
      <c r="C365" s="3">
        <v>172</v>
      </c>
      <c r="D365" s="6" t="s">
        <v>253</v>
      </c>
      <c r="E365" s="2">
        <v>45658</v>
      </c>
      <c r="F365" s="2">
        <v>45689</v>
      </c>
      <c r="G365" s="4">
        <v>2</v>
      </c>
      <c r="H365" s="15">
        <v>100</v>
      </c>
      <c r="Q365" s="44"/>
    </row>
    <row r="366" spans="1:17">
      <c r="A366" s="16">
        <v>45754</v>
      </c>
      <c r="B366" s="5" t="s">
        <v>535</v>
      </c>
      <c r="C366" s="3">
        <v>172</v>
      </c>
      <c r="D366" s="6" t="s">
        <v>253</v>
      </c>
      <c r="E366" s="2">
        <v>45717</v>
      </c>
      <c r="F366" s="2">
        <v>45748</v>
      </c>
      <c r="G366" s="4">
        <v>2</v>
      </c>
      <c r="H366" s="15">
        <v>100</v>
      </c>
      <c r="Q366" s="44"/>
    </row>
    <row r="367" spans="1:17">
      <c r="A367" s="16">
        <v>45786</v>
      </c>
      <c r="B367" s="5" t="s">
        <v>95</v>
      </c>
      <c r="C367" s="3">
        <v>172</v>
      </c>
      <c r="D367" s="6" t="s">
        <v>253</v>
      </c>
      <c r="E367" s="2">
        <v>45778</v>
      </c>
      <c r="F367" s="2">
        <v>45809</v>
      </c>
      <c r="G367" s="4">
        <v>2</v>
      </c>
      <c r="H367" s="15">
        <v>100</v>
      </c>
      <c r="Q367" s="44"/>
    </row>
    <row r="368" spans="1:17">
      <c r="A368" s="16">
        <v>45847</v>
      </c>
      <c r="B368" s="5" t="s">
        <v>550</v>
      </c>
      <c r="C368" s="3">
        <v>172</v>
      </c>
      <c r="D368" s="6" t="s">
        <v>253</v>
      </c>
      <c r="E368" s="2">
        <v>45839</v>
      </c>
      <c r="F368" s="2">
        <v>45870</v>
      </c>
      <c r="G368" s="4">
        <v>2</v>
      </c>
      <c r="H368" s="15">
        <v>100</v>
      </c>
      <c r="Q368" s="44"/>
    </row>
    <row r="369" spans="1:17">
      <c r="A369" s="16">
        <v>45904</v>
      </c>
      <c r="B369" s="5" t="s">
        <v>97</v>
      </c>
      <c r="C369" s="3">
        <v>172</v>
      </c>
      <c r="D369" s="6" t="s">
        <v>253</v>
      </c>
      <c r="E369" s="2">
        <v>45901</v>
      </c>
      <c r="F369" s="2">
        <v>45931</v>
      </c>
      <c r="G369" s="4">
        <v>2</v>
      </c>
      <c r="H369" s="15">
        <v>100</v>
      </c>
      <c r="Q369" s="44"/>
    </row>
    <row r="370" spans="1:17">
      <c r="A370" s="16">
        <v>45965</v>
      </c>
      <c r="B370" s="5" t="s">
        <v>729</v>
      </c>
      <c r="C370" s="3">
        <v>172</v>
      </c>
      <c r="D370" s="6" t="s">
        <v>253</v>
      </c>
      <c r="E370" s="2">
        <v>45962</v>
      </c>
      <c r="F370" s="2">
        <v>45992</v>
      </c>
      <c r="G370" s="4">
        <v>2</v>
      </c>
      <c r="H370" s="15">
        <v>100</v>
      </c>
      <c r="Q370" s="44"/>
    </row>
    <row r="371" spans="1:17">
      <c r="A371" s="16">
        <v>46036</v>
      </c>
      <c r="B371" s="5" t="s">
        <v>753</v>
      </c>
      <c r="C371" s="3">
        <v>172</v>
      </c>
      <c r="D371" s="6" t="s">
        <v>253</v>
      </c>
      <c r="E371" s="2">
        <v>46023</v>
      </c>
      <c r="F371" s="2">
        <v>46054</v>
      </c>
      <c r="G371" s="4">
        <v>2</v>
      </c>
      <c r="H371" s="15">
        <v>100</v>
      </c>
      <c r="Q371" s="44"/>
    </row>
    <row r="372" spans="1:17">
      <c r="A372" s="16">
        <v>46087</v>
      </c>
      <c r="C372" s="3">
        <v>172</v>
      </c>
      <c r="D372" s="6" t="s">
        <v>253</v>
      </c>
      <c r="E372" s="2">
        <v>46082</v>
      </c>
      <c r="F372" s="2">
        <v>46113</v>
      </c>
      <c r="G372" s="4">
        <v>2</v>
      </c>
      <c r="H372" s="15">
        <v>100</v>
      </c>
      <c r="Q372" s="44"/>
    </row>
    <row r="373" spans="1:17">
      <c r="A373" s="16">
        <v>46148</v>
      </c>
      <c r="C373" s="3">
        <v>172</v>
      </c>
      <c r="D373" s="6" t="s">
        <v>253</v>
      </c>
      <c r="E373" s="2">
        <v>46143</v>
      </c>
      <c r="F373" s="2">
        <v>46174</v>
      </c>
      <c r="G373" s="4">
        <v>2</v>
      </c>
      <c r="H373" s="15">
        <v>100</v>
      </c>
      <c r="Q373" s="44"/>
    </row>
    <row r="374" spans="1:17">
      <c r="A374" s="16">
        <v>45648</v>
      </c>
      <c r="B374" s="5" t="s">
        <v>539</v>
      </c>
      <c r="C374" s="3">
        <v>173</v>
      </c>
      <c r="D374" s="6" t="s">
        <v>255</v>
      </c>
      <c r="E374" s="2">
        <v>45536</v>
      </c>
      <c r="F374" s="2">
        <v>45658</v>
      </c>
      <c r="G374" s="4">
        <v>5</v>
      </c>
      <c r="H374" s="15">
        <v>250</v>
      </c>
      <c r="Q374" s="44"/>
    </row>
    <row r="375" spans="1:17">
      <c r="A375" s="16">
        <v>45749</v>
      </c>
      <c r="B375" s="5" t="s">
        <v>540</v>
      </c>
      <c r="C375" s="3">
        <v>173</v>
      </c>
      <c r="D375" s="6" t="s">
        <v>255</v>
      </c>
      <c r="E375" s="2">
        <v>45689</v>
      </c>
      <c r="F375" s="2">
        <v>45839</v>
      </c>
      <c r="G375" s="4">
        <v>6</v>
      </c>
      <c r="H375" s="15">
        <v>300</v>
      </c>
      <c r="Q375" s="44"/>
    </row>
    <row r="376" spans="1:17">
      <c r="A376" s="16">
        <v>45873</v>
      </c>
      <c r="B376" s="5" t="s">
        <v>359</v>
      </c>
      <c r="C376" s="3">
        <v>173</v>
      </c>
      <c r="D376" s="6" t="s">
        <v>255</v>
      </c>
      <c r="E376" s="2">
        <v>45870</v>
      </c>
      <c r="F376" s="2">
        <v>46023</v>
      </c>
      <c r="G376" s="4">
        <v>6</v>
      </c>
      <c r="H376" s="15">
        <v>300</v>
      </c>
      <c r="Q376" s="44"/>
    </row>
    <row r="377" spans="1:17">
      <c r="A377" s="16">
        <v>46013</v>
      </c>
      <c r="B377" s="5" t="s">
        <v>542</v>
      </c>
      <c r="C377" s="3">
        <v>173</v>
      </c>
      <c r="D377" s="6" t="s">
        <v>255</v>
      </c>
      <c r="E377" s="2">
        <v>46054</v>
      </c>
      <c r="F377" s="2">
        <v>46082</v>
      </c>
      <c r="G377" s="4">
        <v>2</v>
      </c>
      <c r="H377" s="15">
        <v>100</v>
      </c>
      <c r="Q377" s="44"/>
    </row>
    <row r="378" spans="1:17">
      <c r="A378" s="16">
        <v>46027</v>
      </c>
      <c r="B378" s="5" t="s">
        <v>749</v>
      </c>
      <c r="C378" s="3">
        <v>174</v>
      </c>
      <c r="D378" s="6" t="s">
        <v>257</v>
      </c>
      <c r="E378" s="2">
        <v>45658</v>
      </c>
      <c r="F378" s="2">
        <v>45992</v>
      </c>
      <c r="G378" s="4">
        <v>12</v>
      </c>
      <c r="H378" s="15">
        <v>600</v>
      </c>
      <c r="Q378" s="44"/>
    </row>
    <row r="379" spans="1:17">
      <c r="A379" s="16">
        <v>46027</v>
      </c>
      <c r="B379" s="5" t="s">
        <v>750</v>
      </c>
      <c r="C379" s="3">
        <v>174</v>
      </c>
      <c r="D379" s="6" t="s">
        <v>257</v>
      </c>
      <c r="E379" s="2">
        <v>46023</v>
      </c>
      <c r="F379" s="2">
        <v>46357</v>
      </c>
      <c r="G379" s="4">
        <v>12</v>
      </c>
      <c r="H379" s="15">
        <v>600</v>
      </c>
      <c r="Q379" s="44"/>
    </row>
    <row r="380" spans="1:17">
      <c r="A380" s="16">
        <v>45627</v>
      </c>
      <c r="B380" s="5" t="s">
        <v>543</v>
      </c>
      <c r="C380" s="3">
        <v>175</v>
      </c>
      <c r="D380" s="6" t="s">
        <v>259</v>
      </c>
      <c r="E380" s="2">
        <v>45597</v>
      </c>
      <c r="F380" s="2">
        <v>45597</v>
      </c>
      <c r="G380" s="4">
        <v>1</v>
      </c>
      <c r="H380" s="15">
        <v>50</v>
      </c>
      <c r="Q380" s="44"/>
    </row>
    <row r="381" spans="1:17">
      <c r="A381" s="16">
        <v>45641</v>
      </c>
      <c r="B381" s="5" t="s">
        <v>544</v>
      </c>
      <c r="C381" s="3">
        <v>175</v>
      </c>
      <c r="D381" s="6" t="s">
        <v>259</v>
      </c>
      <c r="E381" s="2">
        <v>45627</v>
      </c>
      <c r="F381" s="2">
        <v>45627</v>
      </c>
      <c r="G381" s="4">
        <v>1</v>
      </c>
      <c r="H381" s="15">
        <v>50</v>
      </c>
      <c r="Q381" s="44"/>
    </row>
    <row r="382" spans="1:17">
      <c r="A382" s="16">
        <v>45664</v>
      </c>
      <c r="B382" s="5" t="s">
        <v>545</v>
      </c>
      <c r="C382" s="3">
        <v>175</v>
      </c>
      <c r="D382" s="6" t="s">
        <v>259</v>
      </c>
      <c r="E382" s="2">
        <v>45658</v>
      </c>
      <c r="F382" s="2">
        <v>45658</v>
      </c>
      <c r="G382" s="4">
        <v>1</v>
      </c>
      <c r="H382" s="15">
        <v>50</v>
      </c>
      <c r="Q382" s="44"/>
    </row>
    <row r="383" spans="1:17">
      <c r="A383" s="16">
        <v>45686</v>
      </c>
      <c r="B383" s="5" t="s">
        <v>546</v>
      </c>
      <c r="C383" s="3">
        <v>175</v>
      </c>
      <c r="D383" s="6" t="s">
        <v>259</v>
      </c>
      <c r="E383" s="2">
        <v>45689</v>
      </c>
      <c r="F383" s="2">
        <v>45689</v>
      </c>
      <c r="G383" s="4">
        <v>1</v>
      </c>
      <c r="H383" s="15">
        <v>50</v>
      </c>
      <c r="Q383" s="44"/>
    </row>
    <row r="384" spans="1:17">
      <c r="A384" s="16">
        <v>45745</v>
      </c>
      <c r="B384" s="5" t="s">
        <v>547</v>
      </c>
      <c r="C384" s="3">
        <v>175</v>
      </c>
      <c r="D384" s="6" t="s">
        <v>259</v>
      </c>
      <c r="E384" s="2">
        <v>45717</v>
      </c>
      <c r="F384" s="2">
        <v>45717</v>
      </c>
      <c r="G384" s="4">
        <v>1</v>
      </c>
      <c r="H384" s="15">
        <v>50</v>
      </c>
      <c r="Q384" s="44"/>
    </row>
    <row r="385" spans="1:17">
      <c r="A385" s="16">
        <v>45759</v>
      </c>
      <c r="B385" s="5" t="s">
        <v>548</v>
      </c>
      <c r="C385" s="3">
        <v>175</v>
      </c>
      <c r="D385" s="6" t="s">
        <v>259</v>
      </c>
      <c r="E385" s="2">
        <v>45748</v>
      </c>
      <c r="F385" s="2">
        <v>45748</v>
      </c>
      <c r="G385" s="4">
        <v>1</v>
      </c>
      <c r="H385" s="15">
        <v>50</v>
      </c>
      <c r="Q385" s="44"/>
    </row>
    <row r="386" spans="1:17">
      <c r="A386" s="16">
        <v>45789</v>
      </c>
      <c r="B386" s="5" t="s">
        <v>130</v>
      </c>
      <c r="C386" s="3">
        <v>175</v>
      </c>
      <c r="D386" s="6" t="s">
        <v>259</v>
      </c>
      <c r="E386" s="2">
        <v>45778</v>
      </c>
      <c r="F386" s="2">
        <v>45778</v>
      </c>
      <c r="G386" s="4">
        <v>1</v>
      </c>
      <c r="H386" s="15">
        <v>50</v>
      </c>
      <c r="Q386" s="44"/>
    </row>
    <row r="387" spans="1:17">
      <c r="A387" s="16">
        <v>45847</v>
      </c>
      <c r="B387" s="5" t="s">
        <v>551</v>
      </c>
      <c r="C387" s="3">
        <v>175</v>
      </c>
      <c r="D387" s="6" t="s">
        <v>259</v>
      </c>
      <c r="E387" s="2">
        <v>45809</v>
      </c>
      <c r="F387" s="2">
        <v>45809</v>
      </c>
      <c r="G387" s="4">
        <v>1</v>
      </c>
      <c r="H387" s="15">
        <v>50</v>
      </c>
      <c r="Q387" s="44"/>
    </row>
    <row r="388" spans="1:17">
      <c r="A388" s="16">
        <v>45851</v>
      </c>
      <c r="B388" s="5" t="s">
        <v>178</v>
      </c>
      <c r="C388" s="3">
        <v>175</v>
      </c>
      <c r="D388" s="6" t="s">
        <v>259</v>
      </c>
      <c r="E388" s="2">
        <v>45839</v>
      </c>
      <c r="F388" s="2">
        <v>45839</v>
      </c>
      <c r="G388" s="4">
        <v>1</v>
      </c>
      <c r="H388" s="15">
        <v>50</v>
      </c>
      <c r="Q388" s="44"/>
    </row>
    <row r="389" spans="1:17">
      <c r="A389" s="16">
        <v>45877</v>
      </c>
      <c r="B389" s="5" t="s">
        <v>667</v>
      </c>
      <c r="C389" s="3">
        <v>175</v>
      </c>
      <c r="D389" s="6" t="s">
        <v>259</v>
      </c>
      <c r="E389" s="2">
        <v>45870</v>
      </c>
      <c r="F389" s="2">
        <v>45870</v>
      </c>
      <c r="G389" s="4">
        <v>1</v>
      </c>
      <c r="H389" s="15">
        <v>50</v>
      </c>
      <c r="Q389" s="44"/>
    </row>
    <row r="390" spans="1:17">
      <c r="A390" s="16">
        <v>45936</v>
      </c>
      <c r="B390" s="5" t="s">
        <v>716</v>
      </c>
      <c r="C390" s="3">
        <v>175</v>
      </c>
      <c r="D390" s="6" t="s">
        <v>259</v>
      </c>
      <c r="E390" s="2">
        <v>45901</v>
      </c>
      <c r="F390" s="2">
        <v>45901</v>
      </c>
      <c r="G390" s="4">
        <v>1</v>
      </c>
      <c r="H390" s="15">
        <v>50</v>
      </c>
      <c r="Q390" s="44"/>
    </row>
    <row r="391" spans="1:17">
      <c r="A391" s="16">
        <v>45951</v>
      </c>
      <c r="B391" s="5" t="s">
        <v>721</v>
      </c>
      <c r="C391" s="3">
        <v>175</v>
      </c>
      <c r="D391" s="6" t="s">
        <v>259</v>
      </c>
      <c r="E391" s="2">
        <v>45931</v>
      </c>
      <c r="F391" s="2">
        <v>45931</v>
      </c>
      <c r="G391" s="4">
        <v>1</v>
      </c>
      <c r="H391" s="15">
        <v>50</v>
      </c>
      <c r="Q391" s="44"/>
    </row>
    <row r="392" spans="1:17">
      <c r="A392" s="16">
        <v>45965</v>
      </c>
      <c r="B392" s="5" t="s">
        <v>730</v>
      </c>
      <c r="C392" s="3">
        <v>175</v>
      </c>
      <c r="D392" s="6" t="s">
        <v>259</v>
      </c>
      <c r="E392" s="2">
        <v>45962</v>
      </c>
      <c r="F392" s="2">
        <v>45962</v>
      </c>
      <c r="G392" s="4">
        <v>1</v>
      </c>
      <c r="H392" s="15">
        <v>50</v>
      </c>
      <c r="Q392" s="44"/>
    </row>
    <row r="393" spans="1:17">
      <c r="A393" s="16">
        <v>46011</v>
      </c>
      <c r="B393" s="5" t="s">
        <v>741</v>
      </c>
      <c r="C393" s="3">
        <v>175</v>
      </c>
      <c r="D393" s="6" t="s">
        <v>259</v>
      </c>
      <c r="E393" s="2">
        <v>45992</v>
      </c>
      <c r="F393" s="2">
        <v>45992</v>
      </c>
      <c r="G393" s="4">
        <v>1</v>
      </c>
      <c r="H393" s="15">
        <v>50</v>
      </c>
      <c r="Q393" s="44"/>
    </row>
    <row r="394" spans="1:17">
      <c r="A394" s="16">
        <v>46023</v>
      </c>
      <c r="B394" s="5" t="s">
        <v>744</v>
      </c>
      <c r="C394" s="3">
        <v>175</v>
      </c>
      <c r="D394" s="6" t="s">
        <v>259</v>
      </c>
      <c r="E394" s="2">
        <v>46023</v>
      </c>
      <c r="F394" s="2">
        <v>46023</v>
      </c>
      <c r="G394" s="4">
        <v>1</v>
      </c>
      <c r="H394" s="15">
        <v>50</v>
      </c>
      <c r="Q394" s="44"/>
    </row>
    <row r="395" spans="1:17">
      <c r="A395" s="16">
        <v>46055</v>
      </c>
      <c r="C395" s="3">
        <v>175</v>
      </c>
      <c r="D395" s="6" t="s">
        <v>259</v>
      </c>
      <c r="E395" s="2">
        <v>46054</v>
      </c>
      <c r="F395" s="2">
        <v>46054</v>
      </c>
      <c r="G395" s="4">
        <v>1</v>
      </c>
      <c r="H395" s="15">
        <v>50</v>
      </c>
      <c r="Q395" s="44"/>
    </row>
    <row r="396" spans="1:17">
      <c r="A396" s="16">
        <v>46100</v>
      </c>
      <c r="C396" s="3">
        <v>175</v>
      </c>
      <c r="D396" s="6" t="s">
        <v>259</v>
      </c>
      <c r="E396" s="2">
        <v>46113</v>
      </c>
      <c r="F396" s="2">
        <v>46113</v>
      </c>
      <c r="G396" s="4">
        <v>1</v>
      </c>
      <c r="H396" s="15">
        <v>50</v>
      </c>
      <c r="Q396" s="44"/>
    </row>
    <row r="397" spans="1:17">
      <c r="A397" s="16">
        <v>46118</v>
      </c>
      <c r="C397" s="3">
        <v>175</v>
      </c>
      <c r="D397" s="6" t="s">
        <v>259</v>
      </c>
      <c r="E397" s="2">
        <v>46113</v>
      </c>
      <c r="F397" s="2">
        <v>46113</v>
      </c>
      <c r="G397" s="4">
        <v>1</v>
      </c>
      <c r="H397" s="15">
        <v>50</v>
      </c>
      <c r="Q397" s="44"/>
    </row>
    <row r="398" spans="1:17">
      <c r="A398" s="16">
        <v>45664</v>
      </c>
      <c r="B398" s="5" t="s">
        <v>553</v>
      </c>
      <c r="C398" s="3">
        <v>176</v>
      </c>
      <c r="D398" s="6" t="s">
        <v>261</v>
      </c>
      <c r="E398" s="2">
        <v>45658</v>
      </c>
      <c r="F398" s="2">
        <v>45992</v>
      </c>
      <c r="G398" s="4">
        <v>12</v>
      </c>
      <c r="H398" s="15">
        <v>600</v>
      </c>
      <c r="Q398" s="44"/>
    </row>
    <row r="399" spans="1:17">
      <c r="A399" s="16">
        <v>46060</v>
      </c>
      <c r="C399" s="3">
        <v>176</v>
      </c>
      <c r="D399" s="6" t="s">
        <v>261</v>
      </c>
      <c r="E399" s="2">
        <v>46023</v>
      </c>
      <c r="F399" s="2">
        <v>46357</v>
      </c>
      <c r="G399" s="4">
        <v>12</v>
      </c>
      <c r="H399" s="15">
        <v>600</v>
      </c>
      <c r="Q399" s="44"/>
    </row>
    <row r="400" spans="1:17">
      <c r="A400" s="16">
        <v>45658</v>
      </c>
      <c r="B400" s="5" t="s">
        <v>554</v>
      </c>
      <c r="C400" s="3">
        <v>177</v>
      </c>
      <c r="D400" s="6" t="s">
        <v>263</v>
      </c>
      <c r="E400" s="2">
        <v>45658</v>
      </c>
      <c r="F400" s="2">
        <v>45717</v>
      </c>
      <c r="G400" s="4">
        <v>3</v>
      </c>
      <c r="H400" s="15">
        <v>150</v>
      </c>
      <c r="Q400" s="44"/>
    </row>
    <row r="401" spans="1:17">
      <c r="A401" s="16">
        <v>45719</v>
      </c>
      <c r="B401" s="5" t="s">
        <v>555</v>
      </c>
      <c r="C401" s="3">
        <v>177</v>
      </c>
      <c r="D401" s="6" t="s">
        <v>263</v>
      </c>
      <c r="E401" s="2">
        <v>45748</v>
      </c>
      <c r="F401" s="2">
        <v>45809</v>
      </c>
      <c r="G401" s="4">
        <v>3</v>
      </c>
      <c r="H401" s="15">
        <v>150</v>
      </c>
      <c r="Q401" s="44"/>
    </row>
    <row r="402" spans="1:17">
      <c r="A402" s="16">
        <v>45812</v>
      </c>
      <c r="B402" s="5" t="s">
        <v>556</v>
      </c>
      <c r="C402" s="3">
        <v>177</v>
      </c>
      <c r="D402" s="6" t="s">
        <v>263</v>
      </c>
      <c r="E402" s="2">
        <v>45839</v>
      </c>
      <c r="F402" s="2">
        <v>45992</v>
      </c>
      <c r="G402" s="4">
        <v>6</v>
      </c>
      <c r="H402" s="15">
        <v>300</v>
      </c>
      <c r="Q402" s="44"/>
    </row>
    <row r="403" spans="1:17">
      <c r="A403" s="16">
        <v>46015</v>
      </c>
      <c r="B403" s="5" t="s">
        <v>557</v>
      </c>
      <c r="C403" s="3">
        <v>177</v>
      </c>
      <c r="D403" s="6" t="s">
        <v>263</v>
      </c>
      <c r="E403" s="2">
        <v>46023</v>
      </c>
      <c r="F403" s="2">
        <v>46174</v>
      </c>
      <c r="G403" s="4">
        <v>6</v>
      </c>
      <c r="H403" s="15">
        <v>300</v>
      </c>
      <c r="Q403" s="44"/>
    </row>
    <row r="404" spans="1:17">
      <c r="A404" s="16">
        <v>45627</v>
      </c>
      <c r="B404" s="5" t="s">
        <v>558</v>
      </c>
      <c r="C404" s="3">
        <v>178</v>
      </c>
      <c r="D404" s="6" t="s">
        <v>559</v>
      </c>
      <c r="E404" s="2">
        <v>45627</v>
      </c>
      <c r="F404" s="2">
        <v>45627</v>
      </c>
      <c r="G404" s="4">
        <v>1</v>
      </c>
      <c r="H404" s="15">
        <v>50</v>
      </c>
      <c r="Q404" s="44"/>
    </row>
    <row r="405" spans="1:17">
      <c r="A405" s="16">
        <v>45666</v>
      </c>
      <c r="B405" s="5" t="s">
        <v>560</v>
      </c>
      <c r="C405" s="3">
        <v>178</v>
      </c>
      <c r="D405" s="6" t="s">
        <v>559</v>
      </c>
      <c r="E405" s="2">
        <v>45658</v>
      </c>
      <c r="F405" s="2">
        <v>45689</v>
      </c>
      <c r="G405" s="4">
        <v>2</v>
      </c>
      <c r="H405" s="15">
        <v>100</v>
      </c>
      <c r="Q405" s="44"/>
    </row>
    <row r="406" spans="1:17">
      <c r="A406" s="16">
        <v>45686</v>
      </c>
      <c r="B406" s="5" t="s">
        <v>561</v>
      </c>
      <c r="C406" s="3">
        <v>178</v>
      </c>
      <c r="D406" s="6" t="s">
        <v>559</v>
      </c>
      <c r="E406" s="2">
        <v>45717</v>
      </c>
      <c r="F406" s="2">
        <v>45717</v>
      </c>
      <c r="G406" s="4">
        <v>1</v>
      </c>
      <c r="H406" s="15">
        <v>50</v>
      </c>
      <c r="Q406" s="44"/>
    </row>
    <row r="407" spans="1:17">
      <c r="A407" s="16">
        <v>45775</v>
      </c>
      <c r="B407" s="5" t="s">
        <v>562</v>
      </c>
      <c r="C407" s="3">
        <v>178</v>
      </c>
      <c r="D407" s="6" t="s">
        <v>265</v>
      </c>
      <c r="E407" s="2">
        <v>45748</v>
      </c>
      <c r="F407" s="2">
        <v>45809</v>
      </c>
      <c r="G407" s="4">
        <v>3</v>
      </c>
      <c r="H407" s="15">
        <v>150</v>
      </c>
      <c r="Q407" s="44"/>
    </row>
    <row r="408" spans="1:17">
      <c r="A408" s="16">
        <v>45789</v>
      </c>
      <c r="B408" s="5" t="s">
        <v>563</v>
      </c>
      <c r="C408" s="3">
        <v>178</v>
      </c>
      <c r="D408" s="6" t="s">
        <v>265</v>
      </c>
      <c r="E408" s="2">
        <v>45839</v>
      </c>
      <c r="F408" s="2">
        <v>45839</v>
      </c>
      <c r="G408" s="4">
        <v>1</v>
      </c>
      <c r="H408" s="15">
        <v>50</v>
      </c>
      <c r="Q408" s="44"/>
    </row>
    <row r="409" spans="1:17">
      <c r="A409" s="16">
        <v>45810</v>
      </c>
      <c r="B409" s="5" t="s">
        <v>564</v>
      </c>
      <c r="C409" s="3">
        <v>178</v>
      </c>
      <c r="D409" s="6" t="s">
        <v>265</v>
      </c>
      <c r="E409" s="2">
        <v>45870</v>
      </c>
      <c r="F409" s="2">
        <v>45901</v>
      </c>
      <c r="G409" s="4">
        <v>2</v>
      </c>
      <c r="H409" s="15">
        <v>100</v>
      </c>
      <c r="Q409" s="44"/>
    </row>
    <row r="410" spans="1:17">
      <c r="A410" s="16">
        <v>45906</v>
      </c>
      <c r="B410" s="5" t="s">
        <v>565</v>
      </c>
      <c r="C410" s="3">
        <v>178</v>
      </c>
      <c r="D410" s="6" t="s">
        <v>265</v>
      </c>
      <c r="E410" s="2">
        <v>45931</v>
      </c>
      <c r="F410" s="2">
        <v>45931</v>
      </c>
      <c r="G410" s="4">
        <v>1</v>
      </c>
      <c r="H410" s="15">
        <v>50</v>
      </c>
      <c r="Q410" s="44"/>
    </row>
    <row r="411" spans="1:17">
      <c r="A411" s="16">
        <v>45936</v>
      </c>
      <c r="B411" s="5" t="s">
        <v>566</v>
      </c>
      <c r="C411" s="3">
        <v>178</v>
      </c>
      <c r="D411" s="6" t="s">
        <v>265</v>
      </c>
      <c r="E411" s="2">
        <v>45962</v>
      </c>
      <c r="F411" s="2">
        <v>45962</v>
      </c>
      <c r="G411" s="4">
        <v>1</v>
      </c>
      <c r="H411" s="15">
        <v>50</v>
      </c>
      <c r="Q411" s="44"/>
    </row>
    <row r="412" spans="1:17">
      <c r="A412" s="16">
        <v>45969</v>
      </c>
      <c r="B412" s="5" t="s">
        <v>567</v>
      </c>
      <c r="C412" s="3">
        <v>178</v>
      </c>
      <c r="D412" s="6" t="s">
        <v>265</v>
      </c>
      <c r="E412" s="2">
        <v>45992</v>
      </c>
      <c r="F412" s="2">
        <v>45992</v>
      </c>
      <c r="G412" s="4">
        <v>1</v>
      </c>
      <c r="H412" s="15">
        <v>50</v>
      </c>
      <c r="Q412" s="44"/>
    </row>
    <row r="413" spans="1:17">
      <c r="A413" s="16">
        <v>46018</v>
      </c>
      <c r="B413" s="5" t="s">
        <v>568</v>
      </c>
      <c r="C413" s="3">
        <v>178</v>
      </c>
      <c r="D413" s="6" t="s">
        <v>265</v>
      </c>
      <c r="E413" s="2">
        <v>46023</v>
      </c>
      <c r="F413" s="2">
        <v>46023</v>
      </c>
      <c r="G413" s="4">
        <v>1</v>
      </c>
      <c r="H413" s="15">
        <v>50</v>
      </c>
      <c r="Q413" s="44"/>
    </row>
    <row r="414" spans="1:17">
      <c r="A414" s="16">
        <v>46048</v>
      </c>
      <c r="B414" s="5" t="s">
        <v>569</v>
      </c>
      <c r="C414" s="3">
        <v>178</v>
      </c>
      <c r="D414" s="6" t="s">
        <v>265</v>
      </c>
      <c r="E414" s="2">
        <v>46054</v>
      </c>
      <c r="F414" s="2">
        <v>46054</v>
      </c>
      <c r="G414" s="4">
        <v>1</v>
      </c>
      <c r="H414" s="15">
        <v>50</v>
      </c>
      <c r="Q414" s="44"/>
    </row>
    <row r="415" spans="1:17">
      <c r="A415" s="16">
        <v>46074</v>
      </c>
      <c r="B415" s="5" t="s">
        <v>570</v>
      </c>
      <c r="C415" s="3">
        <v>178</v>
      </c>
      <c r="D415" s="6" t="s">
        <v>265</v>
      </c>
      <c r="E415" s="2">
        <v>46082</v>
      </c>
      <c r="F415" s="2">
        <v>46113</v>
      </c>
      <c r="G415" s="4">
        <v>2</v>
      </c>
      <c r="H415" s="15">
        <v>100</v>
      </c>
      <c r="Q415" s="44"/>
    </row>
    <row r="416" spans="1:17">
      <c r="A416" s="16">
        <v>46118</v>
      </c>
      <c r="B416" s="5" t="s">
        <v>760</v>
      </c>
      <c r="C416" s="3">
        <v>178</v>
      </c>
      <c r="D416" s="6" t="s">
        <v>265</v>
      </c>
      <c r="E416" s="2">
        <v>46143</v>
      </c>
      <c r="F416" s="2">
        <v>46174</v>
      </c>
      <c r="G416" s="4">
        <v>2</v>
      </c>
      <c r="H416" s="15">
        <v>100</v>
      </c>
      <c r="Q416" s="44"/>
    </row>
    <row r="417" spans="1:17">
      <c r="A417" s="16">
        <v>45734</v>
      </c>
      <c r="B417" s="5" t="s">
        <v>571</v>
      </c>
      <c r="C417" s="3">
        <v>180</v>
      </c>
      <c r="D417" s="6" t="s">
        <v>268</v>
      </c>
      <c r="E417" s="2">
        <v>45658</v>
      </c>
      <c r="F417" s="2">
        <v>45717</v>
      </c>
      <c r="G417" s="4">
        <v>3</v>
      </c>
      <c r="H417" s="15">
        <v>150</v>
      </c>
      <c r="Q417" s="44"/>
    </row>
    <row r="418" spans="1:17">
      <c r="A418" s="16">
        <v>45851</v>
      </c>
      <c r="B418" s="5" t="s">
        <v>572</v>
      </c>
      <c r="C418" s="3">
        <v>180</v>
      </c>
      <c r="D418" s="6" t="s">
        <v>268</v>
      </c>
      <c r="E418" s="2">
        <v>45748</v>
      </c>
      <c r="F418" s="2">
        <v>45809</v>
      </c>
      <c r="G418" s="4">
        <v>3</v>
      </c>
      <c r="H418" s="15">
        <v>150</v>
      </c>
      <c r="Q418" s="44"/>
    </row>
    <row r="419" spans="1:17">
      <c r="A419" s="94">
        <v>45936</v>
      </c>
      <c r="B419" s="95" t="s">
        <v>573</v>
      </c>
      <c r="C419" s="96">
        <v>180</v>
      </c>
      <c r="D419" s="97" t="s">
        <v>268</v>
      </c>
      <c r="E419" s="98">
        <v>45839</v>
      </c>
      <c r="F419" s="98">
        <v>45901</v>
      </c>
      <c r="G419" s="99">
        <v>3</v>
      </c>
      <c r="H419" s="100">
        <v>150</v>
      </c>
      <c r="Q419" s="44"/>
    </row>
    <row r="420" spans="1:17">
      <c r="A420" s="16">
        <v>46118</v>
      </c>
      <c r="B420" s="5" t="s">
        <v>765</v>
      </c>
      <c r="C420" s="3">
        <v>180</v>
      </c>
      <c r="D420" s="6" t="s">
        <v>268</v>
      </c>
      <c r="E420" s="2">
        <v>45931</v>
      </c>
      <c r="F420" s="2">
        <v>45992</v>
      </c>
      <c r="G420" s="4">
        <v>3</v>
      </c>
      <c r="H420" s="15">
        <v>150</v>
      </c>
      <c r="Q420" s="44"/>
    </row>
    <row r="421" spans="1:17">
      <c r="A421" s="16">
        <v>46143</v>
      </c>
      <c r="B421" s="5" t="s">
        <v>781</v>
      </c>
      <c r="C421" s="3">
        <v>180</v>
      </c>
      <c r="D421" s="6" t="s">
        <v>268</v>
      </c>
      <c r="E421" s="2">
        <v>46023</v>
      </c>
      <c r="F421" s="2">
        <v>46082</v>
      </c>
      <c r="G421" s="4">
        <v>3</v>
      </c>
      <c r="H421" s="15">
        <v>150</v>
      </c>
    </row>
    <row r="422" spans="1:17">
      <c r="A422" s="16">
        <v>45677</v>
      </c>
      <c r="B422" s="5" t="s">
        <v>574</v>
      </c>
      <c r="C422" s="3">
        <v>181</v>
      </c>
      <c r="D422" s="6" t="s">
        <v>269</v>
      </c>
      <c r="E422" s="2">
        <v>45658</v>
      </c>
      <c r="F422" s="2">
        <v>45689</v>
      </c>
      <c r="G422" s="4">
        <v>2</v>
      </c>
      <c r="H422" s="15">
        <v>100</v>
      </c>
    </row>
    <row r="423" spans="1:17">
      <c r="A423" s="16">
        <v>45719</v>
      </c>
      <c r="B423" s="5" t="s">
        <v>575</v>
      </c>
      <c r="C423" s="3">
        <v>181</v>
      </c>
      <c r="D423" s="6" t="s">
        <v>269</v>
      </c>
      <c r="E423" s="2">
        <v>45717</v>
      </c>
      <c r="F423" s="2">
        <v>45748</v>
      </c>
      <c r="G423" s="4">
        <v>2</v>
      </c>
      <c r="H423" s="15">
        <v>100</v>
      </c>
    </row>
    <row r="424" spans="1:17">
      <c r="A424" s="16">
        <v>45799</v>
      </c>
      <c r="B424" s="5" t="s">
        <v>576</v>
      </c>
      <c r="C424" s="3">
        <v>181</v>
      </c>
      <c r="D424" s="6" t="s">
        <v>269</v>
      </c>
      <c r="E424" s="2">
        <v>45778</v>
      </c>
      <c r="F424" s="2">
        <v>45809</v>
      </c>
      <c r="G424" s="4">
        <v>2</v>
      </c>
      <c r="H424" s="15">
        <v>100</v>
      </c>
    </row>
    <row r="425" spans="1:17">
      <c r="A425" s="16">
        <v>45863</v>
      </c>
      <c r="B425" s="5" t="s">
        <v>577</v>
      </c>
      <c r="C425" s="3">
        <v>181</v>
      </c>
      <c r="D425" s="6" t="s">
        <v>269</v>
      </c>
      <c r="E425" s="2">
        <v>45839</v>
      </c>
      <c r="F425" s="2">
        <v>45870</v>
      </c>
      <c r="G425" s="4">
        <v>2</v>
      </c>
      <c r="H425" s="15">
        <v>100</v>
      </c>
    </row>
    <row r="426" spans="1:17">
      <c r="A426" s="16">
        <v>46002</v>
      </c>
      <c r="B426" s="5" t="s">
        <v>578</v>
      </c>
      <c r="C426" s="3">
        <v>181</v>
      </c>
      <c r="D426" s="6" t="s">
        <v>269</v>
      </c>
      <c r="E426" s="2">
        <v>45962</v>
      </c>
      <c r="F426" s="2">
        <v>45992</v>
      </c>
      <c r="G426" s="4">
        <v>2</v>
      </c>
      <c r="H426" s="15">
        <v>100</v>
      </c>
    </row>
    <row r="427" spans="1:17">
      <c r="A427" s="16">
        <v>46025</v>
      </c>
      <c r="B427" s="5" t="s">
        <v>579</v>
      </c>
      <c r="C427" s="3">
        <v>181</v>
      </c>
      <c r="D427" s="6" t="s">
        <v>269</v>
      </c>
      <c r="E427" s="2">
        <v>46023</v>
      </c>
      <c r="F427" s="2">
        <v>46054</v>
      </c>
      <c r="G427" s="4">
        <v>2</v>
      </c>
      <c r="H427" s="15">
        <v>100</v>
      </c>
    </row>
    <row r="428" spans="1:17">
      <c r="A428" s="16">
        <v>46070</v>
      </c>
      <c r="B428" s="5" t="s">
        <v>580</v>
      </c>
      <c r="C428" s="3">
        <v>181</v>
      </c>
      <c r="D428" s="6" t="s">
        <v>269</v>
      </c>
      <c r="E428" s="2">
        <v>46082</v>
      </c>
      <c r="F428" s="2">
        <v>46113</v>
      </c>
      <c r="G428" s="4">
        <v>2</v>
      </c>
      <c r="H428" s="15">
        <v>100</v>
      </c>
    </row>
    <row r="429" spans="1:17">
      <c r="A429" s="16">
        <v>46128</v>
      </c>
      <c r="B429" s="5" t="s">
        <v>771</v>
      </c>
      <c r="C429" s="3">
        <v>181</v>
      </c>
      <c r="D429" s="6" t="s">
        <v>269</v>
      </c>
      <c r="E429" s="2">
        <v>46143</v>
      </c>
      <c r="F429" s="2">
        <v>46174</v>
      </c>
      <c r="G429" s="4">
        <v>2</v>
      </c>
      <c r="H429" s="15">
        <v>100</v>
      </c>
    </row>
    <row r="430" spans="1:17">
      <c r="A430" s="16">
        <v>45692</v>
      </c>
      <c r="B430" s="5" t="s">
        <v>581</v>
      </c>
      <c r="C430" s="3">
        <v>183</v>
      </c>
      <c r="D430" s="6" t="s">
        <v>274</v>
      </c>
      <c r="E430" s="2">
        <v>45658</v>
      </c>
      <c r="F430" s="2">
        <v>45778</v>
      </c>
      <c r="G430" s="4">
        <v>5</v>
      </c>
      <c r="H430" s="15">
        <v>250</v>
      </c>
    </row>
    <row r="431" spans="1:17">
      <c r="A431" s="16">
        <v>45793</v>
      </c>
      <c r="B431" s="5" t="s">
        <v>582</v>
      </c>
      <c r="C431" s="3">
        <v>183</v>
      </c>
      <c r="D431" s="6" t="s">
        <v>274</v>
      </c>
      <c r="E431" s="2">
        <v>45809</v>
      </c>
      <c r="F431" s="2">
        <v>45992</v>
      </c>
      <c r="G431" s="4">
        <v>7</v>
      </c>
      <c r="H431" s="15">
        <v>350</v>
      </c>
    </row>
    <row r="432" spans="1:17">
      <c r="A432" s="16">
        <v>46066</v>
      </c>
      <c r="B432" s="5" t="s">
        <v>583</v>
      </c>
      <c r="C432" s="3">
        <v>183</v>
      </c>
      <c r="D432" s="6" t="s">
        <v>274</v>
      </c>
      <c r="E432" s="2">
        <v>46023</v>
      </c>
      <c r="F432" s="2">
        <v>46174</v>
      </c>
      <c r="G432" s="4">
        <v>6</v>
      </c>
      <c r="H432" s="15">
        <v>300</v>
      </c>
    </row>
    <row r="433" spans="1:8">
      <c r="A433" s="16">
        <v>45647</v>
      </c>
      <c r="B433" s="5" t="s">
        <v>584</v>
      </c>
      <c r="C433" s="3">
        <v>184</v>
      </c>
      <c r="D433" s="6" t="s">
        <v>276</v>
      </c>
      <c r="E433" s="2">
        <v>45597</v>
      </c>
      <c r="F433" s="2">
        <v>45658</v>
      </c>
      <c r="G433" s="4">
        <v>3</v>
      </c>
      <c r="H433" s="15">
        <v>150</v>
      </c>
    </row>
    <row r="434" spans="1:8">
      <c r="A434" s="16">
        <v>45696</v>
      </c>
      <c r="B434" s="5" t="s">
        <v>585</v>
      </c>
      <c r="C434" s="3">
        <v>184</v>
      </c>
      <c r="D434" s="6" t="s">
        <v>276</v>
      </c>
      <c r="E434" s="2">
        <v>45689</v>
      </c>
      <c r="F434" s="2">
        <v>45689</v>
      </c>
      <c r="G434" s="4">
        <v>1</v>
      </c>
      <c r="H434" s="15">
        <v>50</v>
      </c>
    </row>
    <row r="435" spans="1:8">
      <c r="A435" s="16">
        <v>45734</v>
      </c>
      <c r="B435" s="5" t="s">
        <v>586</v>
      </c>
      <c r="C435" s="3">
        <v>184</v>
      </c>
      <c r="D435" s="6" t="s">
        <v>276</v>
      </c>
      <c r="E435" s="2">
        <v>45717</v>
      </c>
      <c r="F435" s="2">
        <v>45717</v>
      </c>
      <c r="G435" s="4">
        <v>1</v>
      </c>
      <c r="H435" s="15">
        <v>50</v>
      </c>
    </row>
    <row r="436" spans="1:8">
      <c r="A436" s="16">
        <v>45801</v>
      </c>
      <c r="B436" s="5" t="s">
        <v>587</v>
      </c>
      <c r="C436" s="3">
        <v>184</v>
      </c>
      <c r="D436" s="6" t="s">
        <v>276</v>
      </c>
      <c r="E436" s="2">
        <v>45748</v>
      </c>
      <c r="F436" s="2">
        <v>45839</v>
      </c>
      <c r="G436" s="4">
        <v>4</v>
      </c>
      <c r="H436" s="15">
        <v>200</v>
      </c>
    </row>
    <row r="437" spans="1:8">
      <c r="A437" s="16">
        <v>45899</v>
      </c>
      <c r="B437" s="5" t="s">
        <v>588</v>
      </c>
      <c r="C437" s="3">
        <v>184</v>
      </c>
      <c r="D437" s="6" t="s">
        <v>276</v>
      </c>
      <c r="E437" s="2">
        <v>45870</v>
      </c>
      <c r="F437" s="2">
        <v>45931</v>
      </c>
      <c r="G437" s="4">
        <v>3</v>
      </c>
      <c r="H437" s="15">
        <v>150</v>
      </c>
    </row>
    <row r="438" spans="1:8">
      <c r="A438" s="16">
        <v>46018</v>
      </c>
      <c r="B438" s="5" t="s">
        <v>589</v>
      </c>
      <c r="C438" s="3">
        <v>184</v>
      </c>
      <c r="D438" s="6" t="s">
        <v>276</v>
      </c>
      <c r="E438" s="2">
        <v>45962</v>
      </c>
      <c r="F438" s="2">
        <v>45992</v>
      </c>
      <c r="G438" s="4">
        <v>2</v>
      </c>
      <c r="H438" s="15">
        <v>100</v>
      </c>
    </row>
    <row r="439" spans="1:8">
      <c r="A439" s="16">
        <v>46060</v>
      </c>
      <c r="B439" s="5" t="s">
        <v>590</v>
      </c>
      <c r="C439" s="3">
        <v>184</v>
      </c>
      <c r="D439" s="6" t="s">
        <v>276</v>
      </c>
      <c r="E439" s="2">
        <v>46023</v>
      </c>
      <c r="F439" s="2">
        <v>46054</v>
      </c>
      <c r="G439" s="4">
        <v>2</v>
      </c>
      <c r="H439" s="15">
        <v>100</v>
      </c>
    </row>
    <row r="440" spans="1:8">
      <c r="A440" s="16">
        <v>46151</v>
      </c>
      <c r="B440" s="5" t="s">
        <v>787</v>
      </c>
      <c r="C440" s="3">
        <v>184</v>
      </c>
      <c r="D440" s="6" t="s">
        <v>276</v>
      </c>
      <c r="E440" s="2">
        <v>46082</v>
      </c>
      <c r="F440" s="2">
        <v>46174</v>
      </c>
      <c r="G440" s="4">
        <v>4</v>
      </c>
      <c r="H440" s="15">
        <v>200</v>
      </c>
    </row>
    <row r="441" spans="1:8">
      <c r="A441" s="16">
        <v>45637</v>
      </c>
      <c r="B441" s="5" t="s">
        <v>591</v>
      </c>
      <c r="C441" s="3">
        <v>185</v>
      </c>
      <c r="D441" s="6" t="s">
        <v>278</v>
      </c>
      <c r="E441" s="2">
        <v>45536</v>
      </c>
      <c r="F441" s="2">
        <v>45627</v>
      </c>
      <c r="G441" s="4">
        <v>4</v>
      </c>
      <c r="H441" s="15">
        <v>200</v>
      </c>
    </row>
    <row r="442" spans="1:8">
      <c r="A442" s="16">
        <v>45680</v>
      </c>
      <c r="B442" s="5" t="s">
        <v>592</v>
      </c>
      <c r="C442" s="3">
        <v>185</v>
      </c>
      <c r="D442" s="6" t="s">
        <v>278</v>
      </c>
      <c r="E442" s="2">
        <v>45658</v>
      </c>
      <c r="F442" s="2">
        <v>45689</v>
      </c>
      <c r="G442" s="4">
        <v>2</v>
      </c>
      <c r="H442" s="15">
        <v>100</v>
      </c>
    </row>
    <row r="443" spans="1:8">
      <c r="A443" s="16">
        <v>45769</v>
      </c>
      <c r="B443" s="5" t="s">
        <v>593</v>
      </c>
      <c r="C443" s="3">
        <v>185</v>
      </c>
      <c r="D443" s="6" t="s">
        <v>278</v>
      </c>
      <c r="E443" s="2">
        <v>45717</v>
      </c>
      <c r="F443" s="2">
        <v>45809</v>
      </c>
      <c r="G443" s="4">
        <v>4</v>
      </c>
      <c r="H443" s="15">
        <v>200</v>
      </c>
    </row>
    <row r="444" spans="1:8">
      <c r="A444" s="16">
        <v>45842</v>
      </c>
      <c r="B444" s="5" t="s">
        <v>594</v>
      </c>
      <c r="C444" s="3">
        <v>185</v>
      </c>
      <c r="D444" s="6" t="s">
        <v>278</v>
      </c>
      <c r="E444" s="2">
        <v>45839</v>
      </c>
      <c r="F444" s="2">
        <v>45901</v>
      </c>
      <c r="G444" s="4">
        <v>3</v>
      </c>
      <c r="H444" s="15">
        <v>150</v>
      </c>
    </row>
    <row r="445" spans="1:8">
      <c r="A445" s="16">
        <v>45910</v>
      </c>
      <c r="B445" s="5" t="s">
        <v>595</v>
      </c>
      <c r="C445" s="3">
        <v>185</v>
      </c>
      <c r="D445" s="6" t="s">
        <v>278</v>
      </c>
      <c r="E445" s="2">
        <v>45931</v>
      </c>
      <c r="F445" s="2">
        <v>45962</v>
      </c>
      <c r="G445" s="4">
        <v>2</v>
      </c>
      <c r="H445" s="15">
        <v>100</v>
      </c>
    </row>
    <row r="446" spans="1:8">
      <c r="A446" s="16">
        <v>46037</v>
      </c>
      <c r="B446" s="5" t="s">
        <v>596</v>
      </c>
      <c r="C446" s="3">
        <v>185</v>
      </c>
      <c r="D446" s="6" t="s">
        <v>278</v>
      </c>
      <c r="E446" s="2">
        <v>45992</v>
      </c>
      <c r="F446" s="2">
        <v>45992</v>
      </c>
      <c r="G446" s="4">
        <v>1</v>
      </c>
      <c r="H446" s="15">
        <v>50</v>
      </c>
    </row>
    <row r="447" spans="1:8">
      <c r="A447" s="16">
        <v>46037</v>
      </c>
      <c r="B447" s="5" t="s">
        <v>597</v>
      </c>
      <c r="C447" s="3">
        <v>185</v>
      </c>
      <c r="D447" s="6" t="s">
        <v>278</v>
      </c>
      <c r="E447" s="2">
        <v>46023</v>
      </c>
      <c r="F447" s="2">
        <v>46082</v>
      </c>
      <c r="G447" s="4">
        <v>3</v>
      </c>
      <c r="H447" s="15">
        <v>150</v>
      </c>
    </row>
    <row r="448" spans="1:8">
      <c r="A448" s="16">
        <v>45668</v>
      </c>
      <c r="B448" s="5" t="s">
        <v>598</v>
      </c>
      <c r="C448" s="3">
        <v>186</v>
      </c>
      <c r="D448" s="6" t="s">
        <v>280</v>
      </c>
      <c r="E448" s="2">
        <v>45658</v>
      </c>
      <c r="F448" s="2">
        <v>45689</v>
      </c>
      <c r="G448" s="4">
        <v>2</v>
      </c>
      <c r="H448" s="15">
        <v>100</v>
      </c>
    </row>
    <row r="449" spans="1:8">
      <c r="A449" s="16">
        <v>45717</v>
      </c>
      <c r="B449" s="5" t="s">
        <v>599</v>
      </c>
      <c r="C449" s="3">
        <v>186</v>
      </c>
      <c r="D449" s="6" t="s">
        <v>280</v>
      </c>
      <c r="E449" s="2">
        <v>45717</v>
      </c>
      <c r="F449" s="2">
        <v>45748</v>
      </c>
      <c r="G449" s="4">
        <v>2</v>
      </c>
      <c r="H449" s="15">
        <v>100</v>
      </c>
    </row>
    <row r="450" spans="1:8">
      <c r="A450" s="16">
        <v>45787</v>
      </c>
      <c r="B450" s="5" t="s">
        <v>600</v>
      </c>
      <c r="C450" s="3">
        <v>186</v>
      </c>
      <c r="D450" s="6" t="s">
        <v>280</v>
      </c>
      <c r="E450" s="2">
        <v>45778</v>
      </c>
      <c r="F450" s="2">
        <v>45809</v>
      </c>
      <c r="G450" s="4">
        <v>2</v>
      </c>
      <c r="H450" s="15">
        <v>100</v>
      </c>
    </row>
    <row r="451" spans="1:8">
      <c r="A451" s="16">
        <v>45843</v>
      </c>
      <c r="B451" s="5" t="s">
        <v>601</v>
      </c>
      <c r="C451" s="3">
        <v>186</v>
      </c>
      <c r="D451" s="6" t="s">
        <v>280</v>
      </c>
      <c r="E451" s="2">
        <v>45839</v>
      </c>
      <c r="F451" s="2">
        <v>45870</v>
      </c>
      <c r="G451" s="4">
        <v>2</v>
      </c>
      <c r="H451" s="15">
        <v>100</v>
      </c>
    </row>
    <row r="452" spans="1:8">
      <c r="A452" s="16">
        <v>45906</v>
      </c>
      <c r="B452" s="5" t="s">
        <v>602</v>
      </c>
      <c r="C452" s="3">
        <v>186</v>
      </c>
      <c r="D452" s="6" t="s">
        <v>280</v>
      </c>
      <c r="E452" s="2">
        <v>45901</v>
      </c>
      <c r="F452" s="2">
        <v>45931</v>
      </c>
      <c r="G452" s="4">
        <v>2</v>
      </c>
      <c r="H452" s="15">
        <v>100</v>
      </c>
    </row>
    <row r="453" spans="1:8">
      <c r="A453" s="16">
        <v>45969</v>
      </c>
      <c r="B453" s="5" t="s">
        <v>603</v>
      </c>
      <c r="C453" s="3">
        <v>186</v>
      </c>
      <c r="D453" s="6" t="s">
        <v>280</v>
      </c>
      <c r="E453" s="2">
        <v>45962</v>
      </c>
      <c r="F453" s="2">
        <v>45992</v>
      </c>
      <c r="G453" s="4">
        <v>2</v>
      </c>
      <c r="H453" s="15">
        <v>100</v>
      </c>
    </row>
    <row r="454" spans="1:8">
      <c r="A454" s="16">
        <v>46060</v>
      </c>
      <c r="B454" s="5" t="s">
        <v>604</v>
      </c>
      <c r="C454" s="3">
        <v>186</v>
      </c>
      <c r="D454" s="6" t="s">
        <v>280</v>
      </c>
      <c r="E454" s="2">
        <v>46023</v>
      </c>
      <c r="F454" s="2">
        <v>46113</v>
      </c>
      <c r="G454" s="4">
        <v>4</v>
      </c>
      <c r="H454" s="15">
        <v>200</v>
      </c>
    </row>
    <row r="455" spans="1:8">
      <c r="A455" s="16">
        <v>46151</v>
      </c>
      <c r="B455" s="5" t="s">
        <v>788</v>
      </c>
      <c r="C455" s="3">
        <v>186</v>
      </c>
      <c r="D455" s="6" t="s">
        <v>280</v>
      </c>
      <c r="E455" s="2">
        <v>46143</v>
      </c>
      <c r="F455" s="2">
        <v>46174</v>
      </c>
      <c r="G455" s="4">
        <v>2</v>
      </c>
      <c r="H455" s="15">
        <v>100</v>
      </c>
    </row>
    <row r="456" spans="1:8">
      <c r="A456" s="16">
        <v>45671</v>
      </c>
      <c r="B456" s="5" t="s">
        <v>605</v>
      </c>
      <c r="C456" s="3">
        <v>188</v>
      </c>
      <c r="D456" s="6" t="s">
        <v>284</v>
      </c>
      <c r="E456" s="2">
        <v>45658</v>
      </c>
      <c r="F456" s="2">
        <v>45992</v>
      </c>
      <c r="G456" s="4">
        <v>12</v>
      </c>
      <c r="H456" s="15">
        <v>600</v>
      </c>
    </row>
    <row r="457" spans="1:8">
      <c r="A457" s="16">
        <v>46096</v>
      </c>
      <c r="B457" s="5" t="s">
        <v>606</v>
      </c>
      <c r="C457" s="3">
        <v>188</v>
      </c>
      <c r="D457" s="6" t="s">
        <v>284</v>
      </c>
      <c r="E457" s="2">
        <v>46023</v>
      </c>
      <c r="F457" s="2">
        <v>46174</v>
      </c>
      <c r="G457" s="4">
        <v>6</v>
      </c>
      <c r="H457" s="15">
        <v>300</v>
      </c>
    </row>
    <row r="458" spans="1:8">
      <c r="A458" s="16">
        <v>46151</v>
      </c>
      <c r="B458" s="5" t="s">
        <v>785</v>
      </c>
      <c r="C458" s="3">
        <v>188</v>
      </c>
      <c r="D458" s="6" t="s">
        <v>284</v>
      </c>
      <c r="E458" s="2">
        <v>46204</v>
      </c>
      <c r="F458" s="2">
        <v>46357</v>
      </c>
      <c r="G458" s="4">
        <v>6</v>
      </c>
      <c r="H458" s="15">
        <v>300</v>
      </c>
    </row>
    <row r="459" spans="1:8">
      <c r="A459" s="16">
        <v>45661</v>
      </c>
      <c r="B459" s="5" t="s">
        <v>607</v>
      </c>
      <c r="C459" s="3">
        <v>189</v>
      </c>
      <c r="D459" s="6" t="s">
        <v>286</v>
      </c>
      <c r="E459" s="2">
        <v>45658</v>
      </c>
      <c r="F459" s="2">
        <v>45992</v>
      </c>
      <c r="G459" s="4">
        <v>12</v>
      </c>
      <c r="H459" s="15">
        <v>600</v>
      </c>
    </row>
    <row r="460" spans="1:8">
      <c r="A460" s="16">
        <v>46025</v>
      </c>
      <c r="B460" s="5" t="s">
        <v>608</v>
      </c>
      <c r="C460" s="3">
        <v>189</v>
      </c>
      <c r="D460" s="6" t="s">
        <v>286</v>
      </c>
      <c r="E460" s="2">
        <v>46023</v>
      </c>
      <c r="F460" s="2">
        <v>46357</v>
      </c>
      <c r="G460" s="4">
        <v>12</v>
      </c>
      <c r="H460" s="15">
        <v>600</v>
      </c>
    </row>
    <row r="461" spans="1:8">
      <c r="A461" s="16">
        <v>45686</v>
      </c>
      <c r="B461" s="5" t="s">
        <v>609</v>
      </c>
      <c r="C461" s="3">
        <v>191</v>
      </c>
      <c r="D461" s="6" t="s">
        <v>291</v>
      </c>
      <c r="E461" s="2">
        <v>45658</v>
      </c>
      <c r="F461" s="2">
        <v>45992</v>
      </c>
      <c r="G461" s="4">
        <v>12</v>
      </c>
      <c r="H461" s="15">
        <v>600</v>
      </c>
    </row>
    <row r="462" spans="1:8">
      <c r="A462" s="16">
        <v>46085</v>
      </c>
      <c r="B462" s="5" t="s">
        <v>610</v>
      </c>
      <c r="C462" s="3">
        <v>191</v>
      </c>
      <c r="D462" s="6" t="s">
        <v>291</v>
      </c>
      <c r="E462" s="2">
        <v>46023</v>
      </c>
      <c r="F462" s="2">
        <v>46174</v>
      </c>
      <c r="G462" s="4">
        <v>6</v>
      </c>
      <c r="H462" s="15">
        <v>300</v>
      </c>
    </row>
    <row r="463" spans="1:8">
      <c r="A463" s="16">
        <v>45660</v>
      </c>
      <c r="B463" s="5" t="s">
        <v>611</v>
      </c>
      <c r="C463" s="3">
        <v>192</v>
      </c>
      <c r="D463" s="6" t="s">
        <v>293</v>
      </c>
      <c r="E463" s="2">
        <v>45658</v>
      </c>
      <c r="F463" s="2">
        <v>45992</v>
      </c>
      <c r="G463" s="4">
        <v>12</v>
      </c>
      <c r="H463" s="15">
        <v>600</v>
      </c>
    </row>
    <row r="464" spans="1:8">
      <c r="A464" s="16">
        <v>46081</v>
      </c>
      <c r="B464" s="5" t="s">
        <v>612</v>
      </c>
      <c r="C464" s="3">
        <v>192</v>
      </c>
      <c r="D464" s="6" t="s">
        <v>293</v>
      </c>
      <c r="E464" s="2">
        <v>46023</v>
      </c>
      <c r="F464" s="2">
        <v>46174</v>
      </c>
      <c r="G464" s="4">
        <v>6</v>
      </c>
      <c r="H464" s="15">
        <v>300</v>
      </c>
    </row>
    <row r="465" spans="1:8">
      <c r="A465" s="16">
        <v>46086</v>
      </c>
      <c r="B465" s="5" t="s">
        <v>613</v>
      </c>
      <c r="C465" s="3">
        <v>192</v>
      </c>
      <c r="D465" s="6" t="s">
        <v>293</v>
      </c>
      <c r="E465" s="2">
        <v>46204</v>
      </c>
      <c r="F465" s="2">
        <v>46357</v>
      </c>
      <c r="G465" s="4">
        <v>6</v>
      </c>
      <c r="H465" s="15">
        <v>300</v>
      </c>
    </row>
    <row r="466" spans="1:8">
      <c r="A466" s="16">
        <v>45640</v>
      </c>
      <c r="B466" s="5" t="s">
        <v>614</v>
      </c>
      <c r="C466" s="3">
        <v>193</v>
      </c>
      <c r="D466" s="6" t="s">
        <v>294</v>
      </c>
      <c r="E466" s="2">
        <v>45566</v>
      </c>
      <c r="F466" s="2">
        <v>45627</v>
      </c>
      <c r="G466" s="4">
        <v>3</v>
      </c>
      <c r="H466" s="15">
        <v>150</v>
      </c>
    </row>
    <row r="467" spans="1:8">
      <c r="A467" s="16">
        <v>45936</v>
      </c>
      <c r="B467" s="5" t="s">
        <v>717</v>
      </c>
      <c r="C467" s="3">
        <v>193</v>
      </c>
      <c r="D467" s="6" t="s">
        <v>294</v>
      </c>
      <c r="E467" s="2">
        <v>45658</v>
      </c>
      <c r="F467" s="2">
        <v>45809</v>
      </c>
      <c r="G467" s="4">
        <v>6</v>
      </c>
      <c r="H467" s="15">
        <v>300</v>
      </c>
    </row>
    <row r="468" spans="1:8">
      <c r="A468" s="16">
        <v>46079</v>
      </c>
      <c r="C468" s="3">
        <v>193</v>
      </c>
      <c r="D468" s="6" t="s">
        <v>294</v>
      </c>
      <c r="E468" s="2">
        <v>45839</v>
      </c>
      <c r="F468" s="2">
        <v>45992</v>
      </c>
      <c r="G468" s="4">
        <v>6</v>
      </c>
      <c r="H468" s="15">
        <v>300</v>
      </c>
    </row>
    <row r="469" spans="1:8">
      <c r="A469" s="16">
        <v>46156</v>
      </c>
      <c r="C469" s="3">
        <v>193</v>
      </c>
      <c r="D469" s="6" t="s">
        <v>294</v>
      </c>
      <c r="E469" s="2">
        <v>46023</v>
      </c>
      <c r="F469" s="2">
        <v>46174</v>
      </c>
      <c r="G469" s="4">
        <v>6</v>
      </c>
      <c r="H469" s="15">
        <v>300</v>
      </c>
    </row>
    <row r="470" spans="1:8">
      <c r="A470" s="16">
        <v>44921</v>
      </c>
      <c r="B470" s="5" t="s">
        <v>615</v>
      </c>
      <c r="C470" s="3">
        <v>194</v>
      </c>
      <c r="D470" s="6" t="s">
        <v>295</v>
      </c>
      <c r="E470" s="2">
        <v>45658</v>
      </c>
      <c r="F470" s="2">
        <v>45992</v>
      </c>
      <c r="G470" s="4">
        <v>12</v>
      </c>
      <c r="H470" s="15">
        <v>600</v>
      </c>
    </row>
    <row r="471" spans="1:8">
      <c r="A471" s="16">
        <v>46027</v>
      </c>
      <c r="B471" s="5" t="s">
        <v>616</v>
      </c>
      <c r="C471" s="3">
        <v>194</v>
      </c>
      <c r="D471" s="6" t="s">
        <v>295</v>
      </c>
      <c r="E471" s="2">
        <v>46023</v>
      </c>
      <c r="F471" s="2">
        <v>46113</v>
      </c>
      <c r="G471" s="4">
        <v>4</v>
      </c>
      <c r="H471" s="15">
        <v>200</v>
      </c>
    </row>
    <row r="472" spans="1:8">
      <c r="A472" s="16">
        <v>46107</v>
      </c>
      <c r="B472" s="5" t="s">
        <v>617</v>
      </c>
      <c r="C472" s="3">
        <v>194</v>
      </c>
      <c r="D472" s="6" t="s">
        <v>295</v>
      </c>
      <c r="E472" s="2">
        <v>46143</v>
      </c>
      <c r="F472" s="2">
        <v>46235</v>
      </c>
      <c r="G472" s="4">
        <v>4</v>
      </c>
      <c r="H472" s="15">
        <v>200</v>
      </c>
    </row>
    <row r="473" spans="1:8">
      <c r="A473" s="16">
        <v>45711</v>
      </c>
      <c r="B473" s="5" t="s">
        <v>618</v>
      </c>
      <c r="C473" s="3">
        <v>195</v>
      </c>
      <c r="D473" s="6" t="s">
        <v>619</v>
      </c>
      <c r="E473" s="2">
        <v>45658</v>
      </c>
      <c r="F473" s="2">
        <v>45992</v>
      </c>
      <c r="G473" s="4">
        <v>12</v>
      </c>
      <c r="H473" s="15">
        <v>600</v>
      </c>
    </row>
    <row r="474" spans="1:8">
      <c r="A474" s="16">
        <v>46055</v>
      </c>
      <c r="B474" s="5" t="s">
        <v>620</v>
      </c>
      <c r="C474" s="3">
        <v>195</v>
      </c>
      <c r="D474" s="6" t="s">
        <v>296</v>
      </c>
      <c r="E474" s="2">
        <v>46023</v>
      </c>
      <c r="F474" s="2">
        <v>46113</v>
      </c>
      <c r="G474" s="4">
        <v>4</v>
      </c>
      <c r="H474" s="15">
        <v>200</v>
      </c>
    </row>
    <row r="475" spans="1:8">
      <c r="A475" s="16">
        <v>46107</v>
      </c>
      <c r="B475" s="5" t="s">
        <v>621</v>
      </c>
      <c r="C475" s="3">
        <v>195</v>
      </c>
      <c r="D475" s="6" t="s">
        <v>296</v>
      </c>
      <c r="E475" s="2">
        <v>46143</v>
      </c>
      <c r="F475" s="2">
        <v>46235</v>
      </c>
      <c r="G475" s="4">
        <v>4</v>
      </c>
      <c r="H475" s="15">
        <v>200</v>
      </c>
    </row>
    <row r="476" spans="1:8">
      <c r="A476" s="16">
        <v>46143</v>
      </c>
      <c r="B476" s="5" t="s">
        <v>777</v>
      </c>
      <c r="C476" s="3">
        <v>195</v>
      </c>
      <c r="D476" s="6" t="s">
        <v>296</v>
      </c>
      <c r="E476" s="2">
        <v>46266</v>
      </c>
      <c r="F476" s="2">
        <v>46357</v>
      </c>
      <c r="G476" s="4">
        <v>4</v>
      </c>
      <c r="H476" s="15">
        <v>200</v>
      </c>
    </row>
    <row r="477" spans="1:8">
      <c r="A477" s="16">
        <v>45629</v>
      </c>
      <c r="B477" s="5" t="s">
        <v>622</v>
      </c>
      <c r="C477" s="3">
        <v>199</v>
      </c>
      <c r="D477" s="6" t="s">
        <v>305</v>
      </c>
      <c r="E477" s="2">
        <v>45536</v>
      </c>
      <c r="F477" s="2">
        <v>45627</v>
      </c>
      <c r="G477" s="4">
        <v>4</v>
      </c>
      <c r="H477" s="15">
        <v>200</v>
      </c>
    </row>
    <row r="478" spans="1:8">
      <c r="A478" s="52">
        <v>45694</v>
      </c>
      <c r="B478" s="53" t="s">
        <v>623</v>
      </c>
      <c r="C478" s="54">
        <v>199</v>
      </c>
      <c r="D478" s="55" t="s">
        <v>305</v>
      </c>
      <c r="E478" s="56">
        <v>45658</v>
      </c>
      <c r="F478" s="56">
        <v>45689</v>
      </c>
      <c r="G478" s="57">
        <v>2</v>
      </c>
      <c r="H478" s="58">
        <v>100</v>
      </c>
    </row>
    <row r="479" spans="1:8">
      <c r="A479" s="16">
        <v>45659</v>
      </c>
      <c r="B479" s="5" t="s">
        <v>624</v>
      </c>
      <c r="C479" s="3">
        <v>202</v>
      </c>
      <c r="D479" s="6" t="s">
        <v>311</v>
      </c>
      <c r="E479" s="2">
        <v>45658</v>
      </c>
      <c r="F479" s="2">
        <v>45809</v>
      </c>
      <c r="G479" s="4">
        <v>6</v>
      </c>
      <c r="H479" s="15">
        <v>300</v>
      </c>
    </row>
    <row r="480" spans="1:8">
      <c r="A480" s="16">
        <v>45840</v>
      </c>
      <c r="B480" s="5" t="s">
        <v>421</v>
      </c>
      <c r="C480" s="3">
        <v>202</v>
      </c>
      <c r="D480" s="6" t="s">
        <v>311</v>
      </c>
      <c r="E480" s="2">
        <v>45839</v>
      </c>
      <c r="F480" s="2">
        <v>45992</v>
      </c>
      <c r="G480" s="4">
        <v>6</v>
      </c>
      <c r="H480" s="15">
        <v>300</v>
      </c>
    </row>
    <row r="481" spans="1:8">
      <c r="A481" s="16">
        <v>46025</v>
      </c>
      <c r="B481" s="5" t="s">
        <v>626</v>
      </c>
      <c r="C481" s="3">
        <v>202</v>
      </c>
      <c r="D481" s="6" t="s">
        <v>311</v>
      </c>
      <c r="E481" s="2">
        <v>46023</v>
      </c>
      <c r="F481" s="2">
        <v>46357</v>
      </c>
      <c r="G481" s="4">
        <v>12</v>
      </c>
      <c r="H481" s="15">
        <v>600</v>
      </c>
    </row>
    <row r="482" spans="1:8">
      <c r="A482" s="16">
        <v>45670</v>
      </c>
      <c r="B482" s="5" t="s">
        <v>627</v>
      </c>
      <c r="C482" s="3">
        <v>208</v>
      </c>
      <c r="D482" s="6" t="s">
        <v>628</v>
      </c>
      <c r="E482" s="2">
        <v>45658</v>
      </c>
      <c r="F482" s="2">
        <v>45658</v>
      </c>
      <c r="G482" s="4">
        <v>1</v>
      </c>
      <c r="H482" s="15">
        <v>50</v>
      </c>
    </row>
    <row r="483" spans="1:8">
      <c r="A483" s="16">
        <v>45709</v>
      </c>
      <c r="B483" s="5" t="s">
        <v>629</v>
      </c>
      <c r="C483" s="3">
        <v>208</v>
      </c>
      <c r="D483" s="6" t="s">
        <v>630</v>
      </c>
      <c r="E483" s="2">
        <v>45689</v>
      </c>
      <c r="F483" s="2">
        <v>45689</v>
      </c>
      <c r="G483" s="4">
        <v>1</v>
      </c>
      <c r="H483" s="15">
        <v>50</v>
      </c>
    </row>
    <row r="484" spans="1:8">
      <c r="A484" s="16">
        <v>45726</v>
      </c>
      <c r="B484" s="5" t="s">
        <v>631</v>
      </c>
      <c r="C484" s="3">
        <v>208</v>
      </c>
      <c r="D484" s="6" t="s">
        <v>628</v>
      </c>
      <c r="E484" s="2">
        <v>45717</v>
      </c>
      <c r="F484" s="2">
        <v>45717</v>
      </c>
      <c r="G484" s="4">
        <v>1</v>
      </c>
      <c r="H484" s="15">
        <v>50</v>
      </c>
    </row>
    <row r="485" spans="1:8">
      <c r="A485" s="16">
        <v>45789</v>
      </c>
      <c r="B485" s="5" t="s">
        <v>632</v>
      </c>
      <c r="C485" s="3">
        <v>208</v>
      </c>
      <c r="D485" s="6" t="s">
        <v>323</v>
      </c>
      <c r="E485" s="2">
        <v>45748</v>
      </c>
      <c r="F485" s="2">
        <v>45778</v>
      </c>
      <c r="G485" s="4">
        <v>2</v>
      </c>
      <c r="H485" s="15">
        <v>100</v>
      </c>
    </row>
    <row r="486" spans="1:8">
      <c r="A486" s="16">
        <v>45855</v>
      </c>
      <c r="B486" s="5" t="s">
        <v>633</v>
      </c>
      <c r="C486" s="3">
        <v>208</v>
      </c>
      <c r="D486" s="6" t="s">
        <v>323</v>
      </c>
      <c r="E486" s="2">
        <v>45809</v>
      </c>
      <c r="F486" s="2">
        <v>45809</v>
      </c>
      <c r="G486" s="4">
        <v>1</v>
      </c>
      <c r="H486" s="15">
        <v>50</v>
      </c>
    </row>
    <row r="487" spans="1:8">
      <c r="A487" s="16">
        <v>45866</v>
      </c>
      <c r="B487" s="5" t="s">
        <v>634</v>
      </c>
      <c r="C487" s="3">
        <v>208</v>
      </c>
      <c r="D487" s="6" t="s">
        <v>323</v>
      </c>
      <c r="E487" s="2">
        <v>45839</v>
      </c>
      <c r="F487" s="2">
        <v>45839</v>
      </c>
      <c r="G487" s="4">
        <v>1</v>
      </c>
      <c r="H487" s="15">
        <v>50</v>
      </c>
    </row>
    <row r="488" spans="1:8">
      <c r="A488" s="16">
        <v>45906</v>
      </c>
      <c r="B488" s="5" t="s">
        <v>635</v>
      </c>
      <c r="C488" s="3">
        <v>208</v>
      </c>
      <c r="D488" s="6" t="s">
        <v>323</v>
      </c>
      <c r="E488" s="2">
        <v>45870</v>
      </c>
      <c r="F488" s="2">
        <v>45870</v>
      </c>
      <c r="G488" s="4">
        <v>1</v>
      </c>
      <c r="H488" s="15">
        <v>50</v>
      </c>
    </row>
    <row r="489" spans="1:8">
      <c r="A489" s="16">
        <v>45922</v>
      </c>
      <c r="B489" s="5" t="s">
        <v>636</v>
      </c>
      <c r="C489" s="3">
        <v>208</v>
      </c>
      <c r="D489" s="6" t="s">
        <v>323</v>
      </c>
      <c r="E489" s="2">
        <v>45901</v>
      </c>
      <c r="F489" s="2">
        <v>45931</v>
      </c>
      <c r="G489" s="4">
        <v>2</v>
      </c>
      <c r="H489" s="15">
        <v>100</v>
      </c>
    </row>
    <row r="490" spans="1:8">
      <c r="A490" s="16">
        <v>45981</v>
      </c>
      <c r="B490" s="5" t="s">
        <v>637</v>
      </c>
      <c r="C490" s="3">
        <v>208</v>
      </c>
      <c r="D490" s="6" t="s">
        <v>323</v>
      </c>
      <c r="E490" s="2">
        <v>45931</v>
      </c>
      <c r="F490" s="2">
        <v>45931</v>
      </c>
      <c r="G490" s="4">
        <v>1</v>
      </c>
      <c r="H490" s="15">
        <v>50</v>
      </c>
    </row>
    <row r="491" spans="1:8">
      <c r="A491" s="16">
        <v>46027</v>
      </c>
      <c r="B491" s="5" t="s">
        <v>638</v>
      </c>
      <c r="C491" s="3">
        <v>208</v>
      </c>
      <c r="D491" s="6" t="s">
        <v>323</v>
      </c>
      <c r="E491" s="2">
        <v>45962</v>
      </c>
      <c r="F491" s="2">
        <v>45992</v>
      </c>
      <c r="G491" s="4">
        <v>2</v>
      </c>
      <c r="H491" s="15">
        <v>100</v>
      </c>
    </row>
    <row r="492" spans="1:8">
      <c r="A492" s="16">
        <v>46062</v>
      </c>
      <c r="B492" s="5" t="s">
        <v>639</v>
      </c>
      <c r="C492" s="3">
        <v>208</v>
      </c>
      <c r="D492" s="6" t="s">
        <v>323</v>
      </c>
      <c r="E492" s="2">
        <v>46054</v>
      </c>
      <c r="F492" s="2">
        <v>46054</v>
      </c>
      <c r="G492" s="4">
        <v>1</v>
      </c>
      <c r="H492" s="15">
        <v>50</v>
      </c>
    </row>
    <row r="493" spans="1:8">
      <c r="A493" s="16">
        <v>46111</v>
      </c>
      <c r="B493" s="5" t="s">
        <v>640</v>
      </c>
      <c r="C493" s="3">
        <v>208</v>
      </c>
      <c r="D493" s="6" t="s">
        <v>323</v>
      </c>
      <c r="E493" s="2">
        <v>46082</v>
      </c>
      <c r="F493" s="2">
        <v>46113</v>
      </c>
      <c r="G493" s="4">
        <v>2</v>
      </c>
      <c r="H493" s="15">
        <v>100</v>
      </c>
    </row>
    <row r="494" spans="1:8">
      <c r="A494" s="16">
        <v>46164</v>
      </c>
      <c r="B494" s="5" t="s">
        <v>789</v>
      </c>
      <c r="C494" s="3">
        <v>208</v>
      </c>
      <c r="D494" s="6" t="s">
        <v>323</v>
      </c>
      <c r="E494" s="2">
        <v>46143</v>
      </c>
      <c r="F494" s="2">
        <v>46143</v>
      </c>
      <c r="G494" s="4">
        <v>1</v>
      </c>
      <c r="H494" s="15">
        <v>50</v>
      </c>
    </row>
    <row r="495" spans="1:8">
      <c r="A495" s="52">
        <v>45703</v>
      </c>
      <c r="B495" s="53" t="s">
        <v>641</v>
      </c>
      <c r="C495" s="54">
        <v>212</v>
      </c>
      <c r="D495" s="55" t="s">
        <v>331</v>
      </c>
      <c r="E495" s="56">
        <v>45566</v>
      </c>
      <c r="F495" s="56">
        <v>45717</v>
      </c>
      <c r="G495" s="57">
        <v>6</v>
      </c>
      <c r="H495" s="58">
        <v>300</v>
      </c>
    </row>
    <row r="496" spans="1:8">
      <c r="A496" s="16">
        <v>45658</v>
      </c>
      <c r="B496" s="5" t="s">
        <v>642</v>
      </c>
      <c r="C496" s="3">
        <v>214</v>
      </c>
      <c r="D496" s="6" t="s">
        <v>643</v>
      </c>
      <c r="E496" s="2">
        <v>45658</v>
      </c>
      <c r="F496" s="2">
        <v>45717</v>
      </c>
      <c r="G496" s="4">
        <v>3</v>
      </c>
      <c r="H496" s="15">
        <v>150</v>
      </c>
    </row>
    <row r="497" spans="1:8">
      <c r="A497" s="16">
        <v>45734</v>
      </c>
      <c r="B497" s="5" t="s">
        <v>644</v>
      </c>
      <c r="C497" s="3">
        <v>214</v>
      </c>
      <c r="D497" s="6" t="s">
        <v>645</v>
      </c>
      <c r="E497" s="2">
        <v>45748</v>
      </c>
      <c r="F497" s="2">
        <v>45809</v>
      </c>
      <c r="G497" s="4">
        <v>3</v>
      </c>
      <c r="H497" s="15">
        <v>150</v>
      </c>
    </row>
    <row r="498" spans="1:8">
      <c r="A498" s="16">
        <v>45838</v>
      </c>
      <c r="B498" s="5" t="s">
        <v>646</v>
      </c>
      <c r="C498" s="3">
        <v>214</v>
      </c>
      <c r="D498" s="6" t="s">
        <v>647</v>
      </c>
      <c r="E498" s="2">
        <v>45839</v>
      </c>
      <c r="F498" s="2">
        <v>45901</v>
      </c>
      <c r="G498" s="4">
        <v>3</v>
      </c>
      <c r="H498" s="15">
        <v>150</v>
      </c>
    </row>
    <row r="499" spans="1:8">
      <c r="A499" s="16">
        <v>45922</v>
      </c>
      <c r="B499" s="5" t="s">
        <v>648</v>
      </c>
      <c r="C499" s="3">
        <v>214</v>
      </c>
      <c r="D499" s="6" t="s">
        <v>647</v>
      </c>
      <c r="E499" s="2">
        <v>45931</v>
      </c>
      <c r="F499" s="2">
        <v>45992</v>
      </c>
      <c r="G499" s="4">
        <v>3</v>
      </c>
      <c r="H499" s="15">
        <v>150</v>
      </c>
    </row>
    <row r="500" spans="1:8">
      <c r="A500" s="16">
        <v>46025</v>
      </c>
      <c r="B500" s="5" t="s">
        <v>649</v>
      </c>
      <c r="C500" s="3">
        <v>214</v>
      </c>
      <c r="D500" s="6" t="s">
        <v>647</v>
      </c>
      <c r="E500" s="2">
        <v>46023</v>
      </c>
      <c r="F500" s="2">
        <v>46082</v>
      </c>
      <c r="G500" s="4">
        <v>3</v>
      </c>
      <c r="H500" s="15">
        <v>150</v>
      </c>
    </row>
    <row r="501" spans="1:8">
      <c r="A501" s="16">
        <v>46129</v>
      </c>
      <c r="B501" s="5" t="s">
        <v>772</v>
      </c>
      <c r="C501" s="3">
        <v>214</v>
      </c>
      <c r="D501" s="6" t="s">
        <v>647</v>
      </c>
      <c r="E501" s="2">
        <v>46113</v>
      </c>
      <c r="F501" s="2">
        <v>46174</v>
      </c>
      <c r="G501" s="4">
        <v>3</v>
      </c>
      <c r="H501" s="15">
        <v>150</v>
      </c>
    </row>
    <row r="502" spans="1:8">
      <c r="A502" s="52">
        <v>45640</v>
      </c>
      <c r="B502" s="53" t="s">
        <v>650</v>
      </c>
      <c r="C502" s="54">
        <v>217</v>
      </c>
      <c r="D502" s="55" t="s">
        <v>342</v>
      </c>
      <c r="E502" s="56">
        <v>45566</v>
      </c>
      <c r="F502" s="56">
        <v>45627</v>
      </c>
      <c r="G502" s="57">
        <v>3</v>
      </c>
      <c r="H502" s="58">
        <v>150</v>
      </c>
    </row>
    <row r="503" spans="1:8">
      <c r="A503" s="16">
        <v>46033</v>
      </c>
      <c r="B503" s="5" t="s">
        <v>651</v>
      </c>
      <c r="C503" s="3">
        <v>219</v>
      </c>
      <c r="D503" s="6" t="s">
        <v>652</v>
      </c>
      <c r="E503" s="2">
        <v>46023</v>
      </c>
      <c r="F503" s="2">
        <v>46357</v>
      </c>
      <c r="G503" s="4">
        <v>12</v>
      </c>
      <c r="H503" s="15">
        <v>600</v>
      </c>
    </row>
    <row r="504" spans="1:8">
      <c r="A504" s="16">
        <v>45668</v>
      </c>
      <c r="B504" s="5" t="s">
        <v>653</v>
      </c>
      <c r="C504" s="3">
        <v>223</v>
      </c>
      <c r="D504" s="6" t="s">
        <v>356</v>
      </c>
      <c r="E504" s="2">
        <v>45597</v>
      </c>
      <c r="F504" s="2">
        <v>45689</v>
      </c>
      <c r="G504" s="4">
        <v>4</v>
      </c>
      <c r="H504" s="15">
        <v>200</v>
      </c>
    </row>
    <row r="505" spans="1:8">
      <c r="A505" s="16">
        <v>45700</v>
      </c>
      <c r="B505" s="5" t="s">
        <v>654</v>
      </c>
      <c r="C505" s="3">
        <v>223</v>
      </c>
      <c r="D505" s="6" t="s">
        <v>356</v>
      </c>
      <c r="E505" s="2">
        <v>45717</v>
      </c>
      <c r="F505" s="2">
        <v>45748</v>
      </c>
      <c r="G505" s="4">
        <v>2</v>
      </c>
      <c r="H505" s="15">
        <v>100</v>
      </c>
    </row>
    <row r="506" spans="1:8">
      <c r="A506" s="16">
        <v>45843</v>
      </c>
      <c r="B506" s="5" t="s">
        <v>655</v>
      </c>
      <c r="C506" s="3">
        <v>223</v>
      </c>
      <c r="D506" s="6" t="s">
        <v>356</v>
      </c>
      <c r="E506" s="2">
        <v>45778</v>
      </c>
      <c r="F506" s="2">
        <v>45870</v>
      </c>
      <c r="G506" s="4">
        <v>4</v>
      </c>
      <c r="H506" s="15">
        <v>200</v>
      </c>
    </row>
    <row r="507" spans="1:8">
      <c r="A507" s="94">
        <v>45948</v>
      </c>
      <c r="B507" s="95" t="s">
        <v>656</v>
      </c>
      <c r="C507" s="96">
        <v>223</v>
      </c>
      <c r="D507" s="97" t="s">
        <v>356</v>
      </c>
      <c r="E507" s="98">
        <v>45901</v>
      </c>
      <c r="F507" s="98">
        <v>45992</v>
      </c>
      <c r="G507" s="99">
        <v>4</v>
      </c>
      <c r="H507" s="100">
        <v>200</v>
      </c>
    </row>
    <row r="508" spans="1:8">
      <c r="A508" s="16">
        <v>46096</v>
      </c>
      <c r="B508" s="5" t="s">
        <v>657</v>
      </c>
      <c r="C508" s="3">
        <v>223</v>
      </c>
      <c r="D508" s="6" t="s">
        <v>356</v>
      </c>
      <c r="E508" s="2">
        <v>46023</v>
      </c>
      <c r="F508" s="2">
        <v>46113</v>
      </c>
      <c r="G508" s="4">
        <v>4</v>
      </c>
      <c r="H508" s="15">
        <v>200</v>
      </c>
    </row>
    <row r="509" spans="1:8">
      <c r="A509" s="16">
        <v>45629</v>
      </c>
      <c r="B509" s="5" t="s">
        <v>658</v>
      </c>
      <c r="C509" s="3">
        <v>224</v>
      </c>
      <c r="D509" s="6" t="s">
        <v>659</v>
      </c>
      <c r="E509" s="2">
        <v>45597</v>
      </c>
      <c r="F509" s="2">
        <v>45597</v>
      </c>
      <c r="G509" s="4">
        <v>1</v>
      </c>
      <c r="H509" s="15">
        <v>50</v>
      </c>
    </row>
    <row r="510" spans="1:8">
      <c r="A510" s="16">
        <v>45671</v>
      </c>
      <c r="B510" s="5" t="s">
        <v>660</v>
      </c>
      <c r="C510" s="3">
        <v>224</v>
      </c>
      <c r="D510" s="6" t="s">
        <v>659</v>
      </c>
      <c r="E510" s="2">
        <v>45658</v>
      </c>
      <c r="F510" s="2">
        <v>45658</v>
      </c>
      <c r="G510" s="4">
        <v>1</v>
      </c>
      <c r="H510" s="15">
        <v>50</v>
      </c>
    </row>
    <row r="511" spans="1:8">
      <c r="A511" s="16">
        <v>45686</v>
      </c>
      <c r="B511" s="5" t="s">
        <v>661</v>
      </c>
      <c r="C511" s="3">
        <v>224</v>
      </c>
      <c r="D511" s="6" t="s">
        <v>659</v>
      </c>
      <c r="E511" s="2">
        <v>45689</v>
      </c>
      <c r="F511" s="2">
        <v>45689</v>
      </c>
      <c r="G511" s="4">
        <v>1</v>
      </c>
      <c r="H511" s="15">
        <v>50</v>
      </c>
    </row>
    <row r="512" spans="1:8">
      <c r="A512" s="16">
        <v>45716</v>
      </c>
      <c r="B512" s="5" t="s">
        <v>662</v>
      </c>
      <c r="C512" s="3">
        <v>224</v>
      </c>
      <c r="D512" s="6" t="s">
        <v>659</v>
      </c>
      <c r="E512" s="2">
        <v>45717</v>
      </c>
      <c r="F512" s="2">
        <v>45717</v>
      </c>
      <c r="G512" s="4">
        <v>1</v>
      </c>
      <c r="H512" s="15">
        <v>50</v>
      </c>
    </row>
    <row r="513" spans="1:8">
      <c r="A513" s="16">
        <v>45745</v>
      </c>
      <c r="B513" s="5" t="s">
        <v>663</v>
      </c>
      <c r="C513" s="3">
        <v>224</v>
      </c>
      <c r="D513" s="6" t="s">
        <v>659</v>
      </c>
      <c r="E513" s="2">
        <v>45748</v>
      </c>
      <c r="F513" s="2">
        <v>45748</v>
      </c>
      <c r="G513" s="4">
        <v>1</v>
      </c>
      <c r="H513" s="15">
        <v>50</v>
      </c>
    </row>
    <row r="514" spans="1:8">
      <c r="A514" s="16">
        <v>45777</v>
      </c>
      <c r="B514" s="5" t="s">
        <v>664</v>
      </c>
      <c r="C514" s="3">
        <v>224</v>
      </c>
      <c r="D514" s="6" t="s">
        <v>358</v>
      </c>
      <c r="E514" s="2">
        <v>45778</v>
      </c>
      <c r="F514" s="2">
        <v>45778</v>
      </c>
      <c r="G514" s="4">
        <v>1</v>
      </c>
      <c r="H514" s="15">
        <v>50</v>
      </c>
    </row>
    <row r="515" spans="1:8">
      <c r="A515" s="16">
        <v>45810</v>
      </c>
      <c r="B515" s="5" t="s">
        <v>419</v>
      </c>
      <c r="C515" s="3">
        <v>224</v>
      </c>
      <c r="D515" s="6" t="s">
        <v>358</v>
      </c>
      <c r="E515" s="2">
        <v>45809</v>
      </c>
      <c r="F515" s="2">
        <v>45809</v>
      </c>
      <c r="G515" s="4">
        <v>1</v>
      </c>
      <c r="H515" s="15">
        <v>50</v>
      </c>
    </row>
    <row r="516" spans="1:8">
      <c r="A516" s="16">
        <v>45839</v>
      </c>
      <c r="B516" s="5" t="s">
        <v>625</v>
      </c>
      <c r="C516" s="3">
        <v>224</v>
      </c>
      <c r="D516" s="6" t="s">
        <v>358</v>
      </c>
      <c r="E516" s="2">
        <v>45839</v>
      </c>
      <c r="F516" s="2">
        <v>45839</v>
      </c>
      <c r="G516" s="4">
        <v>1</v>
      </c>
      <c r="H516" s="15">
        <v>50</v>
      </c>
    </row>
    <row r="517" spans="1:8">
      <c r="A517" s="16">
        <v>45878</v>
      </c>
      <c r="B517" s="5" t="s">
        <v>491</v>
      </c>
      <c r="C517" s="3">
        <v>224</v>
      </c>
      <c r="D517" s="6" t="s">
        <v>358</v>
      </c>
      <c r="E517" s="2">
        <v>45870</v>
      </c>
      <c r="F517" s="2">
        <v>45870</v>
      </c>
      <c r="G517" s="4">
        <v>1</v>
      </c>
      <c r="H517" s="15">
        <v>50</v>
      </c>
    </row>
    <row r="518" spans="1:8">
      <c r="A518" s="16">
        <v>45918</v>
      </c>
      <c r="B518" s="5" t="s">
        <v>710</v>
      </c>
      <c r="C518" s="3">
        <v>224</v>
      </c>
      <c r="D518" s="6" t="s">
        <v>358</v>
      </c>
      <c r="E518" s="2">
        <v>45901</v>
      </c>
      <c r="F518" s="2">
        <v>45901</v>
      </c>
      <c r="G518" s="4">
        <v>1</v>
      </c>
      <c r="H518" s="15">
        <v>50</v>
      </c>
    </row>
    <row r="519" spans="1:8">
      <c r="A519" s="16">
        <v>45963</v>
      </c>
      <c r="B519" s="5" t="s">
        <v>726</v>
      </c>
      <c r="C519" s="3">
        <v>224</v>
      </c>
      <c r="D519" s="6" t="s">
        <v>358</v>
      </c>
      <c r="E519" s="2">
        <v>45931</v>
      </c>
      <c r="F519" s="2">
        <v>45962</v>
      </c>
      <c r="G519" s="4">
        <v>2</v>
      </c>
      <c r="H519" s="15">
        <v>100</v>
      </c>
    </row>
    <row r="520" spans="1:8">
      <c r="A520" s="16">
        <v>45995</v>
      </c>
      <c r="B520" s="5" t="s">
        <v>737</v>
      </c>
      <c r="C520" s="3">
        <v>224</v>
      </c>
      <c r="D520" s="6" t="s">
        <v>358</v>
      </c>
      <c r="E520" s="2">
        <v>45992</v>
      </c>
      <c r="F520" s="2">
        <v>46054</v>
      </c>
      <c r="G520" s="4">
        <v>3</v>
      </c>
      <c r="H520" s="15">
        <v>150</v>
      </c>
    </row>
    <row r="521" spans="1:8">
      <c r="A521" s="16">
        <v>46078</v>
      </c>
      <c r="C521" s="3">
        <v>224</v>
      </c>
      <c r="D521" s="6" t="s">
        <v>358</v>
      </c>
      <c r="E521" s="2">
        <v>46082</v>
      </c>
      <c r="F521" s="2">
        <v>46082</v>
      </c>
      <c r="G521" s="4">
        <v>1</v>
      </c>
      <c r="H521" s="15">
        <v>50</v>
      </c>
    </row>
    <row r="522" spans="1:8">
      <c r="A522" s="16">
        <v>46106</v>
      </c>
      <c r="C522" s="3">
        <v>224</v>
      </c>
      <c r="D522" s="6" t="s">
        <v>358</v>
      </c>
      <c r="E522" s="2">
        <v>46113</v>
      </c>
      <c r="F522" s="2">
        <v>46113</v>
      </c>
      <c r="G522" s="4">
        <v>1</v>
      </c>
      <c r="H522" s="15">
        <v>50</v>
      </c>
    </row>
    <row r="523" spans="1:8">
      <c r="A523" s="16">
        <v>46167</v>
      </c>
      <c r="C523" s="3">
        <v>224</v>
      </c>
      <c r="D523" s="6" t="s">
        <v>358</v>
      </c>
      <c r="E523" s="2">
        <v>46143</v>
      </c>
      <c r="F523" s="2">
        <v>46143</v>
      </c>
      <c r="G523" s="4">
        <v>1</v>
      </c>
      <c r="H523" s="15">
        <v>50</v>
      </c>
    </row>
    <row r="524" spans="1:8">
      <c r="A524" s="16">
        <v>45673</v>
      </c>
      <c r="B524" s="5" t="s">
        <v>669</v>
      </c>
      <c r="C524" s="3">
        <v>225</v>
      </c>
      <c r="D524" s="6" t="s">
        <v>376</v>
      </c>
      <c r="E524" s="2">
        <v>45658</v>
      </c>
      <c r="F524" s="2">
        <v>45717</v>
      </c>
      <c r="G524" s="4">
        <v>3</v>
      </c>
      <c r="H524" s="15">
        <v>150</v>
      </c>
    </row>
    <row r="525" spans="1:8">
      <c r="A525" s="16">
        <v>45961</v>
      </c>
      <c r="B525" s="5" t="s">
        <v>670</v>
      </c>
      <c r="C525" s="3">
        <v>225</v>
      </c>
      <c r="D525" s="6" t="s">
        <v>376</v>
      </c>
      <c r="E525" s="2">
        <v>45748</v>
      </c>
      <c r="F525" s="2">
        <v>45992</v>
      </c>
      <c r="G525" s="4">
        <v>9</v>
      </c>
      <c r="H525" s="15">
        <v>450</v>
      </c>
    </row>
    <row r="526" spans="1:8">
      <c r="A526" s="16">
        <v>46025</v>
      </c>
      <c r="B526" s="5" t="s">
        <v>671</v>
      </c>
      <c r="C526" s="3">
        <v>225</v>
      </c>
      <c r="D526" s="6" t="s">
        <v>376</v>
      </c>
      <c r="E526" s="2">
        <v>46023</v>
      </c>
      <c r="F526" s="2">
        <v>46357</v>
      </c>
      <c r="G526" s="4">
        <v>12</v>
      </c>
      <c r="H526" s="15">
        <v>600</v>
      </c>
    </row>
    <row r="527" spans="1:8">
      <c r="A527" s="16">
        <v>45686</v>
      </c>
      <c r="B527" s="5" t="s">
        <v>672</v>
      </c>
      <c r="C527" s="3">
        <v>226</v>
      </c>
      <c r="D527" s="6" t="s">
        <v>378</v>
      </c>
      <c r="E527" s="2">
        <v>45658</v>
      </c>
      <c r="F527" s="2">
        <v>45717</v>
      </c>
      <c r="G527" s="4">
        <v>3</v>
      </c>
      <c r="H527" s="15">
        <v>150</v>
      </c>
    </row>
    <row r="528" spans="1:8">
      <c r="A528" s="16">
        <v>45813</v>
      </c>
      <c r="B528" s="5" t="s">
        <v>673</v>
      </c>
      <c r="C528" s="3">
        <v>226</v>
      </c>
      <c r="D528" s="6" t="s">
        <v>378</v>
      </c>
      <c r="E528" s="2">
        <v>45748</v>
      </c>
      <c r="F528" s="2">
        <v>45809</v>
      </c>
      <c r="G528" s="4">
        <v>3</v>
      </c>
      <c r="H528" s="15">
        <v>150</v>
      </c>
    </row>
    <row r="529" spans="1:8">
      <c r="A529" s="16">
        <v>45857</v>
      </c>
      <c r="B529" s="5" t="s">
        <v>674</v>
      </c>
      <c r="C529" s="3">
        <v>226</v>
      </c>
      <c r="D529" s="6" t="s">
        <v>378</v>
      </c>
      <c r="E529" s="2">
        <v>45839</v>
      </c>
      <c r="F529" s="2">
        <v>45901</v>
      </c>
      <c r="G529" s="4">
        <v>3</v>
      </c>
      <c r="H529" s="15">
        <v>150</v>
      </c>
    </row>
    <row r="530" spans="1:8">
      <c r="A530" s="16">
        <v>45994</v>
      </c>
      <c r="B530" s="5" t="s">
        <v>675</v>
      </c>
      <c r="C530" s="3">
        <v>226</v>
      </c>
      <c r="D530" s="6" t="s">
        <v>378</v>
      </c>
      <c r="E530" s="2">
        <v>45931</v>
      </c>
      <c r="F530" s="2">
        <v>45992</v>
      </c>
      <c r="G530" s="4">
        <v>3</v>
      </c>
      <c r="H530" s="15">
        <v>150</v>
      </c>
    </row>
    <row r="531" spans="1:8">
      <c r="A531" s="16">
        <v>46045</v>
      </c>
      <c r="B531" s="5" t="s">
        <v>676</v>
      </c>
      <c r="C531" s="3">
        <v>226</v>
      </c>
      <c r="D531" s="6" t="s">
        <v>378</v>
      </c>
      <c r="E531" s="2">
        <v>46023</v>
      </c>
      <c r="F531" s="2">
        <v>46054</v>
      </c>
      <c r="G531" s="4">
        <v>2</v>
      </c>
      <c r="H531" s="15">
        <v>100</v>
      </c>
    </row>
    <row r="532" spans="1:8">
      <c r="A532" s="16">
        <v>45671</v>
      </c>
      <c r="B532" s="5" t="s">
        <v>677</v>
      </c>
      <c r="C532" s="3">
        <v>227</v>
      </c>
      <c r="D532" s="6" t="s">
        <v>678</v>
      </c>
      <c r="E532" s="2">
        <v>45658</v>
      </c>
      <c r="F532" s="2">
        <v>45809</v>
      </c>
      <c r="G532" s="4">
        <v>6</v>
      </c>
      <c r="H532" s="15">
        <v>300</v>
      </c>
    </row>
    <row r="533" spans="1:8">
      <c r="A533" s="16">
        <v>45730</v>
      </c>
      <c r="B533" s="5" t="s">
        <v>679</v>
      </c>
      <c r="C533" s="3">
        <v>227</v>
      </c>
      <c r="D533" s="6" t="s">
        <v>678</v>
      </c>
      <c r="E533" s="2">
        <v>45839</v>
      </c>
      <c r="F533" s="2">
        <v>45992</v>
      </c>
      <c r="G533" s="4">
        <v>6</v>
      </c>
      <c r="H533" s="15">
        <v>300</v>
      </c>
    </row>
    <row r="534" spans="1:8">
      <c r="A534" s="16">
        <v>46114</v>
      </c>
      <c r="B534" s="5" t="s">
        <v>680</v>
      </c>
      <c r="C534" s="3">
        <v>227</v>
      </c>
      <c r="D534" s="6" t="s">
        <v>678</v>
      </c>
      <c r="E534" s="2">
        <v>46023</v>
      </c>
      <c r="F534" s="2">
        <v>46357</v>
      </c>
      <c r="G534" s="4">
        <v>12</v>
      </c>
      <c r="H534" s="15">
        <v>600</v>
      </c>
    </row>
    <row r="535" spans="1:8">
      <c r="A535" s="16">
        <v>45488</v>
      </c>
      <c r="B535" s="5" t="s">
        <v>681</v>
      </c>
      <c r="C535" s="3">
        <v>228</v>
      </c>
      <c r="D535" s="6" t="s">
        <v>381</v>
      </c>
      <c r="E535" s="2">
        <v>45658</v>
      </c>
      <c r="F535" s="2">
        <v>45809</v>
      </c>
      <c r="G535" s="4">
        <v>6</v>
      </c>
      <c r="H535" s="15">
        <v>300</v>
      </c>
    </row>
    <row r="536" spans="1:8">
      <c r="A536" s="16">
        <v>45818</v>
      </c>
      <c r="B536" s="5" t="s">
        <v>682</v>
      </c>
      <c r="C536" s="3">
        <v>228</v>
      </c>
      <c r="D536" s="6" t="s">
        <v>381</v>
      </c>
      <c r="E536" s="2">
        <v>45839</v>
      </c>
      <c r="F536" s="2">
        <v>46174</v>
      </c>
      <c r="G536" s="4">
        <v>12</v>
      </c>
      <c r="H536" s="15">
        <v>600</v>
      </c>
    </row>
    <row r="537" spans="1:8">
      <c r="A537" s="16">
        <v>45650</v>
      </c>
      <c r="B537" s="5" t="s">
        <v>683</v>
      </c>
      <c r="C537" s="3">
        <v>229</v>
      </c>
      <c r="D537" s="6" t="s">
        <v>374</v>
      </c>
      <c r="E537" s="2">
        <v>45658</v>
      </c>
      <c r="F537" s="2">
        <v>45689</v>
      </c>
      <c r="G537" s="4">
        <v>2</v>
      </c>
      <c r="H537" s="15">
        <v>100</v>
      </c>
    </row>
    <row r="538" spans="1:8">
      <c r="A538" s="16">
        <v>45715</v>
      </c>
      <c r="B538" s="5" t="s">
        <v>684</v>
      </c>
      <c r="C538" s="3">
        <v>229</v>
      </c>
      <c r="D538" s="6" t="s">
        <v>374</v>
      </c>
      <c r="E538" s="2">
        <v>45717</v>
      </c>
      <c r="F538" s="2">
        <v>45748</v>
      </c>
      <c r="G538" s="4">
        <v>2</v>
      </c>
      <c r="H538" s="15">
        <v>100</v>
      </c>
    </row>
    <row r="539" spans="1:8">
      <c r="A539" s="16">
        <v>45792</v>
      </c>
      <c r="B539" s="5" t="s">
        <v>685</v>
      </c>
      <c r="C539" s="3">
        <v>229</v>
      </c>
      <c r="D539" s="6" t="s">
        <v>374</v>
      </c>
      <c r="E539" s="2">
        <v>45778</v>
      </c>
      <c r="F539" s="2">
        <v>45870</v>
      </c>
      <c r="G539" s="4">
        <v>4</v>
      </c>
      <c r="H539" s="15">
        <v>200</v>
      </c>
    </row>
    <row r="540" spans="1:8">
      <c r="A540" s="16">
        <v>45899</v>
      </c>
      <c r="B540" s="5" t="s">
        <v>686</v>
      </c>
      <c r="C540" s="3">
        <v>229</v>
      </c>
      <c r="D540" s="6" t="s">
        <v>374</v>
      </c>
      <c r="E540" s="2">
        <v>45901</v>
      </c>
      <c r="F540" s="2">
        <v>45931</v>
      </c>
      <c r="G540" s="4">
        <v>2</v>
      </c>
      <c r="H540" s="15">
        <v>100</v>
      </c>
    </row>
    <row r="541" spans="1:8">
      <c r="A541" s="16">
        <v>46014</v>
      </c>
      <c r="B541" s="5" t="s">
        <v>687</v>
      </c>
      <c r="C541" s="3">
        <v>229</v>
      </c>
      <c r="D541" s="6" t="s">
        <v>374</v>
      </c>
      <c r="E541" s="2">
        <v>45962</v>
      </c>
      <c r="F541" s="2">
        <v>45992</v>
      </c>
      <c r="G541" s="4">
        <v>2</v>
      </c>
      <c r="H541" s="15">
        <v>100</v>
      </c>
    </row>
    <row r="542" spans="1:8">
      <c r="A542" s="16">
        <v>46014</v>
      </c>
      <c r="B542" s="5" t="s">
        <v>688</v>
      </c>
      <c r="C542" s="3">
        <v>229</v>
      </c>
      <c r="D542" s="6" t="s">
        <v>374</v>
      </c>
      <c r="E542" s="2">
        <v>46023</v>
      </c>
      <c r="F542" s="2">
        <v>46174</v>
      </c>
      <c r="G542" s="4">
        <v>6</v>
      </c>
      <c r="H542" s="15">
        <v>300</v>
      </c>
    </row>
    <row r="543" spans="1:8">
      <c r="A543" s="16">
        <v>46114</v>
      </c>
      <c r="C543" s="3">
        <v>230</v>
      </c>
      <c r="D543" s="6" t="s">
        <v>401</v>
      </c>
      <c r="E543" s="2">
        <v>46113</v>
      </c>
      <c r="F543" s="2">
        <v>46357</v>
      </c>
      <c r="G543" s="4">
        <v>9</v>
      </c>
      <c r="H543" s="15">
        <v>450</v>
      </c>
    </row>
    <row r="544" spans="1:8">
      <c r="A544" s="16">
        <v>46116</v>
      </c>
      <c r="B544" s="5" t="s">
        <v>689</v>
      </c>
      <c r="C544" s="3">
        <v>231</v>
      </c>
      <c r="D544" s="6" t="s">
        <v>403</v>
      </c>
      <c r="E544" s="2">
        <v>46113</v>
      </c>
      <c r="F544" s="2">
        <v>46357</v>
      </c>
      <c r="G544" s="4">
        <v>9</v>
      </c>
      <c r="H544" s="15">
        <v>450</v>
      </c>
    </row>
    <row r="545" spans="1:8">
      <c r="A545" s="16">
        <v>46117</v>
      </c>
      <c r="B545" s="5" t="s">
        <v>690</v>
      </c>
      <c r="C545" s="3">
        <v>232</v>
      </c>
      <c r="D545" s="6" t="s">
        <v>405</v>
      </c>
      <c r="E545" s="2">
        <v>46113</v>
      </c>
      <c r="F545" s="2">
        <v>46113</v>
      </c>
      <c r="G545" s="4">
        <v>1</v>
      </c>
      <c r="H545" s="15">
        <v>50</v>
      </c>
    </row>
    <row r="546" spans="1:8">
      <c r="A546" s="16">
        <v>46131</v>
      </c>
      <c r="B546" s="5" t="s">
        <v>775</v>
      </c>
      <c r="C546" s="3">
        <v>232</v>
      </c>
      <c r="D546" s="6" t="s">
        <v>405</v>
      </c>
      <c r="E546" s="2">
        <v>46143</v>
      </c>
      <c r="F546" s="2">
        <v>46143</v>
      </c>
      <c r="G546" s="4">
        <v>1</v>
      </c>
      <c r="H546" s="15">
        <v>50</v>
      </c>
    </row>
    <row r="547" spans="1:8">
      <c r="A547" s="16">
        <v>46117</v>
      </c>
      <c r="B547" s="5" t="s">
        <v>691</v>
      </c>
      <c r="C547" s="3">
        <v>233</v>
      </c>
      <c r="D547" s="6" t="s">
        <v>407</v>
      </c>
      <c r="E547" s="2">
        <v>46113</v>
      </c>
      <c r="F547" s="2">
        <v>46174</v>
      </c>
      <c r="G547" s="4">
        <v>3</v>
      </c>
      <c r="H547" s="15">
        <v>150</v>
      </c>
    </row>
    <row r="548" spans="1:8">
      <c r="A548" s="16">
        <v>46112</v>
      </c>
      <c r="C548" s="3">
        <v>234</v>
      </c>
      <c r="D548" s="6" t="s">
        <v>409</v>
      </c>
      <c r="E548" s="2">
        <v>46113</v>
      </c>
      <c r="F548" s="2">
        <v>46113</v>
      </c>
      <c r="G548" s="4">
        <v>1</v>
      </c>
      <c r="H548" s="15">
        <v>50</v>
      </c>
    </row>
    <row r="549" spans="1:8">
      <c r="A549" s="16">
        <v>46143</v>
      </c>
      <c r="B549" s="5" t="s">
        <v>782</v>
      </c>
      <c r="C549" s="3">
        <v>234</v>
      </c>
      <c r="D549" s="6" t="s">
        <v>409</v>
      </c>
      <c r="E549" s="2">
        <v>46143</v>
      </c>
      <c r="F549" s="2">
        <v>46143</v>
      </c>
      <c r="G549" s="4">
        <v>1</v>
      </c>
      <c r="H549" s="15">
        <v>50</v>
      </c>
    </row>
    <row r="550" spans="1:8">
      <c r="A550" s="16">
        <v>46130</v>
      </c>
      <c r="B550" s="5" t="s">
        <v>773</v>
      </c>
      <c r="C550" s="3">
        <v>235</v>
      </c>
      <c r="D550" s="6" t="s">
        <v>411</v>
      </c>
      <c r="E550" s="2">
        <v>46113</v>
      </c>
      <c r="F550" s="2">
        <v>46113</v>
      </c>
      <c r="G550" s="4">
        <v>1</v>
      </c>
      <c r="H550" s="15">
        <v>50</v>
      </c>
    </row>
    <row r="551" spans="1:8">
      <c r="A551" s="16">
        <v>46112</v>
      </c>
      <c r="C551" s="3">
        <v>236</v>
      </c>
      <c r="D551" s="6" t="s">
        <v>413</v>
      </c>
      <c r="E551" s="2">
        <v>46113</v>
      </c>
      <c r="F551" s="2">
        <v>46174</v>
      </c>
      <c r="G551" s="4">
        <v>3</v>
      </c>
      <c r="H551" s="15">
        <v>150</v>
      </c>
    </row>
    <row r="552" spans="1:8">
      <c r="A552" s="16">
        <v>46126</v>
      </c>
      <c r="C552" s="3">
        <v>237</v>
      </c>
      <c r="D552" s="6" t="s">
        <v>415</v>
      </c>
      <c r="E552" s="2">
        <v>46113</v>
      </c>
      <c r="F552" s="2">
        <v>46357</v>
      </c>
      <c r="G552" s="4">
        <v>9</v>
      </c>
      <c r="H552" s="15">
        <v>450</v>
      </c>
    </row>
    <row r="553" spans="1:8">
      <c r="A553" s="16">
        <v>46123</v>
      </c>
      <c r="B553" s="5" t="s">
        <v>768</v>
      </c>
      <c r="C553" s="3">
        <v>239</v>
      </c>
      <c r="D553" s="6" t="s">
        <v>418</v>
      </c>
      <c r="E553" s="2">
        <v>46113</v>
      </c>
      <c r="F553" s="2">
        <v>46357</v>
      </c>
      <c r="G553" s="4">
        <v>9</v>
      </c>
      <c r="H553" s="15">
        <v>450</v>
      </c>
    </row>
    <row r="554" spans="1:8">
      <c r="A554" s="16">
        <v>46121</v>
      </c>
      <c r="B554" s="5" t="s">
        <v>766</v>
      </c>
      <c r="C554" s="3">
        <v>240</v>
      </c>
      <c r="D554" s="6" t="s">
        <v>420</v>
      </c>
      <c r="E554" s="2">
        <v>46113</v>
      </c>
      <c r="F554" s="2">
        <v>46113</v>
      </c>
      <c r="G554" s="4">
        <v>1</v>
      </c>
      <c r="H554" s="15">
        <v>50</v>
      </c>
    </row>
    <row r="555" spans="1:8">
      <c r="A555" s="16">
        <v>46151</v>
      </c>
      <c r="B555" s="5" t="s">
        <v>786</v>
      </c>
      <c r="C555" s="3">
        <v>240</v>
      </c>
      <c r="D555" s="6" t="s">
        <v>420</v>
      </c>
      <c r="E555" s="2">
        <v>46143</v>
      </c>
      <c r="F555" s="2">
        <v>46174</v>
      </c>
      <c r="G555" s="4">
        <v>2</v>
      </c>
      <c r="H555" s="15">
        <v>100</v>
      </c>
    </row>
    <row r="556" spans="1:8">
      <c r="A556" s="16">
        <v>45658</v>
      </c>
      <c r="B556" s="5" t="s">
        <v>383</v>
      </c>
      <c r="C556" s="3" t="s">
        <v>384</v>
      </c>
      <c r="D556" s="6" t="s">
        <v>385</v>
      </c>
      <c r="E556" s="2" t="s">
        <v>386</v>
      </c>
      <c r="F556" s="2" t="s">
        <v>387</v>
      </c>
      <c r="G556" s="4" t="s">
        <v>388</v>
      </c>
      <c r="H556" s="15">
        <v>100</v>
      </c>
    </row>
    <row r="557" spans="1:8">
      <c r="A557" s="16">
        <v>45627</v>
      </c>
      <c r="B557" s="5" t="s">
        <v>692</v>
      </c>
      <c r="D557" s="6" t="s">
        <v>693</v>
      </c>
      <c r="E557" s="2"/>
      <c r="F557" s="2"/>
      <c r="G557" s="4">
        <v>1</v>
      </c>
      <c r="H557" s="15" t="s">
        <v>694</v>
      </c>
    </row>
    <row r="558" spans="1:8">
      <c r="A558" s="16" t="s">
        <v>707</v>
      </c>
      <c r="B558" s="5" t="s">
        <v>695</v>
      </c>
      <c r="D558" s="6" t="e">
        <v>#N/A</v>
      </c>
      <c r="E558" s="2"/>
      <c r="F558" s="2"/>
      <c r="G558" s="4">
        <v>1</v>
      </c>
      <c r="H558" s="15" t="s">
        <v>694</v>
      </c>
    </row>
    <row r="559" spans="1:8">
      <c r="A559" s="94"/>
      <c r="B559" s="95" t="s">
        <v>696</v>
      </c>
      <c r="C559" s="96"/>
      <c r="D559" s="97" t="s">
        <v>708</v>
      </c>
      <c r="E559" s="98"/>
      <c r="F559" s="98"/>
      <c r="G559" s="99"/>
      <c r="H559" s="100"/>
    </row>
    <row r="560" spans="1:8">
      <c r="A560" s="16"/>
      <c r="B560" s="5" t="s">
        <v>769</v>
      </c>
      <c r="D560" s="6" t="e">
        <v>#N/A</v>
      </c>
      <c r="E560" s="2"/>
      <c r="F560" s="2"/>
      <c r="G560" s="4">
        <v>1</v>
      </c>
      <c r="H560" s="15" t="s">
        <v>694</v>
      </c>
    </row>
  </sheetData>
  <autoFilter ref="K1:Q203" xr:uid="{9DFED47F-A395-4E44-A53C-9812EDDE21E3}"/>
  <conditionalFormatting sqref="S2:S179">
    <cfRule type="cellIs" dxfId="1" priority="1" operator="lessThan">
      <formula>"p2*50&lt;m2"</formula>
    </cfRule>
    <cfRule type="cellIs" dxfId="0" priority="2" operator="lessThan">
      <formula>$R$2*50&gt;O2</formula>
    </cfRule>
  </conditionalFormatting>
  <pageMargins left="0.78740157480314965" right="0.31496062992125984" top="0.55118110236220474" bottom="0.35433070866141736" header="0.31496062992125984" footer="0.31496062992125984"/>
  <pageSetup paperSize="9" scale="83" fitToHeight="7" orientation="portrait" r:id="rId1"/>
  <headerFooter>
    <oddHeader>&amp;LPayment Last Update : 29.May.2026
&amp;RPAGE &amp;P OF &amp;N</oddHead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9CA-4EFF-4F9B-9BF4-66F938C58A39}">
  <dimension ref="B2:G8"/>
  <sheetViews>
    <sheetView workbookViewId="0">
      <selection activeCell="G12" sqref="G12"/>
    </sheetView>
  </sheetViews>
  <sheetFormatPr defaultRowHeight="14.5"/>
  <sheetData>
    <row r="2" spans="2:7" ht="26">
      <c r="B2" s="28" t="s">
        <v>697</v>
      </c>
      <c r="C2" s="29" t="s">
        <v>698</v>
      </c>
      <c r="D2" s="30" t="s">
        <v>4</v>
      </c>
      <c r="E2" s="31" t="s">
        <v>5</v>
      </c>
      <c r="F2" s="28" t="s">
        <v>6</v>
      </c>
      <c r="G2" s="32" t="s">
        <v>7</v>
      </c>
    </row>
    <row r="3" spans="2:7">
      <c r="B3" s="33">
        <v>3</v>
      </c>
      <c r="C3" s="34" t="s">
        <v>699</v>
      </c>
      <c r="D3" s="35">
        <v>45658</v>
      </c>
      <c r="E3" s="35">
        <v>45689</v>
      </c>
      <c r="F3" s="36">
        <v>2</v>
      </c>
      <c r="G3" s="37">
        <v>100</v>
      </c>
    </row>
    <row r="4" spans="2:7">
      <c r="B4" s="38">
        <v>3</v>
      </c>
      <c r="C4" s="34" t="s">
        <v>699</v>
      </c>
      <c r="D4" s="40">
        <v>45839</v>
      </c>
      <c r="E4" s="40">
        <v>45870</v>
      </c>
      <c r="F4" s="41">
        <v>2</v>
      </c>
      <c r="G4" s="42">
        <v>100</v>
      </c>
    </row>
    <row r="5" spans="2:7">
      <c r="B5" s="33">
        <v>3</v>
      </c>
      <c r="C5" s="34" t="s">
        <v>699</v>
      </c>
      <c r="D5" s="35">
        <v>45717</v>
      </c>
      <c r="E5" s="35">
        <v>45809</v>
      </c>
      <c r="F5" s="36">
        <v>4</v>
      </c>
      <c r="G5" s="37">
        <v>200</v>
      </c>
    </row>
    <row r="6" spans="2:7">
      <c r="B6" s="38">
        <v>4</v>
      </c>
      <c r="C6" s="39" t="s">
        <v>700</v>
      </c>
      <c r="D6" s="40">
        <v>45658</v>
      </c>
      <c r="E6" s="40">
        <v>45689</v>
      </c>
      <c r="F6" s="41">
        <v>2</v>
      </c>
      <c r="G6" s="42">
        <v>100</v>
      </c>
    </row>
    <row r="7" spans="2:7">
      <c r="B7" s="33">
        <v>4</v>
      </c>
      <c r="C7" s="39" t="s">
        <v>700</v>
      </c>
      <c r="D7" s="35">
        <v>45778</v>
      </c>
      <c r="E7" s="35">
        <v>45809</v>
      </c>
      <c r="F7" s="36">
        <v>2</v>
      </c>
      <c r="G7" s="37">
        <v>100</v>
      </c>
    </row>
    <row r="8" spans="2:7">
      <c r="B8" s="38">
        <v>4</v>
      </c>
      <c r="C8" s="39" t="s">
        <v>700</v>
      </c>
      <c r="D8" s="40">
        <v>45839</v>
      </c>
      <c r="E8" s="40">
        <v>45870</v>
      </c>
      <c r="F8" s="41">
        <v>2</v>
      </c>
      <c r="G8" s="4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93D7-0832-4293-AB59-B330DCE30F23}">
  <dimension ref="A1:E179"/>
  <sheetViews>
    <sheetView topLeftCell="A46" workbookViewId="0">
      <selection activeCell="B54" sqref="B54"/>
    </sheetView>
  </sheetViews>
  <sheetFormatPr defaultRowHeight="14.5"/>
  <cols>
    <col min="2" max="2" width="14.81640625" bestFit="1" customWidth="1"/>
    <col min="4" max="5" width="8.7265625" style="1"/>
  </cols>
  <sheetData>
    <row r="1" spans="1:3">
      <c r="A1" s="17" t="s">
        <v>701</v>
      </c>
      <c r="B1" s="18" t="s">
        <v>11</v>
      </c>
    </row>
    <row r="2" spans="1:3">
      <c r="A2" s="19">
        <v>3</v>
      </c>
      <c r="B2" s="19" t="s">
        <v>16</v>
      </c>
      <c r="C2">
        <f>SUMIF(Sheet1!$C:$C,Sheet2!A2,Sheet1!$H:$H)</f>
        <v>750</v>
      </c>
    </row>
    <row r="3" spans="1:3">
      <c r="A3" s="19">
        <v>4</v>
      </c>
      <c r="B3" s="19" t="s">
        <v>18</v>
      </c>
      <c r="C3">
        <f>SUMIF(Sheet1!$C:$C,Sheet2!A3,Sheet1!$H:$H)</f>
        <v>900</v>
      </c>
    </row>
    <row r="4" spans="1:3">
      <c r="A4" s="19">
        <v>5</v>
      </c>
      <c r="B4" s="19" t="s">
        <v>22</v>
      </c>
      <c r="C4">
        <f>SUMIF(Sheet1!$C:$C,Sheet2!A4,Sheet1!$H:$H)</f>
        <v>0</v>
      </c>
    </row>
    <row r="5" spans="1:3">
      <c r="A5" s="19">
        <v>6</v>
      </c>
      <c r="B5" s="19" t="s">
        <v>24</v>
      </c>
      <c r="C5">
        <f>SUMIF(Sheet1!$C:$C,Sheet2!A5,Sheet1!$H:$H)</f>
        <v>1200</v>
      </c>
    </row>
    <row r="6" spans="1:3">
      <c r="A6" s="19">
        <v>10</v>
      </c>
      <c r="B6" s="19" t="s">
        <v>26</v>
      </c>
      <c r="C6">
        <f>SUMIF(Sheet1!$C:$C,Sheet2!A6,Sheet1!$H:$H)</f>
        <v>600</v>
      </c>
    </row>
    <row r="7" spans="1:3">
      <c r="A7" s="19">
        <v>11</v>
      </c>
      <c r="B7" s="19" t="s">
        <v>28</v>
      </c>
      <c r="C7">
        <f>SUMIF(Sheet1!$C:$C,Sheet2!A7,Sheet1!$H:$H)</f>
        <v>1200</v>
      </c>
    </row>
    <row r="8" spans="1:3">
      <c r="A8" s="19">
        <v>12</v>
      </c>
      <c r="B8" s="19" t="s">
        <v>30</v>
      </c>
      <c r="C8">
        <f>SUMIF(Sheet1!$C:$C,Sheet2!A8,Sheet1!$H:$H)</f>
        <v>0</v>
      </c>
    </row>
    <row r="9" spans="1:3">
      <c r="A9" s="19">
        <v>13</v>
      </c>
      <c r="B9" s="19" t="s">
        <v>32</v>
      </c>
      <c r="C9">
        <f>SUMIF(Sheet1!$C:$C,Sheet2!A9,Sheet1!$H:$H)</f>
        <v>700</v>
      </c>
    </row>
    <row r="10" spans="1:3">
      <c r="A10" s="19">
        <v>14</v>
      </c>
      <c r="B10" s="19" t="s">
        <v>34</v>
      </c>
      <c r="C10">
        <f>SUMIF(Sheet1!$C:$C,Sheet2!A10,Sheet1!$H:$H)</f>
        <v>700</v>
      </c>
    </row>
    <row r="11" spans="1:3">
      <c r="A11" s="19">
        <v>17</v>
      </c>
      <c r="B11" s="19" t="s">
        <v>36</v>
      </c>
      <c r="C11">
        <f>SUMIF(Sheet1!$C:$C,Sheet2!A11,Sheet1!$H:$H)</f>
        <v>300</v>
      </c>
    </row>
    <row r="12" spans="1:3">
      <c r="A12" s="19">
        <v>18</v>
      </c>
      <c r="B12" s="19" t="s">
        <v>39</v>
      </c>
      <c r="C12">
        <f>SUMIF(Sheet1!$C:$C,Sheet2!A12,Sheet1!$H:$H)</f>
        <v>350</v>
      </c>
    </row>
    <row r="13" spans="1:3">
      <c r="A13" s="19">
        <v>19</v>
      </c>
      <c r="B13" s="19" t="s">
        <v>41</v>
      </c>
      <c r="C13">
        <f>SUMIF(Sheet1!$C:$C,Sheet2!A13,Sheet1!$H:$H)</f>
        <v>900</v>
      </c>
    </row>
    <row r="14" spans="1:3">
      <c r="A14" s="19">
        <v>22</v>
      </c>
      <c r="B14" s="19" t="s">
        <v>43</v>
      </c>
      <c r="C14">
        <f>SUMIF(Sheet1!$C:$C,Sheet2!A14,Sheet1!$H:$H)</f>
        <v>0</v>
      </c>
    </row>
    <row r="15" spans="1:3">
      <c r="A15" s="19">
        <v>23</v>
      </c>
      <c r="B15" s="19" t="s">
        <v>80</v>
      </c>
      <c r="C15">
        <f>SUMIF(Sheet1!$C:$C,Sheet2!A15,Sheet1!$H:$H)</f>
        <v>900</v>
      </c>
    </row>
    <row r="16" spans="1:3">
      <c r="A16" s="19">
        <v>24</v>
      </c>
      <c r="B16" s="19" t="s">
        <v>47</v>
      </c>
      <c r="C16">
        <f>SUMIF(Sheet1!$C:$C,Sheet2!A16,Sheet1!$H:$H)</f>
        <v>750</v>
      </c>
    </row>
    <row r="17" spans="1:3">
      <c r="A17" s="19">
        <v>25</v>
      </c>
      <c r="B17" s="19" t="s">
        <v>48</v>
      </c>
      <c r="C17">
        <f>SUMIF(Sheet1!$C:$C,Sheet2!A17,Sheet1!$H:$H)</f>
        <v>1200</v>
      </c>
    </row>
    <row r="18" spans="1:3">
      <c r="A18" s="19">
        <v>28</v>
      </c>
      <c r="B18" s="19" t="s">
        <v>50</v>
      </c>
      <c r="C18">
        <f>SUMIF(Sheet1!$C:$C,Sheet2!A18,Sheet1!$H:$H)</f>
        <v>0</v>
      </c>
    </row>
    <row r="19" spans="1:3">
      <c r="A19" s="19">
        <v>29</v>
      </c>
      <c r="B19" s="19" t="s">
        <v>52</v>
      </c>
      <c r="C19">
        <f>SUMIF(Sheet1!$C:$C,Sheet2!A19,Sheet1!$H:$H)</f>
        <v>650</v>
      </c>
    </row>
    <row r="20" spans="1:3">
      <c r="A20" s="19">
        <v>32</v>
      </c>
      <c r="B20" s="19" t="s">
        <v>55</v>
      </c>
      <c r="C20">
        <f>SUMIF(Sheet1!$C:$C,Sheet2!A20,Sheet1!$H:$H)</f>
        <v>0</v>
      </c>
    </row>
    <row r="21" spans="1:3">
      <c r="A21" s="19">
        <v>33</v>
      </c>
      <c r="B21" s="19" t="s">
        <v>57</v>
      </c>
      <c r="C21">
        <f>SUMIF(Sheet1!$C:$C,Sheet2!A21,Sheet1!$H:$H)</f>
        <v>600</v>
      </c>
    </row>
    <row r="22" spans="1:3">
      <c r="A22" s="19">
        <v>35</v>
      </c>
      <c r="B22" s="19" t="s">
        <v>59</v>
      </c>
      <c r="C22">
        <f>SUMIF(Sheet1!$C:$C,Sheet2!A22,Sheet1!$H:$H)</f>
        <v>0</v>
      </c>
    </row>
    <row r="23" spans="1:3">
      <c r="A23" s="19">
        <v>36</v>
      </c>
      <c r="B23" s="19" t="s">
        <v>60</v>
      </c>
      <c r="C23">
        <f>SUMIF(Sheet1!$C:$C,Sheet2!A23,Sheet1!$H:$H)</f>
        <v>1200</v>
      </c>
    </row>
    <row r="24" spans="1:3">
      <c r="A24" s="19">
        <v>40</v>
      </c>
      <c r="B24" s="19" t="s">
        <v>62</v>
      </c>
      <c r="C24">
        <f>SUMIF(Sheet1!$C:$C,Sheet2!A24,Sheet1!$H:$H)</f>
        <v>1100</v>
      </c>
    </row>
    <row r="25" spans="1:3">
      <c r="A25" s="19">
        <v>41</v>
      </c>
      <c r="B25" s="19" t="s">
        <v>63</v>
      </c>
      <c r="C25">
        <f>SUMIF(Sheet1!$C:$C,Sheet2!A25,Sheet1!$H:$H)</f>
        <v>200</v>
      </c>
    </row>
    <row r="26" spans="1:3">
      <c r="A26" s="19">
        <v>42</v>
      </c>
      <c r="B26" s="19" t="s">
        <v>65</v>
      </c>
      <c r="C26">
        <f>SUMIF(Sheet1!$C:$C,Sheet2!A26,Sheet1!$H:$H)</f>
        <v>900</v>
      </c>
    </row>
    <row r="27" spans="1:3">
      <c r="A27" s="19">
        <v>43</v>
      </c>
      <c r="B27" s="19" t="s">
        <v>68</v>
      </c>
      <c r="C27">
        <f>SUMIF(Sheet1!$C:$C,Sheet2!A27,Sheet1!$H:$H)</f>
        <v>1000</v>
      </c>
    </row>
    <row r="28" spans="1:3">
      <c r="A28" s="19">
        <v>45</v>
      </c>
      <c r="B28" s="19" t="s">
        <v>70</v>
      </c>
      <c r="C28">
        <f>SUMIF(Sheet1!$C:$C,Sheet2!A28,Sheet1!$H:$H)</f>
        <v>0</v>
      </c>
    </row>
    <row r="29" spans="1:3">
      <c r="A29" s="19">
        <v>48</v>
      </c>
      <c r="B29" s="19" t="s">
        <v>72</v>
      </c>
      <c r="C29">
        <f>SUMIF(Sheet1!$C:$C,Sheet2!A29,Sheet1!$H:$H)</f>
        <v>950</v>
      </c>
    </row>
    <row r="30" spans="1:3">
      <c r="A30" s="19">
        <v>50</v>
      </c>
      <c r="B30" s="19" t="s">
        <v>74</v>
      </c>
      <c r="C30">
        <f>SUMIF(Sheet1!$C:$C,Sheet2!A30,Sheet1!$H:$H)</f>
        <v>1200</v>
      </c>
    </row>
    <row r="31" spans="1:3">
      <c r="A31" s="19">
        <v>52</v>
      </c>
      <c r="B31" s="19" t="s">
        <v>76</v>
      </c>
      <c r="C31">
        <f>SUMIF(Sheet1!$C:$C,Sheet2!A31,Sheet1!$H:$H)</f>
        <v>900</v>
      </c>
    </row>
    <row r="32" spans="1:3">
      <c r="A32" s="19">
        <v>53</v>
      </c>
      <c r="B32" s="19" t="s">
        <v>702</v>
      </c>
      <c r="C32">
        <f>SUMIF(Sheet1!$C:$C,Sheet2!A32,Sheet1!$H:$H)</f>
        <v>1200</v>
      </c>
    </row>
    <row r="33" spans="1:3">
      <c r="A33" s="19">
        <v>54</v>
      </c>
      <c r="B33" s="19" t="s">
        <v>81</v>
      </c>
      <c r="C33">
        <f>SUMIF(Sheet1!$C:$C,Sheet2!A33,Sheet1!$H:$H)</f>
        <v>800</v>
      </c>
    </row>
    <row r="34" spans="1:3">
      <c r="A34" s="20">
        <v>56</v>
      </c>
      <c r="B34" s="19" t="s">
        <v>84</v>
      </c>
      <c r="C34">
        <f>SUMIF(Sheet1!$C:$C,Sheet2!A34,Sheet1!$H:$H)</f>
        <v>0</v>
      </c>
    </row>
    <row r="35" spans="1:3">
      <c r="A35" s="19">
        <v>61</v>
      </c>
      <c r="B35" s="19" t="s">
        <v>86</v>
      </c>
      <c r="C35">
        <f>SUMIF(Sheet1!$C:$C,Sheet2!A35,Sheet1!$H:$H)</f>
        <v>1200</v>
      </c>
    </row>
    <row r="36" spans="1:3">
      <c r="A36" s="19">
        <v>62</v>
      </c>
      <c r="B36" s="19" t="s">
        <v>88</v>
      </c>
      <c r="C36">
        <f>SUMIF(Sheet1!$C:$C,Sheet2!A36,Sheet1!$H:$H)</f>
        <v>900</v>
      </c>
    </row>
    <row r="37" spans="1:3">
      <c r="A37" s="19">
        <v>63</v>
      </c>
      <c r="B37" s="19" t="s">
        <v>90</v>
      </c>
      <c r="C37">
        <f>SUMIF(Sheet1!$C:$C,Sheet2!A37,Sheet1!$H:$H)</f>
        <v>0</v>
      </c>
    </row>
    <row r="38" spans="1:3">
      <c r="A38" s="19">
        <v>64</v>
      </c>
      <c r="B38" s="19" t="s">
        <v>92</v>
      </c>
      <c r="C38">
        <f>SUMIF(Sheet1!$C:$C,Sheet2!A38,Sheet1!$H:$H)</f>
        <v>1000</v>
      </c>
    </row>
    <row r="39" spans="1:3">
      <c r="A39" s="19">
        <v>67</v>
      </c>
      <c r="B39" s="19" t="s">
        <v>94</v>
      </c>
      <c r="C39">
        <f>SUMIF(Sheet1!$C:$C,Sheet2!A39,Sheet1!$H:$H)</f>
        <v>150</v>
      </c>
    </row>
    <row r="40" spans="1:3">
      <c r="A40" s="19">
        <v>68</v>
      </c>
      <c r="B40" s="19" t="s">
        <v>96</v>
      </c>
      <c r="C40">
        <f>SUMIF(Sheet1!$C:$C,Sheet2!A40,Sheet1!$H:$H)</f>
        <v>900</v>
      </c>
    </row>
    <row r="41" spans="1:3">
      <c r="A41" s="19">
        <v>69</v>
      </c>
      <c r="B41" s="19" t="s">
        <v>98</v>
      </c>
      <c r="C41">
        <f>SUMIF(Sheet1!$C:$C,Sheet2!A41,Sheet1!$H:$H)</f>
        <v>900</v>
      </c>
    </row>
    <row r="42" spans="1:3">
      <c r="A42" s="19">
        <v>70</v>
      </c>
      <c r="B42" s="19" t="s">
        <v>100</v>
      </c>
      <c r="C42">
        <f>SUMIF(Sheet1!$C:$C,Sheet2!A42,Sheet1!$H:$H)</f>
        <v>650</v>
      </c>
    </row>
    <row r="43" spans="1:3">
      <c r="A43" s="19">
        <v>71</v>
      </c>
      <c r="B43" s="19" t="s">
        <v>102</v>
      </c>
      <c r="C43">
        <f>SUMIF(Sheet1!$C:$C,Sheet2!A43,Sheet1!$H:$H)</f>
        <v>400</v>
      </c>
    </row>
    <row r="44" spans="1:3">
      <c r="A44" s="19">
        <v>72</v>
      </c>
      <c r="B44" s="19" t="s">
        <v>104</v>
      </c>
      <c r="C44">
        <f>SUMIF(Sheet1!$C:$C,Sheet2!A44,Sheet1!$H:$H)</f>
        <v>750</v>
      </c>
    </row>
    <row r="45" spans="1:3">
      <c r="A45" s="19">
        <v>73</v>
      </c>
      <c r="B45" s="19" t="s">
        <v>106</v>
      </c>
      <c r="C45">
        <f>SUMIF(Sheet1!$C:$C,Sheet2!A45,Sheet1!$H:$H)</f>
        <v>800</v>
      </c>
    </row>
    <row r="46" spans="1:3">
      <c r="A46" s="21">
        <v>74</v>
      </c>
      <c r="B46" s="19" t="s">
        <v>108</v>
      </c>
      <c r="C46">
        <f>SUMIF(Sheet1!$C:$C,Sheet2!A46,Sheet1!$H:$H)</f>
        <v>850</v>
      </c>
    </row>
    <row r="47" spans="1:3">
      <c r="A47" s="20">
        <v>75</v>
      </c>
      <c r="B47" s="19" t="s">
        <v>111</v>
      </c>
      <c r="C47">
        <f>SUMIF(Sheet1!$C:$C,Sheet2!A47,Sheet1!$H:$H)</f>
        <v>0</v>
      </c>
    </row>
    <row r="48" spans="1:3">
      <c r="A48" s="19">
        <v>78</v>
      </c>
      <c r="B48" s="19" t="s">
        <v>113</v>
      </c>
      <c r="C48">
        <f>SUMIF(Sheet1!$C:$C,Sheet2!A48,Sheet1!$H:$H)</f>
        <v>1200</v>
      </c>
    </row>
    <row r="49" spans="1:3">
      <c r="A49" s="19">
        <v>79</v>
      </c>
      <c r="B49" s="19" t="s">
        <v>115</v>
      </c>
      <c r="C49">
        <f>SUMIF(Sheet1!$C:$C,Sheet2!A49,Sheet1!$H:$H)</f>
        <v>250</v>
      </c>
    </row>
    <row r="50" spans="1:3">
      <c r="A50" s="19">
        <v>80</v>
      </c>
      <c r="B50" s="19" t="s">
        <v>117</v>
      </c>
      <c r="C50">
        <f>SUMIF(Sheet1!$C:$C,Sheet2!A50,Sheet1!$H:$H)</f>
        <v>900</v>
      </c>
    </row>
    <row r="51" spans="1:3">
      <c r="A51" s="19">
        <v>81</v>
      </c>
      <c r="B51" s="19" t="s">
        <v>120</v>
      </c>
      <c r="C51">
        <f>SUMIF(Sheet1!$C:$C,Sheet2!A51,Sheet1!$H:$H)</f>
        <v>600</v>
      </c>
    </row>
    <row r="52" spans="1:3">
      <c r="A52" s="19">
        <v>82</v>
      </c>
      <c r="B52" s="19" t="s">
        <v>122</v>
      </c>
      <c r="C52">
        <f>SUMIF(Sheet1!$C:$C,Sheet2!A52,Sheet1!$H:$H)</f>
        <v>0</v>
      </c>
    </row>
    <row r="53" spans="1:3">
      <c r="A53" s="19">
        <v>85</v>
      </c>
      <c r="B53" s="19" t="s">
        <v>125</v>
      </c>
      <c r="C53">
        <f>SUMIF(Sheet1!$C:$C,Sheet2!A53,Sheet1!$H:$H)</f>
        <v>0</v>
      </c>
    </row>
    <row r="54" spans="1:3">
      <c r="A54" s="19">
        <v>86</v>
      </c>
      <c r="B54" s="19" t="s">
        <v>127</v>
      </c>
      <c r="C54">
        <f>SUMIF(Sheet1!$C:$C,Sheet2!A54,Sheet1!$H:$H)</f>
        <v>750</v>
      </c>
    </row>
    <row r="55" spans="1:3">
      <c r="A55" s="19">
        <v>87</v>
      </c>
      <c r="B55" s="19" t="s">
        <v>129</v>
      </c>
      <c r="C55">
        <f>SUMIF(Sheet1!$C:$C,Sheet2!A55,Sheet1!$H:$H)</f>
        <v>1200</v>
      </c>
    </row>
    <row r="56" spans="1:3">
      <c r="A56" s="19">
        <v>90</v>
      </c>
      <c r="B56" s="22" t="s">
        <v>131</v>
      </c>
      <c r="C56">
        <f>SUMIF(Sheet1!$C:$C,Sheet2!A56,Sheet1!$H:$H)</f>
        <v>1200</v>
      </c>
    </row>
    <row r="57" spans="1:3">
      <c r="A57" s="19">
        <v>92</v>
      </c>
      <c r="B57" s="19" t="s">
        <v>133</v>
      </c>
      <c r="C57">
        <f>SUMIF(Sheet1!$C:$C,Sheet2!A57,Sheet1!$H:$H)</f>
        <v>900</v>
      </c>
    </row>
    <row r="58" spans="1:3">
      <c r="A58" s="19">
        <v>93</v>
      </c>
      <c r="B58" s="19" t="s">
        <v>134</v>
      </c>
      <c r="C58">
        <f>SUMIF(Sheet1!$C:$C,Sheet2!A58,Sheet1!$H:$H)</f>
        <v>0</v>
      </c>
    </row>
    <row r="59" spans="1:3">
      <c r="A59" s="19">
        <v>94</v>
      </c>
      <c r="B59" s="19" t="s">
        <v>135</v>
      </c>
      <c r="C59">
        <f>SUMIF(Sheet1!$C:$C,Sheet2!A59,Sheet1!$H:$H)</f>
        <v>1050</v>
      </c>
    </row>
    <row r="60" spans="1:3">
      <c r="A60" s="19">
        <v>95</v>
      </c>
      <c r="B60" s="22" t="s">
        <v>137</v>
      </c>
      <c r="C60">
        <f>SUMIF(Sheet1!$C:$C,Sheet2!A60,Sheet1!$H:$H)</f>
        <v>0</v>
      </c>
    </row>
    <row r="61" spans="1:3">
      <c r="A61" s="19">
        <v>96</v>
      </c>
      <c r="B61" s="19" t="s">
        <v>139</v>
      </c>
      <c r="C61">
        <f>SUMIF(Sheet1!$C:$C,Sheet2!A61,Sheet1!$H:$H)</f>
        <v>900</v>
      </c>
    </row>
    <row r="62" spans="1:3">
      <c r="A62" s="19">
        <v>97</v>
      </c>
      <c r="B62" s="19" t="s">
        <v>142</v>
      </c>
      <c r="C62">
        <f>SUMIF(Sheet1!$C:$C,Sheet2!A62,Sheet1!$H:$H)</f>
        <v>1000</v>
      </c>
    </row>
    <row r="63" spans="1:3">
      <c r="A63" s="19">
        <v>99</v>
      </c>
      <c r="B63" s="19" t="s">
        <v>144</v>
      </c>
      <c r="C63">
        <f>SUMIF(Sheet1!$C:$C,Sheet2!A63,Sheet1!$H:$H)</f>
        <v>900</v>
      </c>
    </row>
    <row r="64" spans="1:3">
      <c r="A64" s="19">
        <v>100</v>
      </c>
      <c r="B64" s="19" t="s">
        <v>146</v>
      </c>
      <c r="C64">
        <f>SUMIF(Sheet1!$C:$C,Sheet2!A64,Sheet1!$H:$H)</f>
        <v>300</v>
      </c>
    </row>
    <row r="65" spans="1:3">
      <c r="A65" s="19">
        <v>101</v>
      </c>
      <c r="B65" s="19" t="s">
        <v>148</v>
      </c>
      <c r="C65">
        <f>SUMIF(Sheet1!$C:$C,Sheet2!A65,Sheet1!$H:$H)</f>
        <v>0</v>
      </c>
    </row>
    <row r="66" spans="1:3">
      <c r="A66" s="19">
        <v>102</v>
      </c>
      <c r="B66" s="19" t="s">
        <v>150</v>
      </c>
      <c r="C66">
        <f>SUMIF(Sheet1!$C:$C,Sheet2!A66,Sheet1!$H:$H)</f>
        <v>900</v>
      </c>
    </row>
    <row r="67" spans="1:3">
      <c r="A67" s="19">
        <v>103</v>
      </c>
      <c r="B67" s="19" t="s">
        <v>152</v>
      </c>
      <c r="C67">
        <f>SUMIF(Sheet1!$C:$C,Sheet2!A67,Sheet1!$H:$H)</f>
        <v>900</v>
      </c>
    </row>
    <row r="68" spans="1:3">
      <c r="A68" s="19">
        <v>104</v>
      </c>
      <c r="B68" s="19" t="s">
        <v>703</v>
      </c>
      <c r="C68">
        <f>SUMIF(Sheet1!$C:$C,Sheet2!A68,Sheet1!$H:$H)</f>
        <v>700</v>
      </c>
    </row>
    <row r="69" spans="1:3">
      <c r="A69" s="19">
        <v>106</v>
      </c>
      <c r="B69" s="19" t="s">
        <v>156</v>
      </c>
      <c r="C69">
        <f>SUMIF(Sheet1!$C:$C,Sheet2!A69,Sheet1!$H:$H)</f>
        <v>850</v>
      </c>
    </row>
    <row r="70" spans="1:3">
      <c r="A70" s="19">
        <v>107</v>
      </c>
      <c r="B70" s="19" t="s">
        <v>159</v>
      </c>
      <c r="C70">
        <f>SUMIF(Sheet1!$C:$C,Sheet2!A70,Sheet1!$H:$H)</f>
        <v>0</v>
      </c>
    </row>
    <row r="71" spans="1:3">
      <c r="A71" s="19">
        <v>108</v>
      </c>
      <c r="B71" s="19" t="s">
        <v>162</v>
      </c>
      <c r="C71">
        <f>SUMIF(Sheet1!$C:$C,Sheet2!A71,Sheet1!$H:$H)</f>
        <v>0</v>
      </c>
    </row>
    <row r="72" spans="1:3">
      <c r="A72" s="19">
        <v>109</v>
      </c>
      <c r="B72" s="19" t="s">
        <v>165</v>
      </c>
      <c r="C72">
        <f>SUMIF(Sheet1!$C:$C,Sheet2!A72,Sheet1!$H:$H)</f>
        <v>0</v>
      </c>
    </row>
    <row r="73" spans="1:3">
      <c r="A73" s="19">
        <v>110</v>
      </c>
      <c r="B73" s="19" t="s">
        <v>166</v>
      </c>
      <c r="C73">
        <f>SUMIF(Sheet1!$C:$C,Sheet2!A73,Sheet1!$H:$H)</f>
        <v>0</v>
      </c>
    </row>
    <row r="74" spans="1:3">
      <c r="A74" s="19">
        <v>111</v>
      </c>
      <c r="B74" s="19" t="s">
        <v>168</v>
      </c>
      <c r="C74">
        <f>SUMIF(Sheet1!$C:$C,Sheet2!A74,Sheet1!$H:$H)</f>
        <v>0</v>
      </c>
    </row>
    <row r="75" spans="1:3">
      <c r="A75" s="19">
        <v>114</v>
      </c>
      <c r="B75" s="19" t="s">
        <v>170</v>
      </c>
      <c r="C75">
        <f>SUMIF(Sheet1!$C:$C,Sheet2!A75,Sheet1!$H:$H)</f>
        <v>600</v>
      </c>
    </row>
    <row r="76" spans="1:3">
      <c r="A76" s="19">
        <v>116</v>
      </c>
      <c r="B76" s="19" t="s">
        <v>171</v>
      </c>
      <c r="C76">
        <f>SUMIF(Sheet1!$C:$C,Sheet2!A76,Sheet1!$H:$H)</f>
        <v>900</v>
      </c>
    </row>
    <row r="77" spans="1:3">
      <c r="A77" s="19">
        <v>117</v>
      </c>
      <c r="B77" s="19" t="s">
        <v>173</v>
      </c>
      <c r="C77">
        <f>SUMIF(Sheet1!$C:$C,Sheet2!A77,Sheet1!$H:$H)</f>
        <v>900</v>
      </c>
    </row>
    <row r="78" spans="1:3">
      <c r="A78" s="19">
        <v>120</v>
      </c>
      <c r="B78" s="19" t="s">
        <v>175</v>
      </c>
      <c r="C78">
        <f>SUMIF(Sheet1!$C:$C,Sheet2!A78,Sheet1!$H:$H)</f>
        <v>1200</v>
      </c>
    </row>
    <row r="79" spans="1:3">
      <c r="A79" s="19">
        <v>123</v>
      </c>
      <c r="B79" s="19" t="s">
        <v>177</v>
      </c>
      <c r="C79">
        <f>SUMIF(Sheet1!$C:$C,Sheet2!A79,Sheet1!$H:$H)</f>
        <v>800</v>
      </c>
    </row>
    <row r="80" spans="1:3">
      <c r="A80" s="19">
        <v>124</v>
      </c>
      <c r="B80" s="19" t="s">
        <v>180</v>
      </c>
      <c r="C80">
        <f>SUMIF(Sheet1!$C:$C,Sheet2!A80,Sheet1!$H:$H)</f>
        <v>50</v>
      </c>
    </row>
    <row r="81" spans="1:3">
      <c r="A81" s="19">
        <v>126</v>
      </c>
      <c r="B81" s="19" t="s">
        <v>182</v>
      </c>
      <c r="C81">
        <f>SUMIF(Sheet1!$C:$C,Sheet2!A81,Sheet1!$H:$H)</f>
        <v>900</v>
      </c>
    </row>
    <row r="82" spans="1:3">
      <c r="A82" s="19">
        <v>127</v>
      </c>
      <c r="B82" s="19" t="s">
        <v>183</v>
      </c>
      <c r="C82">
        <f>SUMIF(Sheet1!$C:$C,Sheet2!A82,Sheet1!$H:$H)</f>
        <v>1200</v>
      </c>
    </row>
    <row r="83" spans="1:3">
      <c r="A83" s="19">
        <v>128</v>
      </c>
      <c r="B83" s="19" t="s">
        <v>184</v>
      </c>
      <c r="C83">
        <f>SUMIF(Sheet1!$C:$C,Sheet2!A83,Sheet1!$H:$H)</f>
        <v>1200</v>
      </c>
    </row>
    <row r="84" spans="1:3">
      <c r="A84" s="19">
        <v>130</v>
      </c>
      <c r="B84" s="19" t="s">
        <v>185</v>
      </c>
      <c r="C84">
        <f>SUMIF(Sheet1!$C:$C,Sheet2!A84,Sheet1!$H:$H)</f>
        <v>350</v>
      </c>
    </row>
    <row r="85" spans="1:3">
      <c r="A85" s="19">
        <v>131</v>
      </c>
      <c r="B85" s="19" t="s">
        <v>187</v>
      </c>
      <c r="C85">
        <f>SUMIF(Sheet1!$C:$C,Sheet2!A85,Sheet1!$H:$H)</f>
        <v>900</v>
      </c>
    </row>
    <row r="86" spans="1:3">
      <c r="A86" s="19">
        <v>132</v>
      </c>
      <c r="B86" s="22" t="s">
        <v>189</v>
      </c>
      <c r="C86">
        <f>SUMIF(Sheet1!$C:$C,Sheet2!A86,Sheet1!$H:$H)</f>
        <v>900</v>
      </c>
    </row>
    <row r="87" spans="1:3">
      <c r="A87" s="19">
        <v>134</v>
      </c>
      <c r="B87" s="22" t="s">
        <v>191</v>
      </c>
      <c r="C87">
        <f>SUMIF(Sheet1!$C:$C,Sheet2!A87,Sheet1!$H:$H)</f>
        <v>1200</v>
      </c>
    </row>
    <row r="88" spans="1:3">
      <c r="A88" s="19">
        <v>135</v>
      </c>
      <c r="B88" s="22" t="s">
        <v>193</v>
      </c>
      <c r="C88">
        <f>SUMIF(Sheet1!$C:$C,Sheet2!A88,Sheet1!$H:$H)</f>
        <v>1200</v>
      </c>
    </row>
    <row r="89" spans="1:3">
      <c r="A89" s="19">
        <v>136</v>
      </c>
      <c r="B89" s="19" t="s">
        <v>195</v>
      </c>
      <c r="C89">
        <f>SUMIF(Sheet1!$C:$C,Sheet2!A89,Sheet1!$H:$H)</f>
        <v>600</v>
      </c>
    </row>
    <row r="90" spans="1:3">
      <c r="A90" s="19">
        <v>137</v>
      </c>
      <c r="B90" s="19" t="s">
        <v>197</v>
      </c>
      <c r="C90">
        <f>SUMIF(Sheet1!$C:$C,Sheet2!A90,Sheet1!$H:$H)</f>
        <v>900</v>
      </c>
    </row>
    <row r="91" spans="1:3">
      <c r="A91" s="19">
        <v>138</v>
      </c>
      <c r="B91" s="19" t="s">
        <v>199</v>
      </c>
      <c r="C91">
        <f>SUMIF(Sheet1!$C:$C,Sheet2!A91,Sheet1!$H:$H)</f>
        <v>0</v>
      </c>
    </row>
    <row r="92" spans="1:3">
      <c r="A92" s="19">
        <v>139</v>
      </c>
      <c r="B92" s="19" t="s">
        <v>200</v>
      </c>
      <c r="C92">
        <f>SUMIF(Sheet1!$C:$C,Sheet2!A92,Sheet1!$H:$H)</f>
        <v>1200</v>
      </c>
    </row>
    <row r="93" spans="1:3">
      <c r="A93" s="21">
        <v>141</v>
      </c>
      <c r="B93" s="19" t="s">
        <v>202</v>
      </c>
      <c r="C93">
        <f>SUMIF(Sheet1!$C:$C,Sheet2!A93,Sheet1!$H:$H)</f>
        <v>0</v>
      </c>
    </row>
    <row r="94" spans="1:3">
      <c r="A94" s="21">
        <v>142</v>
      </c>
      <c r="B94" s="19" t="s">
        <v>204</v>
      </c>
      <c r="C94">
        <f>SUMIF(Sheet1!$C:$C,Sheet2!A94,Sheet1!$H:$H)</f>
        <v>0</v>
      </c>
    </row>
    <row r="95" spans="1:3">
      <c r="A95" s="21">
        <v>143</v>
      </c>
      <c r="B95" s="19" t="s">
        <v>207</v>
      </c>
      <c r="C95">
        <f>SUMIF(Sheet1!$C:$C,Sheet2!A95,Sheet1!$H:$H)</f>
        <v>0</v>
      </c>
    </row>
    <row r="96" spans="1:3">
      <c r="A96" s="21">
        <v>144</v>
      </c>
      <c r="B96" s="19" t="s">
        <v>210</v>
      </c>
      <c r="C96">
        <f>SUMIF(Sheet1!$C:$C,Sheet2!A96,Sheet1!$H:$H)</f>
        <v>0</v>
      </c>
    </row>
    <row r="97" spans="1:3">
      <c r="A97" s="21">
        <v>145</v>
      </c>
      <c r="B97" s="19" t="s">
        <v>212</v>
      </c>
      <c r="C97">
        <f>SUMIF(Sheet1!$C:$C,Sheet2!A97,Sheet1!$H:$H)</f>
        <v>600</v>
      </c>
    </row>
    <row r="98" spans="1:3">
      <c r="A98" s="21">
        <v>147</v>
      </c>
      <c r="B98" s="19" t="s">
        <v>214</v>
      </c>
      <c r="C98">
        <f>SUMIF(Sheet1!$C:$C,Sheet2!A98,Sheet1!$H:$H)</f>
        <v>0</v>
      </c>
    </row>
    <row r="99" spans="1:3">
      <c r="A99" s="21">
        <v>148</v>
      </c>
      <c r="B99" s="19" t="s">
        <v>215</v>
      </c>
      <c r="C99">
        <f>SUMIF(Sheet1!$C:$C,Sheet2!A99,Sheet1!$H:$H)</f>
        <v>1200</v>
      </c>
    </row>
    <row r="100" spans="1:3">
      <c r="A100" s="21">
        <v>149</v>
      </c>
      <c r="B100" s="19" t="s">
        <v>218</v>
      </c>
      <c r="C100">
        <f>SUMIF(Sheet1!$C:$C,Sheet2!A100,Sheet1!$H:$H)</f>
        <v>0</v>
      </c>
    </row>
    <row r="101" spans="1:3">
      <c r="A101" s="21">
        <v>150</v>
      </c>
      <c r="B101" s="19" t="s">
        <v>220</v>
      </c>
      <c r="C101">
        <f>SUMIF(Sheet1!$C:$C,Sheet2!A101,Sheet1!$H:$H)</f>
        <v>0</v>
      </c>
    </row>
    <row r="102" spans="1:3">
      <c r="A102" s="21">
        <v>151</v>
      </c>
      <c r="B102" s="19" t="s">
        <v>222</v>
      </c>
      <c r="C102">
        <f>SUMIF(Sheet1!$C:$C,Sheet2!A102,Sheet1!$H:$H)</f>
        <v>1200</v>
      </c>
    </row>
    <row r="103" spans="1:3">
      <c r="A103" s="21">
        <v>152</v>
      </c>
      <c r="B103" s="19" t="s">
        <v>224</v>
      </c>
      <c r="C103">
        <f>SUMIF(Sheet1!$C:$C,Sheet2!A103,Sheet1!$H:$H)</f>
        <v>0</v>
      </c>
    </row>
    <row r="104" spans="1:3">
      <c r="A104" s="21">
        <v>154</v>
      </c>
      <c r="B104" s="19" t="s">
        <v>225</v>
      </c>
      <c r="C104">
        <f>SUMIF(Sheet1!$C:$C,Sheet2!A104,Sheet1!$H:$H)</f>
        <v>300</v>
      </c>
    </row>
    <row r="105" spans="1:3">
      <c r="A105" s="21">
        <v>155</v>
      </c>
      <c r="B105" s="19" t="s">
        <v>226</v>
      </c>
      <c r="C105">
        <f>SUMIF(Sheet1!$C:$C,Sheet2!A105,Sheet1!$H:$H)</f>
        <v>750</v>
      </c>
    </row>
    <row r="106" spans="1:3">
      <c r="A106" s="21">
        <v>157</v>
      </c>
      <c r="B106" s="19" t="s">
        <v>229</v>
      </c>
      <c r="C106">
        <f>SUMIF(Sheet1!$C:$C,Sheet2!A106,Sheet1!$H:$H)</f>
        <v>0</v>
      </c>
    </row>
    <row r="107" spans="1:3">
      <c r="A107" s="21">
        <v>158</v>
      </c>
      <c r="B107" s="19" t="s">
        <v>232</v>
      </c>
      <c r="C107">
        <f>SUMIF(Sheet1!$C:$C,Sheet2!A107,Sheet1!$H:$H)</f>
        <v>0</v>
      </c>
    </row>
    <row r="108" spans="1:3">
      <c r="A108" s="21">
        <v>160</v>
      </c>
      <c r="B108" s="19" t="s">
        <v>704</v>
      </c>
      <c r="C108">
        <f>SUMIF(Sheet1!$C:$C,Sheet2!A108,Sheet1!$H:$H)</f>
        <v>1200</v>
      </c>
    </row>
    <row r="109" spans="1:3">
      <c r="A109" s="23">
        <v>161</v>
      </c>
      <c r="B109" s="19" t="s">
        <v>237</v>
      </c>
      <c r="C109">
        <f>SUMIF(Sheet1!$C:$C,Sheet2!A109,Sheet1!$H:$H)</f>
        <v>0</v>
      </c>
    </row>
    <row r="110" spans="1:3">
      <c r="A110" s="21">
        <v>162</v>
      </c>
      <c r="B110" s="19" t="s">
        <v>239</v>
      </c>
      <c r="C110">
        <f>SUMIF(Sheet1!$C:$C,Sheet2!A110,Sheet1!$H:$H)</f>
        <v>900</v>
      </c>
    </row>
    <row r="111" spans="1:3">
      <c r="A111" s="21">
        <v>163</v>
      </c>
      <c r="B111" s="19" t="s">
        <v>241</v>
      </c>
      <c r="C111">
        <f>SUMIF(Sheet1!$C:$C,Sheet2!A111,Sheet1!$H:$H)</f>
        <v>500</v>
      </c>
    </row>
    <row r="112" spans="1:3">
      <c r="A112" s="21">
        <v>164</v>
      </c>
      <c r="B112" s="19" t="s">
        <v>243</v>
      </c>
      <c r="C112">
        <f>SUMIF(Sheet1!$C:$C,Sheet2!A112,Sheet1!$H:$H)</f>
        <v>1050</v>
      </c>
    </row>
    <row r="113" spans="1:3">
      <c r="A113" s="21">
        <v>167</v>
      </c>
      <c r="B113" s="19" t="s">
        <v>245</v>
      </c>
      <c r="C113">
        <f>SUMIF(Sheet1!$C:$C,Sheet2!A113,Sheet1!$H:$H)</f>
        <v>900</v>
      </c>
    </row>
    <row r="114" spans="1:3">
      <c r="A114" s="21">
        <v>168</v>
      </c>
      <c r="B114" s="19" t="s">
        <v>247</v>
      </c>
      <c r="C114">
        <f>SUMIF(Sheet1!$C:$C,Sheet2!A114,Sheet1!$H:$H)</f>
        <v>700</v>
      </c>
    </row>
    <row r="115" spans="1:3">
      <c r="A115" s="21">
        <v>169</v>
      </c>
      <c r="B115" s="19" t="s">
        <v>249</v>
      </c>
      <c r="C115">
        <f>SUMIF(Sheet1!$C:$C,Sheet2!A115,Sheet1!$H:$H)</f>
        <v>0</v>
      </c>
    </row>
    <row r="116" spans="1:3">
      <c r="A116" s="21">
        <v>170</v>
      </c>
      <c r="B116" s="19" t="s">
        <v>251</v>
      </c>
      <c r="C116">
        <f>SUMIF(Sheet1!$C:$C,Sheet2!A116,Sheet1!$H:$H)</f>
        <v>900</v>
      </c>
    </row>
    <row r="117" spans="1:3">
      <c r="A117" s="21">
        <v>172</v>
      </c>
      <c r="B117" s="19" t="s">
        <v>253</v>
      </c>
      <c r="C117">
        <f>SUMIF(Sheet1!$C:$C,Sheet2!A117,Sheet1!$H:$H)</f>
        <v>900</v>
      </c>
    </row>
    <row r="118" spans="1:3">
      <c r="A118" s="21">
        <v>173</v>
      </c>
      <c r="B118" s="19" t="s">
        <v>255</v>
      </c>
      <c r="C118">
        <f>SUMIF(Sheet1!$C:$C,Sheet2!A118,Sheet1!$H:$H)</f>
        <v>950</v>
      </c>
    </row>
    <row r="119" spans="1:3">
      <c r="A119" s="21">
        <v>174</v>
      </c>
      <c r="B119" s="19" t="s">
        <v>257</v>
      </c>
      <c r="C119">
        <f>SUMIF(Sheet1!$C:$C,Sheet2!A119,Sheet1!$H:$H)</f>
        <v>1200</v>
      </c>
    </row>
    <row r="120" spans="1:3">
      <c r="A120" s="21">
        <v>175</v>
      </c>
      <c r="B120" s="19" t="s">
        <v>259</v>
      </c>
      <c r="C120">
        <f>SUMIF(Sheet1!$C:$C,Sheet2!A120,Sheet1!$H:$H)</f>
        <v>900</v>
      </c>
    </row>
    <row r="121" spans="1:3">
      <c r="A121" s="21">
        <v>176</v>
      </c>
      <c r="B121" s="19" t="s">
        <v>261</v>
      </c>
      <c r="C121">
        <f>SUMIF(Sheet1!$C:$C,Sheet2!A121,Sheet1!$H:$H)</f>
        <v>1200</v>
      </c>
    </row>
    <row r="122" spans="1:3">
      <c r="A122" s="21">
        <v>177</v>
      </c>
      <c r="B122" s="19" t="s">
        <v>263</v>
      </c>
      <c r="C122">
        <f>SUMIF(Sheet1!$C:$C,Sheet2!A122,Sheet1!$H:$H)</f>
        <v>900</v>
      </c>
    </row>
    <row r="123" spans="1:3">
      <c r="A123" s="21">
        <v>178</v>
      </c>
      <c r="B123" s="19" t="s">
        <v>265</v>
      </c>
      <c r="C123">
        <f>SUMIF(Sheet1!$C:$C,Sheet2!A123,Sheet1!$H:$H)</f>
        <v>950</v>
      </c>
    </row>
    <row r="124" spans="1:3">
      <c r="A124" s="21">
        <v>179</v>
      </c>
      <c r="B124" s="19" t="s">
        <v>267</v>
      </c>
      <c r="C124">
        <f>SUMIF(Sheet1!$C:$C,Sheet2!A124,Sheet1!$H:$H)</f>
        <v>0</v>
      </c>
    </row>
    <row r="125" spans="1:3">
      <c r="A125" s="24">
        <v>180</v>
      </c>
      <c r="B125" s="19" t="s">
        <v>268</v>
      </c>
      <c r="C125">
        <f>SUMIF(Sheet1!$C:$C,Sheet2!A125,Sheet1!$H:$H)</f>
        <v>750</v>
      </c>
    </row>
    <row r="126" spans="1:3">
      <c r="A126" s="24">
        <v>181</v>
      </c>
      <c r="B126" s="19" t="s">
        <v>269</v>
      </c>
      <c r="C126">
        <f>SUMIF(Sheet1!$C:$C,Sheet2!A126,Sheet1!$H:$H)</f>
        <v>800</v>
      </c>
    </row>
    <row r="127" spans="1:3">
      <c r="A127" s="24">
        <v>182</v>
      </c>
      <c r="B127" s="19" t="s">
        <v>272</v>
      </c>
      <c r="C127">
        <f>SUMIF(Sheet1!$C:$C,Sheet2!A127,Sheet1!$H:$H)</f>
        <v>0</v>
      </c>
    </row>
    <row r="128" spans="1:3">
      <c r="A128" s="24">
        <v>183</v>
      </c>
      <c r="B128" s="19" t="s">
        <v>274</v>
      </c>
      <c r="C128">
        <f>SUMIF(Sheet1!$C:$C,Sheet2!A128,Sheet1!$H:$H)</f>
        <v>900</v>
      </c>
    </row>
    <row r="129" spans="1:3">
      <c r="A129" s="24">
        <v>184</v>
      </c>
      <c r="B129" s="19" t="s">
        <v>276</v>
      </c>
      <c r="C129">
        <f>SUMIF(Sheet1!$C:$C,Sheet2!A129,Sheet1!$H:$H)</f>
        <v>1000</v>
      </c>
    </row>
    <row r="130" spans="1:3">
      <c r="A130" s="24">
        <v>185</v>
      </c>
      <c r="B130" s="19" t="s">
        <v>278</v>
      </c>
      <c r="C130">
        <f>SUMIF(Sheet1!$C:$C,Sheet2!A130,Sheet1!$H:$H)</f>
        <v>950</v>
      </c>
    </row>
    <row r="131" spans="1:3">
      <c r="A131" s="24">
        <v>186</v>
      </c>
      <c r="B131" s="19" t="s">
        <v>280</v>
      </c>
      <c r="C131">
        <f>SUMIF(Sheet1!$C:$C,Sheet2!A131,Sheet1!$H:$H)</f>
        <v>900</v>
      </c>
    </row>
    <row r="132" spans="1:3">
      <c r="A132" s="24">
        <v>187</v>
      </c>
      <c r="B132" s="19" t="s">
        <v>282</v>
      </c>
      <c r="C132">
        <f>SUMIF(Sheet1!$C:$C,Sheet2!A132,Sheet1!$H:$H)</f>
        <v>0</v>
      </c>
    </row>
    <row r="133" spans="1:3">
      <c r="A133" s="24">
        <v>188</v>
      </c>
      <c r="B133" s="19" t="s">
        <v>284</v>
      </c>
      <c r="C133">
        <f>SUMIF(Sheet1!$C:$C,Sheet2!A133,Sheet1!$H:$H)</f>
        <v>1200</v>
      </c>
    </row>
    <row r="134" spans="1:3">
      <c r="A134" s="24">
        <v>189</v>
      </c>
      <c r="B134" s="19" t="s">
        <v>286</v>
      </c>
      <c r="C134">
        <f>SUMIF(Sheet1!$C:$C,Sheet2!A134,Sheet1!$H:$H)</f>
        <v>1200</v>
      </c>
    </row>
    <row r="135" spans="1:3">
      <c r="A135" s="24">
        <v>190</v>
      </c>
      <c r="B135" s="19" t="s">
        <v>289</v>
      </c>
      <c r="C135">
        <f>SUMIF(Sheet1!$C:$C,Sheet2!A135,Sheet1!$H:$H)</f>
        <v>0</v>
      </c>
    </row>
    <row r="136" spans="1:3">
      <c r="A136" s="24">
        <v>191</v>
      </c>
      <c r="B136" s="19" t="s">
        <v>291</v>
      </c>
      <c r="C136">
        <f>SUMIF(Sheet1!$C:$C,Sheet2!A136,Sheet1!$H:$H)</f>
        <v>900</v>
      </c>
    </row>
    <row r="137" spans="1:3">
      <c r="A137" s="24">
        <v>192</v>
      </c>
      <c r="B137" s="19" t="s">
        <v>293</v>
      </c>
      <c r="C137">
        <f>SUMIF(Sheet1!$C:$C,Sheet2!A137,Sheet1!$H:$H)</f>
        <v>1200</v>
      </c>
    </row>
    <row r="138" spans="1:3">
      <c r="A138" s="24">
        <v>193</v>
      </c>
      <c r="B138" s="19" t="s">
        <v>294</v>
      </c>
      <c r="C138">
        <f>SUMIF(Sheet1!$C:$C,Sheet2!A138,Sheet1!$H:$H)</f>
        <v>1050</v>
      </c>
    </row>
    <row r="139" spans="1:3">
      <c r="A139" s="24">
        <v>194</v>
      </c>
      <c r="B139" s="19" t="s">
        <v>295</v>
      </c>
      <c r="C139">
        <f>SUMIF(Sheet1!$C:$C,Sheet2!A139,Sheet1!$H:$H)</f>
        <v>1000</v>
      </c>
    </row>
    <row r="140" spans="1:3">
      <c r="A140" s="24">
        <v>195</v>
      </c>
      <c r="B140" s="19" t="s">
        <v>296</v>
      </c>
      <c r="C140">
        <f>SUMIF(Sheet1!$C:$C,Sheet2!A140,Sheet1!$H:$H)</f>
        <v>1200</v>
      </c>
    </row>
    <row r="141" spans="1:3">
      <c r="A141" s="24">
        <v>196</v>
      </c>
      <c r="B141" s="19" t="s">
        <v>298</v>
      </c>
      <c r="C141">
        <f>SUMIF(Sheet1!$C:$C,Sheet2!A141,Sheet1!$H:$H)</f>
        <v>0</v>
      </c>
    </row>
    <row r="142" spans="1:3">
      <c r="A142" s="24">
        <v>197</v>
      </c>
      <c r="B142" s="19" t="s">
        <v>301</v>
      </c>
      <c r="C142">
        <f>SUMIF(Sheet1!$C:$C,Sheet2!A142,Sheet1!$H:$H)</f>
        <v>0</v>
      </c>
    </row>
    <row r="143" spans="1:3">
      <c r="A143" s="24">
        <v>198</v>
      </c>
      <c r="B143" s="19" t="s">
        <v>303</v>
      </c>
      <c r="C143">
        <f>SUMIF(Sheet1!$C:$C,Sheet2!A143,Sheet1!$H:$H)</f>
        <v>0</v>
      </c>
    </row>
    <row r="144" spans="1:3">
      <c r="A144" s="24">
        <v>199</v>
      </c>
      <c r="B144" s="19" t="s">
        <v>305</v>
      </c>
      <c r="C144">
        <f>SUMIF(Sheet1!$C:$C,Sheet2!A144,Sheet1!$H:$H)</f>
        <v>300</v>
      </c>
    </row>
    <row r="145" spans="1:3">
      <c r="A145" s="24">
        <v>200</v>
      </c>
      <c r="B145" s="19" t="s">
        <v>307</v>
      </c>
      <c r="C145">
        <f>SUMIF(Sheet1!$C:$C,Sheet2!A145,Sheet1!$H:$H)</f>
        <v>0</v>
      </c>
    </row>
    <row r="146" spans="1:3">
      <c r="A146" s="24">
        <v>201</v>
      </c>
      <c r="B146" s="19" t="s">
        <v>310</v>
      </c>
      <c r="C146">
        <f>SUMIF(Sheet1!$C:$C,Sheet2!A146,Sheet1!$H:$H)</f>
        <v>0</v>
      </c>
    </row>
    <row r="147" spans="1:3">
      <c r="A147" s="24">
        <v>202</v>
      </c>
      <c r="B147" s="19" t="s">
        <v>311</v>
      </c>
      <c r="C147">
        <f>SUMIF(Sheet1!$C:$C,Sheet2!A147,Sheet1!$H:$H)</f>
        <v>1200</v>
      </c>
    </row>
    <row r="148" spans="1:3">
      <c r="A148" s="24">
        <v>203</v>
      </c>
      <c r="B148" s="19" t="s">
        <v>314</v>
      </c>
      <c r="C148">
        <f>SUMIF(Sheet1!$C:$C,Sheet2!A148,Sheet1!$H:$H)</f>
        <v>0</v>
      </c>
    </row>
    <row r="149" spans="1:3">
      <c r="A149" s="24">
        <v>204</v>
      </c>
      <c r="B149" s="19" t="s">
        <v>316</v>
      </c>
      <c r="C149">
        <f>SUMIF(Sheet1!$C:$C,Sheet2!A149,Sheet1!$H:$H)</f>
        <v>0</v>
      </c>
    </row>
    <row r="150" spans="1:3">
      <c r="A150" s="24">
        <v>205</v>
      </c>
      <c r="B150" s="19" t="s">
        <v>318</v>
      </c>
      <c r="C150">
        <f>SUMIF(Sheet1!$C:$C,Sheet2!A150,Sheet1!$H:$H)</f>
        <v>0</v>
      </c>
    </row>
    <row r="151" spans="1:3">
      <c r="A151" s="24">
        <v>206</v>
      </c>
      <c r="B151" s="19" t="s">
        <v>320</v>
      </c>
      <c r="C151">
        <f>SUMIF(Sheet1!$C:$C,Sheet2!A151,Sheet1!$H:$H)</f>
        <v>0</v>
      </c>
    </row>
    <row r="152" spans="1:3">
      <c r="A152" s="24">
        <v>207</v>
      </c>
      <c r="B152" s="19" t="s">
        <v>322</v>
      </c>
      <c r="C152">
        <f>SUMIF(Sheet1!$C:$C,Sheet2!A152,Sheet1!$H:$H)</f>
        <v>0</v>
      </c>
    </row>
    <row r="153" spans="1:3">
      <c r="A153" s="24">
        <v>208</v>
      </c>
      <c r="B153" s="19" t="s">
        <v>323</v>
      </c>
      <c r="C153">
        <f>SUMIF(Sheet1!$C:$C,Sheet2!A153,Sheet1!$H:$H)</f>
        <v>850</v>
      </c>
    </row>
    <row r="154" spans="1:3">
      <c r="A154" s="24">
        <v>209</v>
      </c>
      <c r="B154" s="19" t="s">
        <v>325</v>
      </c>
      <c r="C154">
        <f>SUMIF(Sheet1!$C:$C,Sheet2!A154,Sheet1!$H:$H)</f>
        <v>0</v>
      </c>
    </row>
    <row r="155" spans="1:3">
      <c r="A155" s="24">
        <v>210</v>
      </c>
      <c r="B155" s="19" t="s">
        <v>327</v>
      </c>
      <c r="C155">
        <f>SUMIF(Sheet1!$C:$C,Sheet2!A155,Sheet1!$H:$H)</f>
        <v>0</v>
      </c>
    </row>
    <row r="156" spans="1:3">
      <c r="A156" s="24">
        <v>211</v>
      </c>
      <c r="B156" s="19" t="s">
        <v>329</v>
      </c>
      <c r="C156">
        <f>SUMIF(Sheet1!$C:$C,Sheet2!A156,Sheet1!$H:$H)</f>
        <v>0</v>
      </c>
    </row>
    <row r="157" spans="1:3">
      <c r="A157" s="24">
        <v>212</v>
      </c>
      <c r="B157" s="19" t="s">
        <v>331</v>
      </c>
      <c r="C157">
        <f>SUMIF(Sheet1!$C:$C,Sheet2!A157,Sheet1!$H:$H)</f>
        <v>300</v>
      </c>
    </row>
    <row r="158" spans="1:3">
      <c r="A158" s="24">
        <v>213</v>
      </c>
      <c r="B158" s="19" t="s">
        <v>333</v>
      </c>
      <c r="C158">
        <f>SUMIF(Sheet1!$C:$C,Sheet2!A158,Sheet1!$H:$H)</f>
        <v>0</v>
      </c>
    </row>
    <row r="159" spans="1:3">
      <c r="A159" s="24">
        <v>214</v>
      </c>
      <c r="B159" s="19" t="s">
        <v>705</v>
      </c>
      <c r="C159">
        <f>SUMIF(Sheet1!$C:$C,Sheet2!A159,Sheet1!$H:$H)</f>
        <v>900</v>
      </c>
    </row>
    <row r="160" spans="1:3">
      <c r="A160" s="24">
        <v>215</v>
      </c>
      <c r="B160" s="19" t="s">
        <v>337</v>
      </c>
      <c r="C160">
        <f>SUMIF(Sheet1!$C:$C,Sheet2!A160,Sheet1!$H:$H)</f>
        <v>0</v>
      </c>
    </row>
    <row r="161" spans="1:3">
      <c r="A161" s="24">
        <v>216</v>
      </c>
      <c r="B161" s="19" t="s">
        <v>339</v>
      </c>
      <c r="C161">
        <f>SUMIF(Sheet1!$C:$C,Sheet2!A161,Sheet1!$H:$H)</f>
        <v>0</v>
      </c>
    </row>
    <row r="162" spans="1:3">
      <c r="A162" s="24">
        <v>217</v>
      </c>
      <c r="B162" s="19" t="s">
        <v>342</v>
      </c>
      <c r="C162">
        <f>SUMIF(Sheet1!$C:$C,Sheet2!A162,Sheet1!$H:$H)</f>
        <v>150</v>
      </c>
    </row>
    <row r="163" spans="1:3">
      <c r="A163" s="24">
        <v>218</v>
      </c>
      <c r="B163" s="19" t="s">
        <v>345</v>
      </c>
      <c r="C163">
        <f>SUMIF(Sheet1!$C:$C,Sheet2!A163,Sheet1!$H:$H)</f>
        <v>0</v>
      </c>
    </row>
    <row r="164" spans="1:3">
      <c r="A164" s="24">
        <v>219</v>
      </c>
      <c r="B164" s="19" t="s">
        <v>347</v>
      </c>
      <c r="C164">
        <f>SUMIF(Sheet1!$C:$C,Sheet2!A164,Sheet1!$H:$H)</f>
        <v>600</v>
      </c>
    </row>
    <row r="165" spans="1:3">
      <c r="A165" s="24">
        <v>220</v>
      </c>
      <c r="B165" s="19" t="s">
        <v>349</v>
      </c>
      <c r="C165">
        <f>SUMIF(Sheet1!$C:$C,Sheet2!A165,Sheet1!$H:$H)</f>
        <v>0</v>
      </c>
    </row>
    <row r="166" spans="1:3">
      <c r="A166" s="25">
        <v>221</v>
      </c>
      <c r="B166" s="19" t="s">
        <v>351</v>
      </c>
      <c r="C166">
        <f>SUMIF(Sheet1!$C:$C,Sheet2!A166,Sheet1!$H:$H)</f>
        <v>0</v>
      </c>
    </row>
    <row r="167" spans="1:3">
      <c r="A167" s="24">
        <v>222</v>
      </c>
      <c r="B167" s="19" t="s">
        <v>353</v>
      </c>
      <c r="C167">
        <f>SUMIF(Sheet1!$C:$C,Sheet2!A167,Sheet1!$H:$H)</f>
        <v>0</v>
      </c>
    </row>
    <row r="168" spans="1:3">
      <c r="A168" s="24">
        <v>223</v>
      </c>
      <c r="B168" s="19" t="s">
        <v>356</v>
      </c>
      <c r="C168">
        <f>SUMIF(Sheet1!$C:$C,Sheet2!A168,Sheet1!$H:$H)</f>
        <v>900</v>
      </c>
    </row>
    <row r="169" spans="1:3">
      <c r="A169" s="24">
        <v>224</v>
      </c>
      <c r="B169" s="19" t="s">
        <v>358</v>
      </c>
      <c r="C169">
        <f>SUMIF(Sheet1!$C:$C,Sheet2!A169,Sheet1!$H:$H)</f>
        <v>900</v>
      </c>
    </row>
    <row r="170" spans="1:3">
      <c r="A170" s="24">
        <v>20</v>
      </c>
      <c r="B170" s="19" t="s">
        <v>360</v>
      </c>
      <c r="C170">
        <f>SUMIF(Sheet1!$C:$C,Sheet2!A170,Sheet1!$H:$H)</f>
        <v>0</v>
      </c>
    </row>
    <row r="171" spans="1:3">
      <c r="A171" s="24">
        <v>30</v>
      </c>
      <c r="B171" s="19" t="s">
        <v>361</v>
      </c>
      <c r="C171">
        <f>SUMIF(Sheet1!$C:$C,Sheet2!A171,Sheet1!$H:$H)</f>
        <v>0</v>
      </c>
    </row>
    <row r="172" spans="1:3">
      <c r="A172" s="25">
        <v>31</v>
      </c>
      <c r="B172" s="19" t="s">
        <v>362</v>
      </c>
      <c r="C172">
        <f>SUMIF(Sheet1!$C:$C,Sheet2!A172,Sheet1!$H:$H)</f>
        <v>0</v>
      </c>
    </row>
    <row r="173" spans="1:3">
      <c r="A173" s="24">
        <v>34</v>
      </c>
      <c r="B173" s="19" t="s">
        <v>363</v>
      </c>
      <c r="C173">
        <f>SUMIF(Sheet1!$C:$C,Sheet2!A173,Sheet1!$H:$H)</f>
        <v>0</v>
      </c>
    </row>
    <row r="174" spans="1:3">
      <c r="A174" s="24">
        <v>153</v>
      </c>
      <c r="B174" s="19" t="s">
        <v>366</v>
      </c>
      <c r="C174">
        <f>SUMIF(Sheet1!$C:$C,Sheet2!A174,Sheet1!$H:$H)</f>
        <v>0</v>
      </c>
    </row>
    <row r="175" spans="1:3">
      <c r="A175" s="24">
        <v>156</v>
      </c>
      <c r="B175" s="19" t="s">
        <v>368</v>
      </c>
      <c r="C175">
        <f>SUMIF(Sheet1!$C:$C,Sheet2!A175,Sheet1!$H:$H)</f>
        <v>0</v>
      </c>
    </row>
    <row r="176" spans="1:3">
      <c r="A176" s="24">
        <v>160</v>
      </c>
      <c r="B176" s="19" t="s">
        <v>369</v>
      </c>
      <c r="C176">
        <f>SUMIF(Sheet1!$C:$C,Sheet2!A176,Sheet1!$H:$H)</f>
        <v>1200</v>
      </c>
    </row>
    <row r="177" spans="1:3">
      <c r="A177" s="24">
        <v>160</v>
      </c>
      <c r="B177" s="19" t="s">
        <v>370</v>
      </c>
      <c r="C177">
        <f>SUMIF(Sheet1!$C:$C,Sheet2!A177,Sheet1!$H:$H)</f>
        <v>1200</v>
      </c>
    </row>
    <row r="178" spans="1:3">
      <c r="A178" s="24">
        <v>171</v>
      </c>
      <c r="B178" s="19" t="s">
        <v>372</v>
      </c>
      <c r="C178">
        <f>SUMIF(Sheet1!$C:$C,Sheet2!A178,Sheet1!$H:$H)</f>
        <v>0</v>
      </c>
    </row>
    <row r="179" spans="1:3">
      <c r="A179" s="26">
        <v>229</v>
      </c>
      <c r="B179" s="27" t="s">
        <v>374</v>
      </c>
      <c r="C179">
        <f>SUMIF(Sheet1!$C:$C,Sheet2!A179,Sheet1!$H:$H)</f>
        <v>900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���eg6enc�S�SPc>k�N �YT�eg6enc�S�SPc>k�N �YT�S�S�S�S
</file>

<file path=customXml/item8.xml>��
</file>

<file path=customXml/item9.xml>���eg6enc�S�SPc>k�N �YT
</file>

<file path=customXml/item10.xml>���eg6enc�S�SPc>k�N �YT�eg6enc�S�SPc>k�N �YT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A96CF6B-21BB-4D4B-AE21-4F79B8DBD5C4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D884584D-166A-48B2-A299-9385C90C763A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B17B73A1-6B19-4A47-B53C-5FC315659A50}">
  <ds:schemaRefs>
    <ds:schemaRef ds:uri="http://gemini/pivotcustomization/ClientWindowXML"/>
  </ds:schemaRefs>
</ds:datastoreItem>
</file>

<file path=customXml/itemProps4.xml><?xml version="1.0" encoding="utf-8"?>
<ds:datastoreItem xmlns:ds="http://schemas.openxmlformats.org/officeDocument/2006/customXml" ds:itemID="{2BE3A693-EF5B-42DF-99BE-81BCBFFF469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E2DCE7DB-FB8B-4A3E-8486-C5E2F180CAD4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C4E2D0E3-09B8-46E6-A1A5-28DEF13E3142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60BAFE7E-FB5A-4D15-81C6-79B14219778E}">
  <ds:schemaRefs>
    <ds:schemaRef ds:uri="http://gemini/pivotcustomization/TableXML_Table1"/>
  </ds:schemaRefs>
</ds:datastoreItem>
</file>

<file path=customXml/itemProps8.xml><?xml version="1.0" encoding="utf-8"?>
<ds:datastoreItem xmlns:ds="http://schemas.openxmlformats.org/officeDocument/2006/customXml" ds:itemID="{45792BEA-61B4-476B-B862-F924322A9C75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1DE216F5-8549-40BF-B0E4-8CBF22D7040D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39E75F1E-B1EC-4540-AD14-989206D61F75}">
  <ds:schemaRefs>
    <ds:schemaRef ds:uri="http://gemini/pivotcustomization/Diagrams"/>
  </ds:schemaRefs>
</ds:datastoreItem>
</file>

<file path=customXml/itemProps11.xml><?xml version="1.0" encoding="utf-8"?>
<ds:datastoreItem xmlns:ds="http://schemas.openxmlformats.org/officeDocument/2006/customXml" ds:itemID="{46175721-51DA-4191-89AB-26E20F8A3801}">
  <ds:schemaRefs>
    <ds:schemaRef ds:uri="http://gemini/pivotcustomization/ManualCalcMode"/>
  </ds:schemaRefs>
</ds:datastoreItem>
</file>

<file path=customXml/itemProps12.xml><?xml version="1.0" encoding="utf-8"?>
<ds:datastoreItem xmlns:ds="http://schemas.openxmlformats.org/officeDocument/2006/customXml" ds:itemID="{2D264808-3611-490F-821B-3A8ABE05369A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7AD95266-E8D7-4530-A8A9-E3CF2F5C2150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510FA90A-8B54-4671-AF73-6EE37998D911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5E5599F2-B550-43FC-9030-4D850AAC5D38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0B80C134-8EF8-406F-AFBE-B881C09BE445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579CE075-18E2-402A-BC94-3C8C31454129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Sheet2</vt:lpstr>
      <vt:lpstr>Sheet1!Print_Area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Anesia Tang Boon Kiang</dc:creator>
  <cp:keywords/>
  <dc:description/>
  <cp:lastModifiedBy>Anesia Tang</cp:lastModifiedBy>
  <cp:revision/>
  <cp:lastPrinted>2026-05-28T18:33:04Z</cp:lastPrinted>
  <dcterms:created xsi:type="dcterms:W3CDTF">2025-08-16T18:14:29Z</dcterms:created>
  <dcterms:modified xsi:type="dcterms:W3CDTF">2026-05-28T18:33:12Z</dcterms:modified>
  <cp:category/>
  <cp:contentStatus/>
</cp:coreProperties>
</file>