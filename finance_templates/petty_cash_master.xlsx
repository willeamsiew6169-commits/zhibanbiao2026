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lle\Downloads\"/>
    </mc:Choice>
  </mc:AlternateContent>
  <xr:revisionPtr revIDLastSave="0" documentId="13_ncr:1_{CBF62001-159C-4ED4-BFD8-9A00FF7FCC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 Petty Cash Manual Book" sheetId="1" r:id="rId1"/>
    <sheet name="Actual Cash In Hand In System" sheetId="6" r:id="rId2"/>
    <sheet name="2022 Petty Cash Manual Book 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np1PXKp5guRTubMIgEqeuNNKdI1jFybIYbijbKUEAU4="/>
    </ext>
  </extLst>
</workbook>
</file>

<file path=xl/calcChain.xml><?xml version="1.0" encoding="utf-8"?>
<calcChain xmlns="http://schemas.openxmlformats.org/spreadsheetml/2006/main">
  <c r="V105" i="7" l="1"/>
  <c r="U105" i="7"/>
  <c r="W105" i="7" s="1"/>
  <c r="R105" i="7"/>
  <c r="Q105" i="7"/>
  <c r="S105" i="7" s="1"/>
  <c r="N105" i="7"/>
  <c r="M105" i="7"/>
  <c r="O105" i="7" s="1"/>
  <c r="J105" i="7"/>
  <c r="I105" i="7"/>
  <c r="K105" i="7" s="1"/>
  <c r="F105" i="7"/>
  <c r="E105" i="7"/>
  <c r="G105" i="7" s="1"/>
  <c r="B105" i="7"/>
  <c r="A105" i="7"/>
  <c r="C105" i="7" s="1"/>
  <c r="W49" i="7"/>
  <c r="V49" i="7"/>
  <c r="U49" i="7"/>
  <c r="R49" i="7"/>
  <c r="Q49" i="7"/>
  <c r="S49" i="7" s="1"/>
  <c r="N49" i="7"/>
  <c r="M49" i="7"/>
  <c r="O49" i="7" s="1"/>
  <c r="J49" i="7"/>
  <c r="I49" i="7"/>
  <c r="K49" i="7" s="1"/>
  <c r="G49" i="7"/>
  <c r="F49" i="7"/>
  <c r="E49" i="7"/>
  <c r="B49" i="7"/>
  <c r="A49" i="7"/>
  <c r="C49" i="7" s="1"/>
  <c r="C50" i="7" s="1"/>
  <c r="C4" i="7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G3" i="7" s="1"/>
  <c r="F23" i="6"/>
  <c r="G23" i="6" s="1"/>
  <c r="H23" i="6" s="1"/>
  <c r="I23" i="6" s="1"/>
  <c r="J23" i="6" s="1"/>
  <c r="K23" i="6" s="1"/>
  <c r="L23" i="6" s="1"/>
  <c r="M23" i="6" s="1"/>
  <c r="N23" i="6" s="1"/>
  <c r="O23" i="6" s="1"/>
  <c r="P23" i="6" s="1"/>
  <c r="E23" i="6"/>
  <c r="E19" i="6"/>
  <c r="F9" i="6" s="1"/>
  <c r="F19" i="6" s="1"/>
  <c r="G16" i="6"/>
  <c r="E16" i="6"/>
  <c r="P13" i="6"/>
  <c r="O13" i="6"/>
  <c r="K13" i="6"/>
  <c r="J13" i="6"/>
  <c r="H13" i="6"/>
  <c r="E13" i="6"/>
  <c r="O12" i="6"/>
  <c r="N12" i="6"/>
  <c r="N13" i="6" s="1"/>
  <c r="M12" i="6"/>
  <c r="M13" i="6" s="1"/>
  <c r="L12" i="6"/>
  <c r="L13" i="6" s="1"/>
  <c r="K12" i="6"/>
  <c r="J12" i="6"/>
  <c r="I12" i="6"/>
  <c r="I13" i="6" s="1"/>
  <c r="H12" i="6"/>
  <c r="G12" i="6"/>
  <c r="G13" i="6" s="1"/>
  <c r="F12" i="6"/>
  <c r="F13" i="6" s="1"/>
  <c r="E12" i="6"/>
  <c r="S11" i="6"/>
  <c r="R11" i="6"/>
  <c r="AM153" i="1"/>
  <c r="AH153" i="1"/>
  <c r="AB153" i="1"/>
  <c r="V153" i="1"/>
  <c r="P153" i="1"/>
  <c r="J153" i="1"/>
  <c r="D153" i="1"/>
  <c r="AM152" i="1"/>
  <c r="AH152" i="1"/>
  <c r="AB152" i="1"/>
  <c r="V152" i="1"/>
  <c r="P152" i="1"/>
  <c r="J152" i="1"/>
  <c r="D152" i="1"/>
  <c r="AM151" i="1"/>
  <c r="AH151" i="1"/>
  <c r="AB151" i="1"/>
  <c r="V151" i="1"/>
  <c r="P151" i="1"/>
  <c r="J151" i="1"/>
  <c r="D151" i="1"/>
  <c r="AM150" i="1"/>
  <c r="AH150" i="1"/>
  <c r="AB150" i="1"/>
  <c r="V150" i="1"/>
  <c r="P150" i="1"/>
  <c r="J150" i="1"/>
  <c r="D150" i="1"/>
  <c r="AM149" i="1"/>
  <c r="AH149" i="1"/>
  <c r="AB149" i="1"/>
  <c r="V149" i="1"/>
  <c r="P149" i="1"/>
  <c r="J149" i="1"/>
  <c r="D149" i="1"/>
  <c r="AM148" i="1"/>
  <c r="AH148" i="1"/>
  <c r="AB148" i="1"/>
  <c r="V148" i="1"/>
  <c r="P148" i="1"/>
  <c r="J148" i="1"/>
  <c r="D148" i="1"/>
  <c r="AM147" i="1"/>
  <c r="AH147" i="1"/>
  <c r="AB147" i="1"/>
  <c r="V147" i="1"/>
  <c r="P147" i="1"/>
  <c r="J147" i="1"/>
  <c r="D147" i="1"/>
  <c r="AM146" i="1"/>
  <c r="AH146" i="1"/>
  <c r="AB146" i="1"/>
  <c r="V146" i="1"/>
  <c r="P146" i="1"/>
  <c r="J146" i="1"/>
  <c r="D146" i="1"/>
  <c r="AM145" i="1"/>
  <c r="AH145" i="1"/>
  <c r="AB145" i="1"/>
  <c r="V145" i="1"/>
  <c r="P145" i="1"/>
  <c r="J145" i="1"/>
  <c r="D145" i="1"/>
  <c r="AM144" i="1"/>
  <c r="AH144" i="1"/>
  <c r="AB144" i="1"/>
  <c r="V144" i="1"/>
  <c r="P144" i="1"/>
  <c r="J144" i="1"/>
  <c r="D144" i="1"/>
  <c r="AM143" i="1"/>
  <c r="AH143" i="1"/>
  <c r="AB143" i="1"/>
  <c r="V143" i="1"/>
  <c r="P143" i="1"/>
  <c r="J143" i="1"/>
  <c r="D143" i="1"/>
  <c r="AM142" i="1"/>
  <c r="AH142" i="1"/>
  <c r="AB142" i="1"/>
  <c r="V142" i="1"/>
  <c r="P142" i="1"/>
  <c r="J142" i="1"/>
  <c r="D142" i="1"/>
  <c r="AM141" i="1"/>
  <c r="AH141" i="1"/>
  <c r="AB141" i="1"/>
  <c r="V141" i="1"/>
  <c r="P141" i="1"/>
  <c r="J141" i="1"/>
  <c r="D141" i="1"/>
  <c r="AM140" i="1"/>
  <c r="AH140" i="1"/>
  <c r="AB140" i="1"/>
  <c r="V140" i="1"/>
  <c r="P140" i="1"/>
  <c r="J140" i="1"/>
  <c r="D140" i="1"/>
  <c r="AM139" i="1"/>
  <c r="AH139" i="1"/>
  <c r="AB139" i="1"/>
  <c r="V139" i="1"/>
  <c r="P139" i="1"/>
  <c r="J139" i="1"/>
  <c r="D139" i="1"/>
  <c r="AM138" i="1"/>
  <c r="AH138" i="1"/>
  <c r="AB138" i="1"/>
  <c r="V138" i="1"/>
  <c r="P138" i="1"/>
  <c r="J138" i="1"/>
  <c r="D138" i="1"/>
  <c r="AM137" i="1"/>
  <c r="AH137" i="1"/>
  <c r="AB137" i="1"/>
  <c r="V137" i="1"/>
  <c r="P137" i="1"/>
  <c r="J137" i="1"/>
  <c r="D137" i="1"/>
  <c r="AM136" i="1"/>
  <c r="AH136" i="1"/>
  <c r="AB136" i="1"/>
  <c r="V136" i="1"/>
  <c r="P136" i="1"/>
  <c r="J136" i="1"/>
  <c r="D136" i="1"/>
  <c r="AM135" i="1"/>
  <c r="AH135" i="1"/>
  <c r="AB135" i="1"/>
  <c r="V135" i="1"/>
  <c r="P135" i="1"/>
  <c r="J135" i="1"/>
  <c r="D135" i="1"/>
  <c r="AM134" i="1"/>
  <c r="AM154" i="1" s="1"/>
  <c r="AH134" i="1"/>
  <c r="AB134" i="1"/>
  <c r="V134" i="1"/>
  <c r="P134" i="1"/>
  <c r="J134" i="1"/>
  <c r="D134" i="1"/>
  <c r="AM133" i="1"/>
  <c r="AH133" i="1"/>
  <c r="AB133" i="1"/>
  <c r="V133" i="1"/>
  <c r="P133" i="1"/>
  <c r="P154" i="1" s="1"/>
  <c r="J133" i="1"/>
  <c r="J154" i="1" s="1"/>
  <c r="D133" i="1"/>
  <c r="AG129" i="1"/>
  <c r="AF129" i="1"/>
  <c r="AH129" i="1" s="1"/>
  <c r="AA129" i="1"/>
  <c r="Z129" i="1"/>
  <c r="V129" i="1"/>
  <c r="U129" i="1"/>
  <c r="T129" i="1"/>
  <c r="O129" i="1"/>
  <c r="P129" i="1" s="1"/>
  <c r="N129" i="1"/>
  <c r="I129" i="1"/>
  <c r="H129" i="1"/>
  <c r="J129" i="1" s="1"/>
  <c r="C129" i="1"/>
  <c r="B129" i="1"/>
  <c r="AM76" i="1"/>
  <c r="AH76" i="1"/>
  <c r="AB76" i="1"/>
  <c r="V76" i="1"/>
  <c r="P76" i="1"/>
  <c r="J76" i="1"/>
  <c r="D76" i="1"/>
  <c r="AH75" i="1"/>
  <c r="AB75" i="1"/>
  <c r="V75" i="1"/>
  <c r="P75" i="1"/>
  <c r="J75" i="1"/>
  <c r="D75" i="1"/>
  <c r="AM75" i="1" s="1"/>
  <c r="AH74" i="1"/>
  <c r="AB74" i="1"/>
  <c r="AM74" i="1" s="1"/>
  <c r="V74" i="1"/>
  <c r="P74" i="1"/>
  <c r="J74" i="1"/>
  <c r="D74" i="1"/>
  <c r="AH73" i="1"/>
  <c r="AB73" i="1"/>
  <c r="V73" i="1"/>
  <c r="P73" i="1"/>
  <c r="J73" i="1"/>
  <c r="D73" i="1"/>
  <c r="AM73" i="1" s="1"/>
  <c r="AH72" i="1"/>
  <c r="AB72" i="1"/>
  <c r="V72" i="1"/>
  <c r="P72" i="1"/>
  <c r="J72" i="1"/>
  <c r="D72" i="1"/>
  <c r="AM72" i="1" s="1"/>
  <c r="AH71" i="1"/>
  <c r="AB71" i="1"/>
  <c r="V71" i="1"/>
  <c r="AM71" i="1" s="1"/>
  <c r="P71" i="1"/>
  <c r="J71" i="1"/>
  <c r="D71" i="1"/>
  <c r="AH70" i="1"/>
  <c r="AB70" i="1"/>
  <c r="V70" i="1"/>
  <c r="P70" i="1"/>
  <c r="J70" i="1"/>
  <c r="D70" i="1"/>
  <c r="AH69" i="1"/>
  <c r="AB69" i="1"/>
  <c r="V69" i="1"/>
  <c r="P69" i="1"/>
  <c r="J69" i="1"/>
  <c r="D69" i="1"/>
  <c r="AH68" i="1"/>
  <c r="AB68" i="1"/>
  <c r="V68" i="1"/>
  <c r="P68" i="1"/>
  <c r="AM68" i="1" s="1"/>
  <c r="J68" i="1"/>
  <c r="D68" i="1"/>
  <c r="AH67" i="1"/>
  <c r="AB67" i="1"/>
  <c r="V67" i="1"/>
  <c r="P67" i="1"/>
  <c r="J67" i="1"/>
  <c r="AM67" i="1" s="1"/>
  <c r="D67" i="1"/>
  <c r="AH66" i="1"/>
  <c r="AB66" i="1"/>
  <c r="V66" i="1"/>
  <c r="P66" i="1"/>
  <c r="J66" i="1"/>
  <c r="D66" i="1"/>
  <c r="AM66" i="1" s="1"/>
  <c r="AH65" i="1"/>
  <c r="AB65" i="1"/>
  <c r="V65" i="1"/>
  <c r="P65" i="1"/>
  <c r="J65" i="1"/>
  <c r="D65" i="1"/>
  <c r="AM65" i="1" s="1"/>
  <c r="AH64" i="1"/>
  <c r="AB64" i="1"/>
  <c r="V64" i="1"/>
  <c r="P64" i="1"/>
  <c r="AM64" i="1" s="1"/>
  <c r="J64" i="1"/>
  <c r="D64" i="1"/>
  <c r="AH63" i="1"/>
  <c r="AB63" i="1"/>
  <c r="V63" i="1"/>
  <c r="P63" i="1"/>
  <c r="J63" i="1"/>
  <c r="D63" i="1"/>
  <c r="AM63" i="1" s="1"/>
  <c r="AH62" i="1"/>
  <c r="AB62" i="1"/>
  <c r="V62" i="1"/>
  <c r="P62" i="1"/>
  <c r="J62" i="1"/>
  <c r="D62" i="1"/>
  <c r="AM62" i="1" s="1"/>
  <c r="AH61" i="1"/>
  <c r="AB61" i="1"/>
  <c r="V61" i="1"/>
  <c r="P61" i="1"/>
  <c r="AM61" i="1" s="1"/>
  <c r="J61" i="1"/>
  <c r="D61" i="1"/>
  <c r="AH60" i="1"/>
  <c r="AB60" i="1"/>
  <c r="V60" i="1"/>
  <c r="P60" i="1"/>
  <c r="J60" i="1"/>
  <c r="AM60" i="1" s="1"/>
  <c r="D60" i="1"/>
  <c r="AH59" i="1"/>
  <c r="AB59" i="1"/>
  <c r="AM59" i="1" s="1"/>
  <c r="V59" i="1"/>
  <c r="P59" i="1"/>
  <c r="J59" i="1"/>
  <c r="D59" i="1"/>
  <c r="AH58" i="1"/>
  <c r="AB58" i="1"/>
  <c r="V58" i="1"/>
  <c r="P58" i="1"/>
  <c r="J58" i="1"/>
  <c r="D58" i="1"/>
  <c r="AM58" i="1" s="1"/>
  <c r="AM57" i="1"/>
  <c r="AH57" i="1"/>
  <c r="AB57" i="1"/>
  <c r="V57" i="1"/>
  <c r="P57" i="1"/>
  <c r="J57" i="1"/>
  <c r="D57" i="1"/>
  <c r="AH56" i="1"/>
  <c r="AB56" i="1"/>
  <c r="V56" i="1"/>
  <c r="P56" i="1"/>
  <c r="J56" i="1"/>
  <c r="J77" i="1" s="1"/>
  <c r="D56" i="1"/>
  <c r="D77" i="1" s="1"/>
  <c r="AG49" i="1"/>
  <c r="AH49" i="1" s="1"/>
  <c r="AF49" i="1"/>
  <c r="AB49" i="1"/>
  <c r="AA49" i="1"/>
  <c r="Z49" i="1"/>
  <c r="V49" i="1"/>
  <c r="U49" i="1"/>
  <c r="T49" i="1"/>
  <c r="P49" i="1"/>
  <c r="O49" i="1"/>
  <c r="N49" i="1"/>
  <c r="I49" i="1"/>
  <c r="J49" i="1" s="1"/>
  <c r="H49" i="1"/>
  <c r="D49" i="1"/>
  <c r="D50" i="1" s="1"/>
  <c r="C49" i="1"/>
  <c r="B49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J3" i="1" s="1"/>
  <c r="G4" i="7" l="1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K3" i="7" s="1"/>
  <c r="G50" i="7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P3" i="1" s="1"/>
  <c r="J50" i="1"/>
  <c r="AH77" i="1"/>
  <c r="V77" i="1"/>
  <c r="AH154" i="1"/>
  <c r="P77" i="1"/>
  <c r="AB129" i="1"/>
  <c r="AB77" i="1"/>
  <c r="D129" i="1"/>
  <c r="AM69" i="1"/>
  <c r="AM56" i="1"/>
  <c r="D154" i="1"/>
  <c r="V154" i="1"/>
  <c r="AM70" i="1"/>
  <c r="AB154" i="1"/>
  <c r="F26" i="6"/>
  <c r="G9" i="6"/>
  <c r="G19" i="6" s="1"/>
  <c r="H9" i="6" s="1"/>
  <c r="H19" i="6" s="1"/>
  <c r="I9" i="6" s="1"/>
  <c r="I19" i="6" s="1"/>
  <c r="J9" i="6" s="1"/>
  <c r="J19" i="6" s="1"/>
  <c r="K9" i="6" s="1"/>
  <c r="K19" i="6" s="1"/>
  <c r="L9" i="6" s="1"/>
  <c r="L19" i="6" s="1"/>
  <c r="M9" i="6" s="1"/>
  <c r="M19" i="6" s="1"/>
  <c r="N9" i="6" s="1"/>
  <c r="N19" i="6" s="1"/>
  <c r="O9" i="6" s="1"/>
  <c r="O19" i="6" s="1"/>
  <c r="P9" i="6" s="1"/>
  <c r="P19" i="6" s="1"/>
  <c r="Q9" i="6" s="1"/>
  <c r="R12" i="6"/>
  <c r="K4" i="7" l="1"/>
  <c r="K5" i="7" s="1"/>
  <c r="K6" i="7" s="1"/>
  <c r="K7" i="7" s="1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K37" i="7" s="1"/>
  <c r="K38" i="7" s="1"/>
  <c r="K39" i="7" s="1"/>
  <c r="K40" i="7" s="1"/>
  <c r="K41" i="7" s="1"/>
  <c r="K42" i="7" s="1"/>
  <c r="K43" i="7" s="1"/>
  <c r="K44" i="7" s="1"/>
  <c r="K45" i="7" s="1"/>
  <c r="K46" i="7" s="1"/>
  <c r="K47" i="7" s="1"/>
  <c r="O3" i="7" s="1"/>
  <c r="K50" i="7"/>
  <c r="R13" i="6"/>
  <c r="S12" i="6"/>
  <c r="S13" i="6" s="1"/>
  <c r="AM77" i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V3" i="1" s="1"/>
  <c r="P50" i="1"/>
  <c r="O4" i="7" l="1"/>
  <c r="O5" i="7" s="1"/>
  <c r="O6" i="7" s="1"/>
  <c r="O7" i="7" s="1"/>
  <c r="O8" i="7" s="1"/>
  <c r="O9" i="7" s="1"/>
  <c r="O10" i="7" s="1"/>
  <c r="O11" i="7" s="1"/>
  <c r="O12" i="7" s="1"/>
  <c r="O13" i="7" s="1"/>
  <c r="O14" i="7" s="1"/>
  <c r="O15" i="7" s="1"/>
  <c r="O16" i="7" s="1"/>
  <c r="O17" i="7" s="1"/>
  <c r="O18" i="7" s="1"/>
  <c r="O19" i="7" s="1"/>
  <c r="O20" i="7" s="1"/>
  <c r="O21" i="7" s="1"/>
  <c r="O22" i="7" s="1"/>
  <c r="O23" i="7" s="1"/>
  <c r="O24" i="7" s="1"/>
  <c r="O25" i="7" s="1"/>
  <c r="O26" i="7" s="1"/>
  <c r="O27" i="7" s="1"/>
  <c r="O28" i="7" s="1"/>
  <c r="O29" i="7" s="1"/>
  <c r="O30" i="7" s="1"/>
  <c r="O31" i="7" s="1"/>
  <c r="O32" i="7" s="1"/>
  <c r="O33" i="7" s="1"/>
  <c r="O34" i="7" s="1"/>
  <c r="O35" i="7" s="1"/>
  <c r="O36" i="7" s="1"/>
  <c r="O37" i="7" s="1"/>
  <c r="O38" i="7" s="1"/>
  <c r="O39" i="7" s="1"/>
  <c r="O40" i="7" s="1"/>
  <c r="O41" i="7" s="1"/>
  <c r="O42" i="7" s="1"/>
  <c r="O43" i="7" s="1"/>
  <c r="O44" i="7" s="1"/>
  <c r="O45" i="7" s="1"/>
  <c r="O46" i="7" s="1"/>
  <c r="O47" i="7" s="1"/>
  <c r="S3" i="7" s="1"/>
  <c r="O50" i="7"/>
  <c r="V50" i="1"/>
  <c r="V4" i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AB3" i="1" s="1"/>
  <c r="S4" i="7" l="1"/>
  <c r="S5" i="7" s="1"/>
  <c r="S6" i="7" s="1"/>
  <c r="S7" i="7" s="1"/>
  <c r="S8" i="7" s="1"/>
  <c r="S9" i="7" s="1"/>
  <c r="S10" i="7" s="1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S21" i="7" s="1"/>
  <c r="S22" i="7" s="1"/>
  <c r="S23" i="7" s="1"/>
  <c r="S24" i="7" s="1"/>
  <c r="S25" i="7" s="1"/>
  <c r="S26" i="7" s="1"/>
  <c r="S27" i="7" s="1"/>
  <c r="S28" i="7" s="1"/>
  <c r="S29" i="7" s="1"/>
  <c r="S30" i="7" s="1"/>
  <c r="S31" i="7" s="1"/>
  <c r="S32" i="7" s="1"/>
  <c r="S33" i="7" s="1"/>
  <c r="S34" i="7" s="1"/>
  <c r="S35" i="7" s="1"/>
  <c r="S36" i="7" s="1"/>
  <c r="S37" i="7" s="1"/>
  <c r="S38" i="7" s="1"/>
  <c r="S39" i="7" s="1"/>
  <c r="S40" i="7" s="1"/>
  <c r="S41" i="7" s="1"/>
  <c r="S42" i="7" s="1"/>
  <c r="S43" i="7" s="1"/>
  <c r="S44" i="7" s="1"/>
  <c r="S45" i="7" s="1"/>
  <c r="S46" i="7" s="1"/>
  <c r="S47" i="7" s="1"/>
  <c r="W3" i="7" s="1"/>
  <c r="S50" i="7"/>
  <c r="AB50" i="1"/>
  <c r="AB4" i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H3" i="1" s="1"/>
  <c r="W4" i="7" l="1"/>
  <c r="W5" i="7" s="1"/>
  <c r="W6" i="7" s="1"/>
  <c r="W7" i="7" s="1"/>
  <c r="W8" i="7" s="1"/>
  <c r="W9" i="7" s="1"/>
  <c r="W10" i="7" s="1"/>
  <c r="W11" i="7" s="1"/>
  <c r="W12" i="7" s="1"/>
  <c r="W13" i="7" s="1"/>
  <c r="W14" i="7" s="1"/>
  <c r="W15" i="7" s="1"/>
  <c r="W16" i="7" s="1"/>
  <c r="W17" i="7" s="1"/>
  <c r="W18" i="7" s="1"/>
  <c r="W19" i="7" s="1"/>
  <c r="W20" i="7" s="1"/>
  <c r="W21" i="7" s="1"/>
  <c r="W22" i="7" s="1"/>
  <c r="W23" i="7" s="1"/>
  <c r="W24" i="7" s="1"/>
  <c r="W25" i="7" s="1"/>
  <c r="W26" i="7" s="1"/>
  <c r="W27" i="7" s="1"/>
  <c r="W28" i="7" s="1"/>
  <c r="W29" i="7" s="1"/>
  <c r="W30" i="7" s="1"/>
  <c r="W31" i="7" s="1"/>
  <c r="W32" i="7" s="1"/>
  <c r="W33" i="7" s="1"/>
  <c r="W34" i="7" s="1"/>
  <c r="W35" i="7" s="1"/>
  <c r="W36" i="7" s="1"/>
  <c r="W37" i="7" s="1"/>
  <c r="W38" i="7" s="1"/>
  <c r="W39" i="7" s="1"/>
  <c r="W40" i="7" s="1"/>
  <c r="W41" i="7" s="1"/>
  <c r="W42" i="7" s="1"/>
  <c r="W43" i="7" s="1"/>
  <c r="W44" i="7" s="1"/>
  <c r="W45" i="7" s="1"/>
  <c r="W46" i="7" s="1"/>
  <c r="W47" i="7" s="1"/>
  <c r="C59" i="7" s="1"/>
  <c r="W50" i="7"/>
  <c r="AH50" i="1"/>
  <c r="AH4" i="1"/>
  <c r="AH5" i="1" s="1"/>
  <c r="AH6" i="1" s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D83" i="1" s="1"/>
  <c r="C106" i="7" l="1"/>
  <c r="C60" i="7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G59" i="7" s="1"/>
  <c r="D130" i="1"/>
  <c r="D84" i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J83" i="1" s="1"/>
  <c r="G106" i="7" l="1"/>
  <c r="G60" i="7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K59" i="7" s="1"/>
  <c r="J84" i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P83" i="1" s="1"/>
  <c r="J130" i="1"/>
  <c r="K106" i="7" l="1"/>
  <c r="K60" i="7"/>
  <c r="K61" i="7" s="1"/>
  <c r="K62" i="7" s="1"/>
  <c r="K63" i="7" s="1"/>
  <c r="K64" i="7" s="1"/>
  <c r="K65" i="7" s="1"/>
  <c r="K66" i="7" s="1"/>
  <c r="K67" i="7" s="1"/>
  <c r="K68" i="7" s="1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K83" i="7" s="1"/>
  <c r="K84" i="7" s="1"/>
  <c r="K85" i="7" s="1"/>
  <c r="K86" i="7" s="1"/>
  <c r="K87" i="7" s="1"/>
  <c r="K88" i="7" s="1"/>
  <c r="K89" i="7" s="1"/>
  <c r="K90" i="7" s="1"/>
  <c r="K91" i="7" s="1"/>
  <c r="K92" i="7" s="1"/>
  <c r="K93" i="7" s="1"/>
  <c r="K94" i="7" s="1"/>
  <c r="K95" i="7" s="1"/>
  <c r="K96" i="7" s="1"/>
  <c r="K97" i="7" s="1"/>
  <c r="K98" i="7" s="1"/>
  <c r="K99" i="7" s="1"/>
  <c r="K100" i="7" s="1"/>
  <c r="K101" i="7" s="1"/>
  <c r="K102" i="7" s="1"/>
  <c r="K103" i="7" s="1"/>
  <c r="O59" i="7" s="1"/>
  <c r="P130" i="1"/>
  <c r="P84" i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V83" i="1" s="1"/>
  <c r="O106" i="7" l="1"/>
  <c r="O60" i="7"/>
  <c r="O61" i="7" s="1"/>
  <c r="O62" i="7" s="1"/>
  <c r="O63" i="7" s="1"/>
  <c r="O64" i="7" s="1"/>
  <c r="O65" i="7" s="1"/>
  <c r="O66" i="7" s="1"/>
  <c r="O67" i="7" s="1"/>
  <c r="O68" i="7" s="1"/>
  <c r="O69" i="7" s="1"/>
  <c r="O70" i="7" s="1"/>
  <c r="O71" i="7" s="1"/>
  <c r="O72" i="7" s="1"/>
  <c r="O73" i="7" s="1"/>
  <c r="O74" i="7" s="1"/>
  <c r="O75" i="7" s="1"/>
  <c r="O76" i="7" s="1"/>
  <c r="O77" i="7" s="1"/>
  <c r="O78" i="7" s="1"/>
  <c r="O79" i="7" s="1"/>
  <c r="O80" i="7" s="1"/>
  <c r="O81" i="7" s="1"/>
  <c r="O82" i="7" s="1"/>
  <c r="O83" i="7" s="1"/>
  <c r="O84" i="7" s="1"/>
  <c r="O85" i="7" s="1"/>
  <c r="O86" i="7" s="1"/>
  <c r="O87" i="7" s="1"/>
  <c r="O88" i="7" s="1"/>
  <c r="O89" i="7" s="1"/>
  <c r="O90" i="7" s="1"/>
  <c r="O91" i="7" s="1"/>
  <c r="O92" i="7" s="1"/>
  <c r="O93" i="7" s="1"/>
  <c r="O94" i="7" s="1"/>
  <c r="O95" i="7" s="1"/>
  <c r="O96" i="7" s="1"/>
  <c r="O97" i="7" s="1"/>
  <c r="O98" i="7" s="1"/>
  <c r="O99" i="7" s="1"/>
  <c r="O100" i="7" s="1"/>
  <c r="O101" i="7" s="1"/>
  <c r="O102" i="7" s="1"/>
  <c r="O103" i="7" s="1"/>
  <c r="S59" i="7" s="1"/>
  <c r="V84" i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AB83" i="1" s="1"/>
  <c r="AB84" i="1" s="1"/>
  <c r="AB85" i="1" s="1"/>
  <c r="AB86" i="1" s="1"/>
  <c r="AB87" i="1" s="1"/>
  <c r="AB88" i="1" s="1"/>
  <c r="AB89" i="1" s="1"/>
  <c r="AB90" i="1" s="1"/>
  <c r="AB91" i="1" s="1"/>
  <c r="AB92" i="1" s="1"/>
  <c r="AB93" i="1" s="1"/>
  <c r="AB94" i="1" s="1"/>
  <c r="AB95" i="1" s="1"/>
  <c r="AB96" i="1" s="1"/>
  <c r="AB97" i="1" s="1"/>
  <c r="AB98" i="1" s="1"/>
  <c r="AB99" i="1" s="1"/>
  <c r="AB100" i="1" s="1"/>
  <c r="AB101" i="1" s="1"/>
  <c r="AB102" i="1" s="1"/>
  <c r="AB103" i="1" s="1"/>
  <c r="AB104" i="1" s="1"/>
  <c r="AB105" i="1" s="1"/>
  <c r="AB106" i="1" s="1"/>
  <c r="AB107" i="1" s="1"/>
  <c r="AB108" i="1" s="1"/>
  <c r="AB109" i="1" s="1"/>
  <c r="AB110" i="1" s="1"/>
  <c r="AB111" i="1" s="1"/>
  <c r="AB112" i="1" s="1"/>
  <c r="AB113" i="1" s="1"/>
  <c r="AB114" i="1" s="1"/>
  <c r="AB115" i="1" s="1"/>
  <c r="AB116" i="1" s="1"/>
  <c r="AB117" i="1" s="1"/>
  <c r="AB118" i="1" s="1"/>
  <c r="AB119" i="1" s="1"/>
  <c r="AB120" i="1" s="1"/>
  <c r="AB121" i="1" s="1"/>
  <c r="AB122" i="1" s="1"/>
  <c r="AB123" i="1" s="1"/>
  <c r="AB124" i="1" s="1"/>
  <c r="AB125" i="1" s="1"/>
  <c r="AB126" i="1" s="1"/>
  <c r="AB127" i="1" s="1"/>
  <c r="AH83" i="1" s="1"/>
  <c r="AH84" i="1" s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H112" i="1" s="1"/>
  <c r="AH113" i="1" s="1"/>
  <c r="AH114" i="1" s="1"/>
  <c r="AH115" i="1" s="1"/>
  <c r="AH116" i="1" s="1"/>
  <c r="AH117" i="1" s="1"/>
  <c r="AH118" i="1" s="1"/>
  <c r="AH119" i="1" s="1"/>
  <c r="AH120" i="1" s="1"/>
  <c r="AH121" i="1" s="1"/>
  <c r="AH122" i="1" s="1"/>
  <c r="AH123" i="1" s="1"/>
  <c r="AH124" i="1" s="1"/>
  <c r="AH125" i="1" s="1"/>
  <c r="AH126" i="1" s="1"/>
  <c r="V130" i="1"/>
  <c r="S106" i="7" l="1"/>
  <c r="S60" i="7"/>
  <c r="S61" i="7" s="1"/>
  <c r="S62" i="7" s="1"/>
  <c r="S63" i="7" s="1"/>
  <c r="S64" i="7" s="1"/>
  <c r="S65" i="7" s="1"/>
  <c r="S66" i="7" s="1"/>
  <c r="S67" i="7" s="1"/>
  <c r="S68" i="7" s="1"/>
  <c r="S69" i="7" s="1"/>
  <c r="S70" i="7" s="1"/>
  <c r="S71" i="7" s="1"/>
  <c r="S72" i="7" s="1"/>
  <c r="S73" i="7" s="1"/>
  <c r="S74" i="7" s="1"/>
  <c r="S75" i="7" s="1"/>
  <c r="S76" i="7" s="1"/>
  <c r="S77" i="7" s="1"/>
  <c r="S78" i="7" s="1"/>
  <c r="S79" i="7" s="1"/>
  <c r="S80" i="7" s="1"/>
  <c r="S81" i="7" s="1"/>
  <c r="S82" i="7" s="1"/>
  <c r="S83" i="7" s="1"/>
  <c r="S84" i="7" s="1"/>
  <c r="S85" i="7" s="1"/>
  <c r="S86" i="7" s="1"/>
  <c r="S87" i="7" s="1"/>
  <c r="S88" i="7" s="1"/>
  <c r="S89" i="7" s="1"/>
  <c r="S90" i="7" s="1"/>
  <c r="S91" i="7" s="1"/>
  <c r="S92" i="7" s="1"/>
  <c r="S93" i="7" s="1"/>
  <c r="S94" i="7" s="1"/>
  <c r="S95" i="7" s="1"/>
  <c r="S96" i="7" s="1"/>
  <c r="S97" i="7" s="1"/>
  <c r="S98" i="7" s="1"/>
  <c r="S99" i="7" s="1"/>
  <c r="S100" i="7" s="1"/>
  <c r="S101" i="7" s="1"/>
  <c r="S102" i="7" s="1"/>
  <c r="S103" i="7" s="1"/>
  <c r="W59" i="7" s="1"/>
  <c r="W106" i="7" l="1"/>
  <c r="W60" i="7"/>
  <c r="W61" i="7" s="1"/>
  <c r="W62" i="7" s="1"/>
  <c r="W63" i="7" s="1"/>
  <c r="W64" i="7" s="1"/>
  <c r="W65" i="7" s="1"/>
  <c r="W66" i="7" s="1"/>
  <c r="W67" i="7" s="1"/>
  <c r="W68" i="7" s="1"/>
  <c r="W69" i="7" s="1"/>
  <c r="W70" i="7" s="1"/>
  <c r="W71" i="7" s="1"/>
  <c r="W72" i="7" s="1"/>
  <c r="W73" i="7" s="1"/>
  <c r="W74" i="7" s="1"/>
  <c r="W75" i="7" s="1"/>
  <c r="W76" i="7" s="1"/>
  <c r="W77" i="7" s="1"/>
  <c r="W78" i="7" s="1"/>
  <c r="W79" i="7" s="1"/>
  <c r="W80" i="7" s="1"/>
  <c r="W81" i="7" s="1"/>
  <c r="W82" i="7" s="1"/>
  <c r="W83" i="7" s="1"/>
  <c r="W84" i="7" s="1"/>
  <c r="W85" i="7" s="1"/>
  <c r="W86" i="7" s="1"/>
  <c r="W87" i="7" s="1"/>
  <c r="W88" i="7" s="1"/>
  <c r="W89" i="7" s="1"/>
  <c r="W90" i="7" s="1"/>
  <c r="W91" i="7" s="1"/>
  <c r="W92" i="7" s="1"/>
  <c r="W93" i="7" s="1"/>
  <c r="W94" i="7" s="1"/>
  <c r="W95" i="7" s="1"/>
  <c r="W96" i="7" s="1"/>
  <c r="W97" i="7" s="1"/>
  <c r="W98" i="7" s="1"/>
  <c r="W99" i="7" s="1"/>
  <c r="W100" i="7" s="1"/>
  <c r="W101" i="7" s="1"/>
  <c r="W10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ID#AAACADl10W4
Anesia Tang Boon Kiang    (2026-07-16 03:44:13)
大悲水结缘用袋子</t>
        </r>
      </text>
    </comment>
    <comment ref="C2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ID#AAACADl10W0
Anesia Tang Boon Kiang    (2026-07-16 03:44:13)
Fire Extinguisher 灭火器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gTWONGBLP6b2/z5vGASXQ/ePfMA=="/>
    </ext>
  </extLst>
</comments>
</file>

<file path=xl/sharedStrings.xml><?xml version="1.0" encoding="utf-8"?>
<sst xmlns="http://schemas.openxmlformats.org/spreadsheetml/2006/main" count="637" uniqueCount="63">
  <si>
    <t>Date</t>
  </si>
  <si>
    <t xml:space="preserve">in </t>
  </si>
  <si>
    <t>out</t>
  </si>
  <si>
    <t>bal</t>
  </si>
  <si>
    <t>Itemised</t>
  </si>
  <si>
    <t>ITEMISED</t>
  </si>
  <si>
    <t>blf</t>
  </si>
  <si>
    <t>佛具</t>
  </si>
  <si>
    <t>供花</t>
  </si>
  <si>
    <t>GYT Cash In</t>
  </si>
  <si>
    <t>供油</t>
  </si>
  <si>
    <t>Celcom Reload</t>
  </si>
  <si>
    <t>佛台用品</t>
  </si>
  <si>
    <t>供果</t>
  </si>
  <si>
    <t>Digi Reload</t>
  </si>
  <si>
    <t>TNB 20-1</t>
  </si>
  <si>
    <t>供香</t>
  </si>
  <si>
    <t>TNB 20-2</t>
  </si>
  <si>
    <t>MKJ License Fee</t>
  </si>
  <si>
    <t>Air Selangor 20-1</t>
  </si>
  <si>
    <t>Air Selangor 20-2</t>
  </si>
  <si>
    <t>Unifi Internet</t>
  </si>
  <si>
    <t>Indah Water</t>
  </si>
  <si>
    <t>印刷</t>
  </si>
  <si>
    <t>Adv. Pay</t>
  </si>
  <si>
    <t>卫生用品</t>
  </si>
  <si>
    <t>Air-con Service</t>
  </si>
  <si>
    <t>GYT 装修/维修</t>
  </si>
  <si>
    <t>Others / 其他</t>
  </si>
  <si>
    <t>GYT 装修</t>
  </si>
  <si>
    <t>JIA YUN</t>
  </si>
  <si>
    <t>19/3</t>
  </si>
  <si>
    <t>Cash in hand</t>
  </si>
  <si>
    <t>Missing</t>
  </si>
  <si>
    <t>Apr-26</t>
  </si>
  <si>
    <t>Jan-Jun26</t>
  </si>
  <si>
    <t>Jul-Dec26</t>
  </si>
  <si>
    <t>Petty Cash 2022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</si>
  <si>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</si>
  <si>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</si>
  <si>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</si>
  <si>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</si>
  <si>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</si>
  <si>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</si>
  <si>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</si>
  <si>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</si>
  <si>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</si>
  <si>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</si>
  <si>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</si>
  <si>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</si>
  <si>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Dec - 21</t>
  </si>
  <si>
    <t xml:space="preserve"> JAN 23</t>
  </si>
  <si>
    <t>PETTY CASH BOOK IN TOTAL (RECEIPTS &amp; PCB) B/F</t>
  </si>
  <si>
    <t>Receipt book - Members Monthly Fees</t>
  </si>
  <si>
    <t>BANK IN HLB</t>
  </si>
  <si>
    <t>balance</t>
  </si>
  <si>
    <t>Petty cash book</t>
  </si>
  <si>
    <t>Cash in - HLB Cheras/HQ MBB</t>
  </si>
  <si>
    <t>Cash out - Expenses</t>
  </si>
  <si>
    <t xml:space="preserve">sam </t>
  </si>
  <si>
    <t>Balance C/F</t>
  </si>
  <si>
    <t>petty cash book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</si>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</sst>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dd/mm/yy"/>
  </numFmts>
  <fonts count="10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9"/>
      <name val="Calibri"/>
      <family val="3"/>
      <charset val="134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92D050"/>
        <bgColor rgb="FF92D050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177" fontId="3" fillId="0" borderId="4" xfId="0" applyNumberFormat="1" applyFont="1" applyBorder="1"/>
    <xf numFmtId="176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5" xfId="0" applyFont="1" applyFill="1" applyBorder="1"/>
    <xf numFmtId="177" fontId="3" fillId="0" borderId="5" xfId="0" applyNumberFormat="1" applyFont="1" applyBorder="1"/>
    <xf numFmtId="176" fontId="3" fillId="0" borderId="5" xfId="0" applyNumberFormat="1" applyFont="1" applyBorder="1" applyAlignment="1">
      <alignment horizontal="center"/>
    </xf>
    <xf numFmtId="176" fontId="3" fillId="0" borderId="5" xfId="0" applyNumberFormat="1" applyFont="1" applyBorder="1"/>
    <xf numFmtId="2" fontId="3" fillId="0" borderId="5" xfId="0" applyNumberFormat="1" applyFont="1" applyBorder="1"/>
    <xf numFmtId="176" fontId="3" fillId="4" borderId="5" xfId="0" applyNumberFormat="1" applyFont="1" applyFill="1" applyBorder="1"/>
    <xf numFmtId="0" fontId="4" fillId="0" borderId="0" xfId="0" applyFont="1"/>
    <xf numFmtId="176" fontId="3" fillId="2" borderId="5" xfId="0" applyNumberFormat="1" applyFont="1" applyFill="1" applyBorder="1"/>
    <xf numFmtId="2" fontId="3" fillId="0" borderId="0" xfId="0" applyNumberFormat="1" applyFont="1" applyAlignment="1">
      <alignment horizontal="left"/>
    </xf>
    <xf numFmtId="2" fontId="3" fillId="0" borderId="0" xfId="0" applyNumberFormat="1" applyFont="1"/>
    <xf numFmtId="18" fontId="3" fillId="0" borderId="0" xfId="0" applyNumberFormat="1" applyFont="1"/>
    <xf numFmtId="176" fontId="3" fillId="0" borderId="0" xfId="0" applyNumberFormat="1" applyFont="1"/>
    <xf numFmtId="176" fontId="3" fillId="5" borderId="6" xfId="0" applyNumberFormat="1" applyFont="1" applyFill="1" applyBorder="1"/>
    <xf numFmtId="176" fontId="3" fillId="4" borderId="6" xfId="0" applyNumberFormat="1" applyFont="1" applyFill="1" applyBorder="1"/>
    <xf numFmtId="0" fontId="3" fillId="0" borderId="0" xfId="0" applyFont="1" applyAlignment="1">
      <alignment horizontal="center"/>
    </xf>
    <xf numFmtId="0" fontId="1" fillId="6" borderId="5" xfId="0" applyFont="1" applyFill="1" applyBorder="1" applyAlignment="1">
      <alignment horizontal="center" vertical="center"/>
    </xf>
    <xf numFmtId="176" fontId="3" fillId="3" borderId="5" xfId="0" applyNumberFormat="1" applyFont="1" applyFill="1" applyBorder="1"/>
    <xf numFmtId="176" fontId="3" fillId="6" borderId="5" xfId="0" applyNumberFormat="1" applyFont="1" applyFill="1" applyBorder="1"/>
    <xf numFmtId="176" fontId="3" fillId="6" borderId="10" xfId="0" applyNumberFormat="1" applyFont="1" applyFill="1" applyBorder="1"/>
    <xf numFmtId="176" fontId="1" fillId="6" borderId="5" xfId="0" applyNumberFormat="1" applyFont="1" applyFill="1" applyBorder="1"/>
    <xf numFmtId="176" fontId="5" fillId="0" borderId="5" xfId="0" applyNumberFormat="1" applyFont="1" applyBorder="1"/>
    <xf numFmtId="0" fontId="1" fillId="6" borderId="5" xfId="0" applyFont="1" applyFill="1" applyBorder="1"/>
    <xf numFmtId="0" fontId="1" fillId="0" borderId="0" xfId="0" applyFont="1" applyAlignment="1">
      <alignment horizontal="center"/>
    </xf>
    <xf numFmtId="2" fontId="3" fillId="7" borderId="6" xfId="0" applyNumberFormat="1" applyFont="1" applyFill="1" applyBorder="1"/>
    <xf numFmtId="0" fontId="1" fillId="0" borderId="0" xfId="0" applyFont="1"/>
    <xf numFmtId="2" fontId="3" fillId="2" borderId="6" xfId="0" applyNumberFormat="1" applyFont="1" applyFill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7" borderId="6" xfId="0" applyNumberFormat="1" applyFont="1" applyFill="1" applyBorder="1" applyAlignment="1">
      <alignment horizontal="right"/>
    </xf>
    <xf numFmtId="2" fontId="3" fillId="0" borderId="11" xfId="0" applyNumberFormat="1" applyFont="1" applyBorder="1" applyAlignment="1">
      <alignment horizontal="right"/>
    </xf>
    <xf numFmtId="2" fontId="3" fillId="5" borderId="10" xfId="0" applyNumberFormat="1" applyFont="1" applyFill="1" applyBorder="1" applyAlignment="1">
      <alignment horizontal="right"/>
    </xf>
    <xf numFmtId="176" fontId="3" fillId="7" borderId="6" xfId="0" applyNumberFormat="1" applyFont="1" applyFill="1" applyBorder="1"/>
    <xf numFmtId="0" fontId="8" fillId="0" borderId="5" xfId="0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2" fontId="8" fillId="0" borderId="5" xfId="0" applyNumberFormat="1" applyFont="1" applyBorder="1"/>
    <xf numFmtId="2" fontId="8" fillId="7" borderId="5" xfId="0" applyNumberFormat="1" applyFont="1" applyFill="1" applyBorder="1"/>
    <xf numFmtId="0" fontId="8" fillId="7" borderId="6" xfId="0" applyFont="1" applyFill="1" applyBorder="1"/>
    <xf numFmtId="0" fontId="8" fillId="0" borderId="5" xfId="0" applyFont="1" applyBorder="1"/>
    <xf numFmtId="18" fontId="8" fillId="7" borderId="6" xfId="0" applyNumberFormat="1" applyFont="1" applyFill="1" applyBorder="1"/>
    <xf numFmtId="2" fontId="8" fillId="5" borderId="5" xfId="0" applyNumberFormat="1" applyFont="1" applyFill="1" applyBorder="1"/>
    <xf numFmtId="2" fontId="8" fillId="0" borderId="0" xfId="0" applyNumberFormat="1" applyFont="1"/>
    <xf numFmtId="2" fontId="8" fillId="5" borderId="6" xfId="0" applyNumberFormat="1" applyFont="1" applyFill="1" applyBorder="1"/>
    <xf numFmtId="0" fontId="9" fillId="0" borderId="0" xfId="0" applyFont="1"/>
    <xf numFmtId="2" fontId="8" fillId="4" borderId="6" xfId="0" applyNumberFormat="1" applyFont="1" applyFill="1" applyBorder="1"/>
    <xf numFmtId="176" fontId="3" fillId="6" borderId="7" xfId="0" applyNumberFormat="1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17" fontId="3" fillId="6" borderId="7" xfId="0" applyNumberFormat="1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49" fontId="3" fillId="6" borderId="7" xfId="0" applyNumberFormat="1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17" fontId="8" fillId="0" borderId="7" xfId="0" applyNumberFormat="1" applyFont="1" applyBorder="1" applyAlignment="1">
      <alignment horizontal="center"/>
    </xf>
    <xf numFmtId="0" fontId="7" fillId="0" borderId="9" xfId="0" applyFont="1" applyBorder="1"/>
    <xf numFmtId="0" fontId="7" fillId="0" borderId="12" xfId="0" applyFont="1" applyBorder="1"/>
    <xf numFmtId="17" fontId="3" fillId="0" borderId="7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152400</xdr:rowOff>
    </xdr:from>
    <xdr:ext cx="6276975" cy="723900"/>
    <xdr:pic>
      <xdr:nvPicPr>
        <xdr:cNvPr id="2" name="image1.jpg" descr="_centre-1_副本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"/>
  <sheetViews>
    <sheetView tabSelected="1" topLeftCell="A4" workbookViewId="0">
      <selection activeCell="M15" sqref="M15:Q16"/>
    </sheetView>
  </sheetViews>
  <sheetFormatPr defaultColWidth="14.44140625" defaultRowHeight="15" customHeight="1"/>
  <cols>
    <col min="1" max="1" width="8.6640625" customWidth="1"/>
    <col min="2" max="2" width="11.109375" customWidth="1"/>
    <col min="3" max="3" width="16.5546875" customWidth="1"/>
    <col min="4" max="4" width="12.5546875" customWidth="1"/>
    <col min="5" max="5" width="16.5546875" customWidth="1"/>
    <col min="6" max="6" width="9" customWidth="1"/>
    <col min="7" max="7" width="8.6640625" customWidth="1"/>
    <col min="8" max="8" width="8.88671875" customWidth="1"/>
    <col min="9" max="9" width="16.5546875" customWidth="1"/>
    <col min="10" max="10" width="12.5546875" customWidth="1"/>
    <col min="11" max="11" width="16.5546875" customWidth="1"/>
    <col min="12" max="12" width="10.88671875" customWidth="1"/>
    <col min="13" max="13" width="8.6640625" customWidth="1"/>
    <col min="14" max="14" width="11.109375" customWidth="1"/>
    <col min="15" max="15" width="16.5546875" customWidth="1"/>
    <col min="16" max="16" width="12.5546875" customWidth="1"/>
    <col min="17" max="17" width="16.5546875" customWidth="1"/>
    <col min="18" max="18" width="10.88671875" customWidth="1"/>
    <col min="19" max="19" width="8.6640625" customWidth="1"/>
    <col min="20" max="20" width="11.109375" customWidth="1"/>
    <col min="21" max="21" width="16.5546875" customWidth="1"/>
    <col min="22" max="22" width="12.5546875" customWidth="1"/>
    <col min="23" max="23" width="16.5546875" customWidth="1"/>
    <col min="24" max="24" width="9.5546875" customWidth="1"/>
    <col min="25" max="25" width="8.6640625" customWidth="1"/>
    <col min="26" max="26" width="8.88671875" customWidth="1"/>
    <col min="27" max="27" width="16.5546875" customWidth="1"/>
    <col min="28" max="28" width="12.5546875" customWidth="1"/>
    <col min="29" max="29" width="16.5546875" customWidth="1"/>
    <col min="30" max="30" width="9.6640625" customWidth="1"/>
    <col min="31" max="31" width="8.6640625" customWidth="1"/>
    <col min="32" max="32" width="10.33203125" customWidth="1"/>
    <col min="33" max="33" width="16.5546875" customWidth="1"/>
    <col min="34" max="34" width="12.5546875" customWidth="1"/>
    <col min="35" max="35" width="16.5546875" customWidth="1"/>
    <col min="36" max="37" width="8.6640625" customWidth="1"/>
    <col min="38" max="38" width="16.5546875" customWidth="1"/>
    <col min="39" max="39" width="12.5546875" customWidth="1"/>
  </cols>
  <sheetData>
    <row r="1" spans="1:38" ht="14.25" customHeight="1">
      <c r="A1" s="55">
        <v>46023</v>
      </c>
      <c r="B1" s="52"/>
      <c r="C1" s="52"/>
      <c r="D1" s="52"/>
      <c r="E1" s="53"/>
      <c r="G1" s="51">
        <v>46054</v>
      </c>
      <c r="H1" s="52"/>
      <c r="I1" s="52"/>
      <c r="J1" s="52"/>
      <c r="K1" s="53"/>
      <c r="M1" s="51">
        <v>46082</v>
      </c>
      <c r="N1" s="52"/>
      <c r="O1" s="52"/>
      <c r="P1" s="52"/>
      <c r="Q1" s="53"/>
      <c r="S1" s="51">
        <v>46113</v>
      </c>
      <c r="T1" s="52"/>
      <c r="U1" s="52"/>
      <c r="V1" s="52"/>
      <c r="W1" s="53"/>
      <c r="Y1" s="51">
        <v>46143</v>
      </c>
      <c r="Z1" s="52"/>
      <c r="AA1" s="52"/>
      <c r="AB1" s="52"/>
      <c r="AC1" s="53"/>
      <c r="AE1" s="51">
        <v>46174</v>
      </c>
      <c r="AF1" s="52"/>
      <c r="AG1" s="52"/>
      <c r="AH1" s="52"/>
      <c r="AI1" s="53"/>
    </row>
    <row r="2" spans="1:38" ht="14.25" customHeight="1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G2" s="1" t="s">
        <v>0</v>
      </c>
      <c r="H2" s="2" t="s">
        <v>1</v>
      </c>
      <c r="I2" s="2" t="s">
        <v>2</v>
      </c>
      <c r="J2" s="2" t="s">
        <v>3</v>
      </c>
      <c r="K2" s="3" t="s">
        <v>4</v>
      </c>
      <c r="M2" s="1" t="s">
        <v>0</v>
      </c>
      <c r="N2" s="2" t="s">
        <v>1</v>
      </c>
      <c r="O2" s="2" t="s">
        <v>2</v>
      </c>
      <c r="P2" s="2" t="s">
        <v>3</v>
      </c>
      <c r="Q2" s="3" t="s">
        <v>4</v>
      </c>
      <c r="S2" s="1" t="s">
        <v>0</v>
      </c>
      <c r="T2" s="2" t="s">
        <v>1</v>
      </c>
      <c r="U2" s="2" t="s">
        <v>2</v>
      </c>
      <c r="V2" s="2" t="s">
        <v>3</v>
      </c>
      <c r="W2" s="3" t="s">
        <v>4</v>
      </c>
      <c r="Y2" s="1" t="s">
        <v>0</v>
      </c>
      <c r="Z2" s="2" t="s">
        <v>1</v>
      </c>
      <c r="AA2" s="2" t="s">
        <v>2</v>
      </c>
      <c r="AB2" s="2" t="s">
        <v>3</v>
      </c>
      <c r="AC2" s="3" t="s">
        <v>4</v>
      </c>
      <c r="AE2" s="1" t="s">
        <v>0</v>
      </c>
      <c r="AF2" s="2" t="s">
        <v>1</v>
      </c>
      <c r="AG2" s="2" t="s">
        <v>2</v>
      </c>
      <c r="AH2" s="2" t="s">
        <v>3</v>
      </c>
      <c r="AI2" s="3" t="s">
        <v>4</v>
      </c>
      <c r="AK2" s="4"/>
      <c r="AL2" s="4" t="s">
        <v>5</v>
      </c>
    </row>
    <row r="3" spans="1:38" ht="14.25" customHeight="1">
      <c r="A3" s="5"/>
      <c r="B3" s="6" t="s">
        <v>6</v>
      </c>
      <c r="C3" s="7"/>
      <c r="D3" s="7"/>
      <c r="E3" s="8"/>
      <c r="G3" s="5">
        <v>46054</v>
      </c>
      <c r="H3" s="6" t="s">
        <v>6</v>
      </c>
      <c r="I3" s="7"/>
      <c r="J3" s="7">
        <f>D47</f>
        <v>8177.5500000000011</v>
      </c>
      <c r="K3" s="8"/>
      <c r="M3" s="5">
        <v>46082</v>
      </c>
      <c r="N3" s="6" t="s">
        <v>6</v>
      </c>
      <c r="O3" s="7"/>
      <c r="P3" s="7">
        <f>J47</f>
        <v>2545.7500000000005</v>
      </c>
      <c r="Q3" s="8"/>
      <c r="S3" s="5">
        <v>46113</v>
      </c>
      <c r="T3" s="6" t="s">
        <v>6</v>
      </c>
      <c r="U3" s="7"/>
      <c r="V3" s="7">
        <f>P47</f>
        <v>7416.8</v>
      </c>
      <c r="W3" s="8"/>
      <c r="Y3" s="5">
        <v>46143</v>
      </c>
      <c r="Z3" s="6" t="s">
        <v>6</v>
      </c>
      <c r="AA3" s="7"/>
      <c r="AB3" s="7">
        <f>V47</f>
        <v>12403.5</v>
      </c>
      <c r="AC3" s="8"/>
      <c r="AE3" s="5">
        <v>46174</v>
      </c>
      <c r="AF3" s="6" t="s">
        <v>6</v>
      </c>
      <c r="AG3" s="7"/>
      <c r="AH3" s="7">
        <f>AB47</f>
        <v>6168.9</v>
      </c>
      <c r="AI3" s="8"/>
      <c r="AK3" s="4">
        <v>1</v>
      </c>
      <c r="AL3" s="4" t="s">
        <v>7</v>
      </c>
    </row>
    <row r="4" spans="1:38" ht="14.25" customHeight="1">
      <c r="A4" s="5">
        <v>46023</v>
      </c>
      <c r="B4" s="7">
        <v>3115.7</v>
      </c>
      <c r="C4" s="7"/>
      <c r="D4" s="7">
        <f t="shared" ref="D4:D47" si="0">D3+B4-C4</f>
        <v>3115.7</v>
      </c>
      <c r="E4" s="8"/>
      <c r="G4" s="5">
        <v>46054</v>
      </c>
      <c r="H4" s="7"/>
      <c r="I4" s="7">
        <v>195</v>
      </c>
      <c r="J4" s="7">
        <f t="shared" ref="J4:J47" si="1">J3+H4-I4</f>
        <v>7982.5500000000011</v>
      </c>
      <c r="K4" s="8" t="s">
        <v>8</v>
      </c>
      <c r="M4" s="5">
        <v>46084</v>
      </c>
      <c r="N4" s="7">
        <v>10000</v>
      </c>
      <c r="O4" s="7"/>
      <c r="P4" s="7">
        <f t="shared" ref="P4:P47" si="2">P3+N4-O4</f>
        <v>12545.75</v>
      </c>
      <c r="Q4" s="8" t="s">
        <v>9</v>
      </c>
      <c r="S4" s="5">
        <v>46116</v>
      </c>
      <c r="T4" s="7"/>
      <c r="U4" s="7">
        <v>264</v>
      </c>
      <c r="V4" s="7">
        <f t="shared" ref="V4:V47" si="3">V3+T4-U4</f>
        <v>7152.8</v>
      </c>
      <c r="W4" s="8" t="s">
        <v>8</v>
      </c>
      <c r="Y4" s="5">
        <v>46144</v>
      </c>
      <c r="Z4" s="7"/>
      <c r="AA4" s="7">
        <v>63.8</v>
      </c>
      <c r="AB4" s="7">
        <f t="shared" ref="AB4:AB47" si="4">AB3+Z4-AA4</f>
        <v>12339.7</v>
      </c>
      <c r="AC4" s="8" t="s">
        <v>10</v>
      </c>
      <c r="AE4" s="5">
        <v>46180</v>
      </c>
      <c r="AF4" s="7"/>
      <c r="AG4" s="7">
        <v>30</v>
      </c>
      <c r="AH4" s="7">
        <f t="shared" ref="AH4:AH47" si="5">AH3+AF4-AG4</f>
        <v>6138.9</v>
      </c>
      <c r="AI4" s="8" t="s">
        <v>11</v>
      </c>
      <c r="AK4" s="4">
        <v>2</v>
      </c>
      <c r="AL4" s="4" t="s">
        <v>8</v>
      </c>
    </row>
    <row r="5" spans="1:38" ht="14.25" customHeight="1">
      <c r="A5" s="5">
        <v>46026</v>
      </c>
      <c r="B5" s="7"/>
      <c r="C5" s="7">
        <v>90</v>
      </c>
      <c r="D5" s="7">
        <f t="shared" si="0"/>
        <v>3025.7</v>
      </c>
      <c r="E5" s="8" t="s">
        <v>12</v>
      </c>
      <c r="G5" s="5">
        <v>46060</v>
      </c>
      <c r="H5" s="7"/>
      <c r="I5" s="7">
        <v>7.8</v>
      </c>
      <c r="J5" s="7">
        <f t="shared" si="1"/>
        <v>7974.7500000000009</v>
      </c>
      <c r="K5" s="8" t="s">
        <v>12</v>
      </c>
      <c r="M5" s="5">
        <v>46084</v>
      </c>
      <c r="N5" s="7"/>
      <c r="O5" s="7">
        <v>431.4</v>
      </c>
      <c r="P5" s="7">
        <f t="shared" si="2"/>
        <v>12114.35</v>
      </c>
      <c r="Q5" s="8" t="s">
        <v>13</v>
      </c>
      <c r="S5" s="5">
        <v>46116</v>
      </c>
      <c r="T5" s="7"/>
      <c r="U5" s="7">
        <v>484.1</v>
      </c>
      <c r="V5" s="7">
        <f t="shared" si="3"/>
        <v>6668.7</v>
      </c>
      <c r="W5" s="8" t="s">
        <v>13</v>
      </c>
      <c r="Y5" s="5">
        <v>46144</v>
      </c>
      <c r="Z5" s="7"/>
      <c r="AA5" s="7">
        <v>196</v>
      </c>
      <c r="AB5" s="7">
        <f t="shared" si="4"/>
        <v>12143.7</v>
      </c>
      <c r="AC5" s="8" t="s">
        <v>8</v>
      </c>
      <c r="AE5" s="5">
        <v>46180</v>
      </c>
      <c r="AF5" s="7"/>
      <c r="AG5" s="7">
        <v>30</v>
      </c>
      <c r="AH5" s="7">
        <f t="shared" si="5"/>
        <v>6108.9</v>
      </c>
      <c r="AI5" s="8" t="s">
        <v>14</v>
      </c>
      <c r="AK5" s="4">
        <v>3</v>
      </c>
      <c r="AL5" s="4" t="s">
        <v>13</v>
      </c>
    </row>
    <row r="6" spans="1:38" ht="14.25" customHeight="1">
      <c r="A6" s="5">
        <v>46026</v>
      </c>
      <c r="B6" s="7"/>
      <c r="C6" s="7">
        <v>63.8</v>
      </c>
      <c r="D6" s="7">
        <f t="shared" si="0"/>
        <v>2961.8999999999996</v>
      </c>
      <c r="E6" s="8" t="s">
        <v>10</v>
      </c>
      <c r="G6" s="5">
        <v>46060</v>
      </c>
      <c r="H6" s="7"/>
      <c r="I6" s="7">
        <v>15.8</v>
      </c>
      <c r="J6" s="7">
        <f t="shared" si="1"/>
        <v>7958.9500000000007</v>
      </c>
      <c r="K6" s="8" t="s">
        <v>12</v>
      </c>
      <c r="M6" s="5">
        <v>46084</v>
      </c>
      <c r="N6" s="7"/>
      <c r="O6" s="7">
        <v>210</v>
      </c>
      <c r="P6" s="7">
        <f t="shared" si="2"/>
        <v>11904.35</v>
      </c>
      <c r="Q6" s="8" t="s">
        <v>8</v>
      </c>
      <c r="S6" s="5">
        <v>46117</v>
      </c>
      <c r="T6" s="7"/>
      <c r="U6" s="9">
        <v>408.25</v>
      </c>
      <c r="V6" s="9">
        <f t="shared" si="3"/>
        <v>6260.45</v>
      </c>
      <c r="W6" s="8" t="s">
        <v>13</v>
      </c>
      <c r="Y6" s="5">
        <v>46144</v>
      </c>
      <c r="Z6" s="7"/>
      <c r="AA6" s="7">
        <v>517.20000000000005</v>
      </c>
      <c r="AB6" s="7">
        <f t="shared" si="4"/>
        <v>11626.5</v>
      </c>
      <c r="AC6" s="8" t="s">
        <v>13</v>
      </c>
      <c r="AE6" s="5">
        <v>46180</v>
      </c>
      <c r="AF6" s="7"/>
      <c r="AG6" s="7">
        <v>814.55</v>
      </c>
      <c r="AH6" s="7">
        <f t="shared" si="5"/>
        <v>5294.3499999999995</v>
      </c>
      <c r="AI6" s="8" t="s">
        <v>15</v>
      </c>
      <c r="AK6" s="4">
        <v>4</v>
      </c>
      <c r="AL6" s="4" t="s">
        <v>10</v>
      </c>
    </row>
    <row r="7" spans="1:38" ht="14.25" customHeight="1">
      <c r="A7" s="5">
        <v>46026</v>
      </c>
      <c r="B7" s="7"/>
      <c r="C7" s="7">
        <v>351.5</v>
      </c>
      <c r="D7" s="7">
        <f t="shared" si="0"/>
        <v>2610.3999999999996</v>
      </c>
      <c r="E7" s="8" t="s">
        <v>13</v>
      </c>
      <c r="G7" s="5">
        <v>46060</v>
      </c>
      <c r="H7" s="7"/>
      <c r="I7" s="7">
        <v>63.8</v>
      </c>
      <c r="J7" s="7">
        <f t="shared" si="1"/>
        <v>7895.1500000000005</v>
      </c>
      <c r="K7" s="8" t="s">
        <v>10</v>
      </c>
      <c r="M7" s="5">
        <v>46095</v>
      </c>
      <c r="N7" s="7"/>
      <c r="O7" s="7">
        <v>140</v>
      </c>
      <c r="P7" s="7">
        <f t="shared" si="2"/>
        <v>11764.35</v>
      </c>
      <c r="Q7" s="8" t="s">
        <v>8</v>
      </c>
      <c r="S7" s="5">
        <v>46117</v>
      </c>
      <c r="T7" s="7"/>
      <c r="U7" s="7">
        <v>19.399999999999999</v>
      </c>
      <c r="V7" s="7">
        <f t="shared" si="3"/>
        <v>6241.05</v>
      </c>
      <c r="W7" s="8" t="s">
        <v>7</v>
      </c>
      <c r="Y7" s="5">
        <v>46145</v>
      </c>
      <c r="Z7" s="7"/>
      <c r="AA7" s="7">
        <v>157.25</v>
      </c>
      <c r="AB7" s="7">
        <f t="shared" si="4"/>
        <v>11469.25</v>
      </c>
      <c r="AC7" s="8" t="s">
        <v>16</v>
      </c>
      <c r="AE7" s="5">
        <v>46180</v>
      </c>
      <c r="AF7" s="7"/>
      <c r="AG7" s="7">
        <v>1305.2</v>
      </c>
      <c r="AH7" s="7">
        <f t="shared" si="5"/>
        <v>3989.1499999999996</v>
      </c>
      <c r="AI7" s="8" t="s">
        <v>17</v>
      </c>
      <c r="AK7" s="4">
        <v>5</v>
      </c>
      <c r="AL7" s="4" t="s">
        <v>15</v>
      </c>
    </row>
    <row r="8" spans="1:38" ht="14.25" customHeight="1">
      <c r="A8" s="5">
        <v>46026</v>
      </c>
      <c r="B8" s="7"/>
      <c r="C8" s="7">
        <v>195</v>
      </c>
      <c r="D8" s="7">
        <f t="shared" si="0"/>
        <v>2415.3999999999996</v>
      </c>
      <c r="E8" s="8" t="s">
        <v>8</v>
      </c>
      <c r="G8" s="5">
        <v>46060</v>
      </c>
      <c r="H8" s="7"/>
      <c r="I8" s="7">
        <v>26.5</v>
      </c>
      <c r="J8" s="7">
        <f t="shared" si="1"/>
        <v>7868.6500000000005</v>
      </c>
      <c r="K8" s="8" t="s">
        <v>12</v>
      </c>
      <c r="M8" s="5">
        <v>46096</v>
      </c>
      <c r="N8" s="7"/>
      <c r="O8" s="7">
        <v>30</v>
      </c>
      <c r="P8" s="7">
        <f t="shared" si="2"/>
        <v>11734.35</v>
      </c>
      <c r="Q8" s="8" t="s">
        <v>11</v>
      </c>
      <c r="S8" s="5">
        <v>46117</v>
      </c>
      <c r="T8" s="7"/>
      <c r="U8" s="7">
        <v>252</v>
      </c>
      <c r="V8" s="7">
        <f t="shared" si="3"/>
        <v>5989.05</v>
      </c>
      <c r="W8" s="8" t="s">
        <v>8</v>
      </c>
      <c r="Y8" s="5">
        <v>46145</v>
      </c>
      <c r="Z8" s="7"/>
      <c r="AA8" s="7">
        <v>150</v>
      </c>
      <c r="AB8" s="7">
        <f t="shared" si="4"/>
        <v>11319.25</v>
      </c>
      <c r="AC8" s="8" t="s">
        <v>18</v>
      </c>
      <c r="AE8" s="5">
        <v>46180</v>
      </c>
      <c r="AF8" s="7"/>
      <c r="AG8" s="7">
        <v>42.1</v>
      </c>
      <c r="AH8" s="7">
        <f t="shared" si="5"/>
        <v>3947.0499999999997</v>
      </c>
      <c r="AI8" s="8" t="s">
        <v>19</v>
      </c>
      <c r="AK8" s="4">
        <v>6</v>
      </c>
      <c r="AL8" s="4" t="s">
        <v>17</v>
      </c>
    </row>
    <row r="9" spans="1:38" ht="14.25" customHeight="1">
      <c r="A9" s="5">
        <v>46032</v>
      </c>
      <c r="B9" s="7"/>
      <c r="C9" s="7">
        <v>194.25</v>
      </c>
      <c r="D9" s="7">
        <f t="shared" si="0"/>
        <v>2221.1499999999996</v>
      </c>
      <c r="E9" s="8" t="s">
        <v>13</v>
      </c>
      <c r="G9" s="5">
        <v>46060</v>
      </c>
      <c r="H9" s="7"/>
      <c r="I9" s="7">
        <v>30</v>
      </c>
      <c r="J9" s="7">
        <f t="shared" si="1"/>
        <v>7838.6500000000005</v>
      </c>
      <c r="K9" s="8" t="s">
        <v>14</v>
      </c>
      <c r="M9" s="5">
        <v>46096</v>
      </c>
      <c r="N9" s="7"/>
      <c r="O9" s="7">
        <v>30</v>
      </c>
      <c r="P9" s="7">
        <f t="shared" si="2"/>
        <v>11704.35</v>
      </c>
      <c r="Q9" s="8" t="s">
        <v>14</v>
      </c>
      <c r="S9" s="5">
        <v>46360</v>
      </c>
      <c r="T9" s="7"/>
      <c r="U9" s="7">
        <v>63.8</v>
      </c>
      <c r="V9" s="7">
        <f t="shared" si="3"/>
        <v>5925.25</v>
      </c>
      <c r="W9" s="8" t="s">
        <v>10</v>
      </c>
      <c r="Y9" s="5">
        <v>46151</v>
      </c>
      <c r="Z9" s="7"/>
      <c r="AA9" s="7">
        <v>140</v>
      </c>
      <c r="AB9" s="7">
        <f t="shared" si="4"/>
        <v>11179.25</v>
      </c>
      <c r="AC9" s="8" t="s">
        <v>8</v>
      </c>
      <c r="AE9" s="5">
        <v>46180</v>
      </c>
      <c r="AF9" s="7"/>
      <c r="AG9" s="7">
        <v>49.15</v>
      </c>
      <c r="AH9" s="7">
        <f t="shared" si="5"/>
        <v>3897.8999999999996</v>
      </c>
      <c r="AI9" s="8" t="s">
        <v>20</v>
      </c>
      <c r="AK9" s="4">
        <v>7</v>
      </c>
      <c r="AL9" s="4" t="s">
        <v>19</v>
      </c>
    </row>
    <row r="10" spans="1:38" ht="14.25" customHeight="1">
      <c r="A10" s="5">
        <v>46032</v>
      </c>
      <c r="B10" s="7"/>
      <c r="C10" s="7">
        <v>19.5</v>
      </c>
      <c r="D10" s="7">
        <f t="shared" si="0"/>
        <v>2201.6499999999996</v>
      </c>
      <c r="E10" s="8" t="s">
        <v>12</v>
      </c>
      <c r="G10" s="5">
        <v>46060</v>
      </c>
      <c r="H10" s="7"/>
      <c r="I10" s="7">
        <v>30</v>
      </c>
      <c r="J10" s="7">
        <f t="shared" si="1"/>
        <v>7808.6500000000005</v>
      </c>
      <c r="K10" s="8" t="s">
        <v>11</v>
      </c>
      <c r="M10" s="5">
        <v>46096</v>
      </c>
      <c r="N10" s="7"/>
      <c r="O10" s="7">
        <v>147.35</v>
      </c>
      <c r="P10" s="7">
        <f t="shared" si="2"/>
        <v>11557</v>
      </c>
      <c r="Q10" s="8" t="s">
        <v>21</v>
      </c>
      <c r="S10" s="5">
        <v>46124</v>
      </c>
      <c r="T10" s="7"/>
      <c r="U10" s="7">
        <v>200</v>
      </c>
      <c r="V10" s="7">
        <f t="shared" si="3"/>
        <v>5725.25</v>
      </c>
      <c r="W10" s="8" t="s">
        <v>8</v>
      </c>
      <c r="Y10" s="5">
        <v>46151</v>
      </c>
      <c r="Z10" s="7"/>
      <c r="AA10" s="7">
        <v>221.5</v>
      </c>
      <c r="AB10" s="7">
        <f t="shared" si="4"/>
        <v>10957.75</v>
      </c>
      <c r="AC10" s="8" t="s">
        <v>13</v>
      </c>
      <c r="AE10" s="5">
        <v>46180</v>
      </c>
      <c r="AF10" s="7"/>
      <c r="AG10" s="7">
        <v>26.6</v>
      </c>
      <c r="AH10" s="7">
        <f t="shared" si="5"/>
        <v>3871.2999999999997</v>
      </c>
      <c r="AI10" s="8" t="s">
        <v>22</v>
      </c>
      <c r="AK10" s="4">
        <v>8</v>
      </c>
      <c r="AL10" s="4" t="s">
        <v>20</v>
      </c>
    </row>
    <row r="11" spans="1:38" ht="14.25" customHeight="1">
      <c r="A11" s="5">
        <v>46032</v>
      </c>
      <c r="B11" s="7"/>
      <c r="C11" s="7">
        <v>130</v>
      </c>
      <c r="D11" s="7">
        <f t="shared" si="0"/>
        <v>2071.6499999999996</v>
      </c>
      <c r="E11" s="8" t="s">
        <v>8</v>
      </c>
      <c r="G11" s="5">
        <v>46060</v>
      </c>
      <c r="H11" s="7"/>
      <c r="I11" s="7">
        <v>147.35</v>
      </c>
      <c r="J11" s="7">
        <f t="shared" si="1"/>
        <v>7661.3</v>
      </c>
      <c r="K11" s="8" t="s">
        <v>21</v>
      </c>
      <c r="M11" s="5">
        <v>46096</v>
      </c>
      <c r="N11" s="7"/>
      <c r="O11" s="7">
        <v>719.5</v>
      </c>
      <c r="P11" s="7">
        <f t="shared" si="2"/>
        <v>10837.5</v>
      </c>
      <c r="Q11" s="8" t="s">
        <v>15</v>
      </c>
      <c r="S11" s="5">
        <v>46124</v>
      </c>
      <c r="T11" s="7"/>
      <c r="U11" s="7">
        <v>30</v>
      </c>
      <c r="V11" s="7">
        <f t="shared" si="3"/>
        <v>5695.25</v>
      </c>
      <c r="W11" s="8" t="s">
        <v>11</v>
      </c>
      <c r="Y11" s="5">
        <v>46152</v>
      </c>
      <c r="Z11" s="7"/>
      <c r="AA11" s="7">
        <v>30</v>
      </c>
      <c r="AB11" s="7">
        <f t="shared" si="4"/>
        <v>10927.75</v>
      </c>
      <c r="AC11" s="8" t="s">
        <v>14</v>
      </c>
      <c r="AE11" s="5">
        <v>46180</v>
      </c>
      <c r="AF11" s="7"/>
      <c r="AG11" s="7">
        <v>147.35</v>
      </c>
      <c r="AH11" s="7">
        <f t="shared" si="5"/>
        <v>3723.95</v>
      </c>
      <c r="AI11" s="8" t="s">
        <v>21</v>
      </c>
      <c r="AK11" s="4">
        <v>9</v>
      </c>
      <c r="AL11" s="4" t="s">
        <v>22</v>
      </c>
    </row>
    <row r="12" spans="1:38" ht="14.25" customHeight="1">
      <c r="A12" s="5">
        <v>46033</v>
      </c>
      <c r="B12" s="7"/>
      <c r="C12" s="7">
        <v>30</v>
      </c>
      <c r="D12" s="7">
        <f t="shared" si="0"/>
        <v>2041.6499999999996</v>
      </c>
      <c r="E12" s="8" t="s">
        <v>14</v>
      </c>
      <c r="G12" s="5">
        <v>46060</v>
      </c>
      <c r="H12" s="7"/>
      <c r="I12" s="7">
        <v>595.79999999999995</v>
      </c>
      <c r="J12" s="7">
        <f t="shared" si="1"/>
        <v>7065.5</v>
      </c>
      <c r="K12" s="8" t="s">
        <v>15</v>
      </c>
      <c r="M12" s="5">
        <v>46096</v>
      </c>
      <c r="N12" s="7"/>
      <c r="O12" s="7">
        <v>1267.95</v>
      </c>
      <c r="P12" s="7">
        <f t="shared" si="2"/>
        <v>9569.5499999999993</v>
      </c>
      <c r="Q12" s="8" t="s">
        <v>17</v>
      </c>
      <c r="S12" s="5">
        <v>46124</v>
      </c>
      <c r="T12" s="7"/>
      <c r="U12" s="7">
        <v>30</v>
      </c>
      <c r="V12" s="7">
        <f t="shared" si="3"/>
        <v>5665.25</v>
      </c>
      <c r="W12" s="8" t="s">
        <v>14</v>
      </c>
      <c r="Y12" s="5">
        <v>46152</v>
      </c>
      <c r="Z12" s="7"/>
      <c r="AA12" s="7">
        <v>30</v>
      </c>
      <c r="AB12" s="7">
        <f t="shared" si="4"/>
        <v>10897.75</v>
      </c>
      <c r="AC12" s="8" t="s">
        <v>11</v>
      </c>
      <c r="AE12" s="5">
        <v>46180</v>
      </c>
      <c r="AF12" s="7"/>
      <c r="AG12" s="7">
        <v>63.8</v>
      </c>
      <c r="AH12" s="7">
        <f t="shared" si="5"/>
        <v>3660.1499999999996</v>
      </c>
      <c r="AI12" s="8" t="s">
        <v>10</v>
      </c>
      <c r="AK12" s="4">
        <v>10</v>
      </c>
      <c r="AL12" s="4" t="s">
        <v>21</v>
      </c>
    </row>
    <row r="13" spans="1:38" ht="14.25" customHeight="1">
      <c r="A13" s="5">
        <v>46033</v>
      </c>
      <c r="B13" s="7"/>
      <c r="C13" s="7">
        <v>30</v>
      </c>
      <c r="D13" s="7">
        <f t="shared" si="0"/>
        <v>2011.6499999999996</v>
      </c>
      <c r="E13" s="8" t="s">
        <v>11</v>
      </c>
      <c r="G13" s="5">
        <v>46060</v>
      </c>
      <c r="H13" s="7"/>
      <c r="I13" s="7">
        <v>1093.0999999999999</v>
      </c>
      <c r="J13" s="7">
        <f t="shared" si="1"/>
        <v>5972.4</v>
      </c>
      <c r="K13" s="8" t="s">
        <v>17</v>
      </c>
      <c r="M13" s="5">
        <v>46096</v>
      </c>
      <c r="N13" s="7"/>
      <c r="O13" s="7">
        <v>38.6</v>
      </c>
      <c r="P13" s="7">
        <f t="shared" si="2"/>
        <v>9530.9499999999989</v>
      </c>
      <c r="Q13" s="8" t="s">
        <v>19</v>
      </c>
      <c r="S13" s="5">
        <v>46124</v>
      </c>
      <c r="T13" s="7"/>
      <c r="U13" s="7">
        <v>26.6</v>
      </c>
      <c r="V13" s="7">
        <f t="shared" si="3"/>
        <v>5638.65</v>
      </c>
      <c r="W13" s="8" t="s">
        <v>22</v>
      </c>
      <c r="Y13" s="5">
        <v>46152</v>
      </c>
      <c r="Z13" s="7"/>
      <c r="AA13" s="7">
        <v>147.35</v>
      </c>
      <c r="AB13" s="7">
        <f t="shared" si="4"/>
        <v>10750.4</v>
      </c>
      <c r="AC13" s="8" t="s">
        <v>21</v>
      </c>
      <c r="AE13" s="5">
        <v>46180</v>
      </c>
      <c r="AF13" s="7"/>
      <c r="AG13" s="7">
        <v>120</v>
      </c>
      <c r="AH13" s="7">
        <f t="shared" si="5"/>
        <v>3540.1499999999996</v>
      </c>
      <c r="AI13" s="8" t="s">
        <v>8</v>
      </c>
      <c r="AK13" s="4">
        <v>11</v>
      </c>
      <c r="AL13" s="4" t="s">
        <v>14</v>
      </c>
    </row>
    <row r="14" spans="1:38" ht="14.25" customHeight="1">
      <c r="A14" s="5">
        <v>46033</v>
      </c>
      <c r="B14" s="7"/>
      <c r="C14" s="7">
        <v>147.35</v>
      </c>
      <c r="D14" s="7">
        <f t="shared" si="0"/>
        <v>1864.2999999999997</v>
      </c>
      <c r="E14" s="8" t="s">
        <v>21</v>
      </c>
      <c r="G14" s="5">
        <v>46060</v>
      </c>
      <c r="H14" s="7"/>
      <c r="I14" s="7">
        <v>45.65</v>
      </c>
      <c r="J14" s="7">
        <f t="shared" si="1"/>
        <v>5926.75</v>
      </c>
      <c r="K14" s="8" t="s">
        <v>19</v>
      </c>
      <c r="M14" s="5">
        <v>46096</v>
      </c>
      <c r="N14" s="7"/>
      <c r="O14" s="7">
        <v>59.65</v>
      </c>
      <c r="P14" s="7">
        <f t="shared" si="2"/>
        <v>9471.2999999999993</v>
      </c>
      <c r="Q14" s="8" t="s">
        <v>20</v>
      </c>
      <c r="S14" s="5">
        <v>46124</v>
      </c>
      <c r="T14" s="7"/>
      <c r="U14" s="7">
        <v>147.35</v>
      </c>
      <c r="V14" s="7">
        <f t="shared" si="3"/>
        <v>5491.2999999999993</v>
      </c>
      <c r="W14" s="8" t="s">
        <v>21</v>
      </c>
      <c r="Y14" s="5">
        <v>46152</v>
      </c>
      <c r="Z14" s="7"/>
      <c r="AA14" s="7">
        <v>26.6</v>
      </c>
      <c r="AB14" s="7">
        <f t="shared" si="4"/>
        <v>10723.8</v>
      </c>
      <c r="AC14" s="8" t="s">
        <v>22</v>
      </c>
      <c r="AE14" s="5">
        <v>46180</v>
      </c>
      <c r="AF14" s="7"/>
      <c r="AG14" s="7">
        <v>80</v>
      </c>
      <c r="AH14" s="7">
        <f t="shared" si="5"/>
        <v>3460.1499999999996</v>
      </c>
      <c r="AI14" s="8" t="s">
        <v>8</v>
      </c>
      <c r="AK14" s="4">
        <v>12</v>
      </c>
      <c r="AL14" s="4" t="s">
        <v>11</v>
      </c>
    </row>
    <row r="15" spans="1:38" ht="14.25" customHeight="1">
      <c r="A15" s="5">
        <v>46033</v>
      </c>
      <c r="B15" s="7"/>
      <c r="C15" s="7">
        <v>26.6</v>
      </c>
      <c r="D15" s="7">
        <f t="shared" si="0"/>
        <v>1837.6999999999998</v>
      </c>
      <c r="E15" s="8" t="s">
        <v>22</v>
      </c>
      <c r="G15" s="5">
        <v>46060</v>
      </c>
      <c r="H15" s="7"/>
      <c r="I15" s="7">
        <v>56.15</v>
      </c>
      <c r="J15" s="7">
        <f t="shared" si="1"/>
        <v>5870.6</v>
      </c>
      <c r="K15" s="8" t="s">
        <v>20</v>
      </c>
      <c r="M15" s="5">
        <v>46096</v>
      </c>
      <c r="N15" s="7"/>
      <c r="O15" s="7">
        <v>26.6</v>
      </c>
      <c r="P15" s="7">
        <f t="shared" si="2"/>
        <v>9444.6999999999989</v>
      </c>
      <c r="Q15" s="8" t="s">
        <v>22</v>
      </c>
      <c r="S15" s="5">
        <v>46124</v>
      </c>
      <c r="T15" s="7"/>
      <c r="U15" s="7">
        <v>38.6</v>
      </c>
      <c r="V15" s="7">
        <f t="shared" si="3"/>
        <v>5452.6999999999989</v>
      </c>
      <c r="W15" s="8" t="s">
        <v>19</v>
      </c>
      <c r="Y15" s="5">
        <v>46152</v>
      </c>
      <c r="Z15" s="7"/>
      <c r="AA15" s="7">
        <v>45.65</v>
      </c>
      <c r="AB15" s="7">
        <f t="shared" si="4"/>
        <v>10678.15</v>
      </c>
      <c r="AC15" s="8" t="s">
        <v>19</v>
      </c>
      <c r="AE15" s="5">
        <v>46180</v>
      </c>
      <c r="AF15" s="7"/>
      <c r="AG15" s="7">
        <v>221.5</v>
      </c>
      <c r="AH15" s="7">
        <f t="shared" si="5"/>
        <v>3238.6499999999996</v>
      </c>
      <c r="AI15" s="8" t="s">
        <v>13</v>
      </c>
      <c r="AK15" s="4">
        <v>13</v>
      </c>
      <c r="AL15" s="4" t="s">
        <v>16</v>
      </c>
    </row>
    <row r="16" spans="1:38" ht="14.25" customHeight="1">
      <c r="A16" s="5">
        <v>46033</v>
      </c>
      <c r="B16" s="7"/>
      <c r="C16" s="7">
        <v>677.55</v>
      </c>
      <c r="D16" s="7">
        <f t="shared" si="0"/>
        <v>1160.1499999999999</v>
      </c>
      <c r="E16" s="8" t="s">
        <v>15</v>
      </c>
      <c r="G16" s="5">
        <v>46060</v>
      </c>
      <c r="H16" s="7"/>
      <c r="I16" s="7">
        <v>388.5</v>
      </c>
      <c r="J16" s="7">
        <f t="shared" si="1"/>
        <v>5482.1</v>
      </c>
      <c r="K16" s="8" t="s">
        <v>13</v>
      </c>
      <c r="M16" s="5">
        <v>46096</v>
      </c>
      <c r="N16" s="7"/>
      <c r="O16" s="7">
        <v>26.6</v>
      </c>
      <c r="P16" s="7">
        <f t="shared" si="2"/>
        <v>9418.0999999999985</v>
      </c>
      <c r="Q16" s="8" t="s">
        <v>22</v>
      </c>
      <c r="S16" s="5">
        <v>46124</v>
      </c>
      <c r="T16" s="7"/>
      <c r="U16" s="7">
        <v>42.1</v>
      </c>
      <c r="V16" s="7">
        <f t="shared" si="3"/>
        <v>5410.5999999999985</v>
      </c>
      <c r="W16" s="8" t="s">
        <v>20</v>
      </c>
      <c r="Y16" s="5">
        <v>46152</v>
      </c>
      <c r="Z16" s="7"/>
      <c r="AA16" s="7">
        <v>49.15</v>
      </c>
      <c r="AB16" s="7">
        <f t="shared" si="4"/>
        <v>10629</v>
      </c>
      <c r="AC16" s="8" t="s">
        <v>20</v>
      </c>
      <c r="AE16" s="5">
        <v>46180</v>
      </c>
      <c r="AF16" s="7"/>
      <c r="AG16" s="7">
        <v>48</v>
      </c>
      <c r="AH16" s="7">
        <f t="shared" si="5"/>
        <v>3190.6499999999996</v>
      </c>
      <c r="AI16" s="8" t="s">
        <v>23</v>
      </c>
      <c r="AK16" s="4">
        <v>14</v>
      </c>
      <c r="AL16" s="4" t="s">
        <v>12</v>
      </c>
    </row>
    <row r="17" spans="1:38" ht="14.25" customHeight="1">
      <c r="A17" s="5">
        <v>46033</v>
      </c>
      <c r="B17" s="7"/>
      <c r="C17" s="7">
        <v>1044.05</v>
      </c>
      <c r="D17" s="7">
        <f t="shared" si="0"/>
        <v>116.09999999999991</v>
      </c>
      <c r="E17" s="8" t="s">
        <v>17</v>
      </c>
      <c r="G17" s="5">
        <v>46061</v>
      </c>
      <c r="H17" s="7"/>
      <c r="I17" s="7">
        <v>278.5</v>
      </c>
      <c r="J17" s="7">
        <f t="shared" si="1"/>
        <v>5203.6000000000004</v>
      </c>
      <c r="K17" s="8" t="s">
        <v>13</v>
      </c>
      <c r="M17" s="5">
        <v>46096</v>
      </c>
      <c r="N17" s="7"/>
      <c r="O17" s="9">
        <v>100</v>
      </c>
      <c r="P17" s="7">
        <f t="shared" si="2"/>
        <v>9318.0999999999985</v>
      </c>
      <c r="Q17" s="8" t="s">
        <v>13</v>
      </c>
      <c r="R17" s="10" t="s">
        <v>24</v>
      </c>
      <c r="S17" s="5">
        <v>46124</v>
      </c>
      <c r="T17" s="7"/>
      <c r="U17" s="7">
        <v>621.04999999999995</v>
      </c>
      <c r="V17" s="7">
        <f t="shared" si="3"/>
        <v>4789.5499999999984</v>
      </c>
      <c r="W17" s="8" t="s">
        <v>15</v>
      </c>
      <c r="Y17" s="5">
        <v>46152</v>
      </c>
      <c r="Z17" s="7"/>
      <c r="AA17" s="7">
        <v>914.85</v>
      </c>
      <c r="AB17" s="7">
        <f t="shared" si="4"/>
        <v>9714.15</v>
      </c>
      <c r="AC17" s="8" t="s">
        <v>15</v>
      </c>
      <c r="AE17" s="5">
        <v>46180</v>
      </c>
      <c r="AF17" s="7"/>
      <c r="AG17" s="7">
        <v>95</v>
      </c>
      <c r="AH17" s="7">
        <f t="shared" si="5"/>
        <v>3095.6499999999996</v>
      </c>
      <c r="AI17" s="8" t="s">
        <v>13</v>
      </c>
      <c r="AK17" s="4">
        <v>15</v>
      </c>
      <c r="AL17" s="4" t="s">
        <v>25</v>
      </c>
    </row>
    <row r="18" spans="1:38" ht="14.25" customHeight="1">
      <c r="A18" s="5">
        <v>46033</v>
      </c>
      <c r="B18" s="7"/>
      <c r="C18" s="7">
        <v>52.65</v>
      </c>
      <c r="D18" s="7">
        <f t="shared" si="0"/>
        <v>63.44999999999991</v>
      </c>
      <c r="E18" s="8" t="s">
        <v>19</v>
      </c>
      <c r="G18" s="5">
        <v>46070</v>
      </c>
      <c r="H18" s="7"/>
      <c r="I18" s="7">
        <v>170</v>
      </c>
      <c r="J18" s="7">
        <f t="shared" si="1"/>
        <v>5033.6000000000004</v>
      </c>
      <c r="K18" s="8" t="s">
        <v>8</v>
      </c>
      <c r="M18" s="5">
        <v>46096</v>
      </c>
      <c r="N18" s="7"/>
      <c r="O18" s="9">
        <v>200</v>
      </c>
      <c r="P18" s="7">
        <f t="shared" si="2"/>
        <v>9118.0999999999985</v>
      </c>
      <c r="Q18" s="8" t="s">
        <v>8</v>
      </c>
      <c r="R18" s="10" t="s">
        <v>24</v>
      </c>
      <c r="S18" s="5">
        <v>46124</v>
      </c>
      <c r="T18" s="7"/>
      <c r="U18" s="7">
        <v>1066.3499999999999</v>
      </c>
      <c r="V18" s="7">
        <f t="shared" si="3"/>
        <v>3723.1999999999985</v>
      </c>
      <c r="W18" s="8" t="s">
        <v>17</v>
      </c>
      <c r="Y18" s="5">
        <v>46152</v>
      </c>
      <c r="Z18" s="7"/>
      <c r="AA18" s="7">
        <v>1429.75</v>
      </c>
      <c r="AB18" s="7">
        <f t="shared" si="4"/>
        <v>8284.4</v>
      </c>
      <c r="AC18" s="8" t="s">
        <v>17</v>
      </c>
      <c r="AE18" s="5">
        <v>46187</v>
      </c>
      <c r="AF18" s="7"/>
      <c r="AG18" s="7">
        <v>469.7</v>
      </c>
      <c r="AH18" s="7">
        <f t="shared" si="5"/>
        <v>2625.95</v>
      </c>
      <c r="AI18" s="8" t="s">
        <v>13</v>
      </c>
      <c r="AK18" s="4">
        <v>16</v>
      </c>
      <c r="AL18" s="4" t="s">
        <v>18</v>
      </c>
    </row>
    <row r="19" spans="1:38" ht="14.25" customHeight="1">
      <c r="A19" s="5">
        <v>46033</v>
      </c>
      <c r="B19" s="7"/>
      <c r="C19" s="7">
        <v>49.15</v>
      </c>
      <c r="D19" s="7">
        <f t="shared" si="0"/>
        <v>14.299999999999912</v>
      </c>
      <c r="E19" s="8" t="s">
        <v>20</v>
      </c>
      <c r="G19" s="5">
        <v>46070</v>
      </c>
      <c r="H19" s="7"/>
      <c r="I19" s="7">
        <v>225</v>
      </c>
      <c r="J19" s="7">
        <f t="shared" si="1"/>
        <v>4808.6000000000004</v>
      </c>
      <c r="K19" s="8" t="s">
        <v>8</v>
      </c>
      <c r="M19" s="5">
        <v>46101</v>
      </c>
      <c r="N19" s="7"/>
      <c r="O19" s="7">
        <v>63.8</v>
      </c>
      <c r="P19" s="7">
        <f t="shared" si="2"/>
        <v>9054.2999999999993</v>
      </c>
      <c r="Q19" s="8" t="s">
        <v>10</v>
      </c>
      <c r="S19" s="5">
        <v>46126</v>
      </c>
      <c r="T19" s="7">
        <v>10000</v>
      </c>
      <c r="U19" s="7"/>
      <c r="V19" s="7">
        <f t="shared" si="3"/>
        <v>13723.199999999999</v>
      </c>
      <c r="W19" s="8" t="s">
        <v>9</v>
      </c>
      <c r="Y19" s="5">
        <v>46158</v>
      </c>
      <c r="Z19" s="7"/>
      <c r="AA19" s="7">
        <v>180</v>
      </c>
      <c r="AB19" s="7">
        <f t="shared" si="4"/>
        <v>8104.4</v>
      </c>
      <c r="AC19" s="8" t="s">
        <v>8</v>
      </c>
      <c r="AE19" s="5">
        <v>46187</v>
      </c>
      <c r="AF19" s="7"/>
      <c r="AG19" s="7">
        <v>216</v>
      </c>
      <c r="AH19" s="7">
        <f t="shared" si="5"/>
        <v>2409.9499999999998</v>
      </c>
      <c r="AI19" s="8" t="s">
        <v>8</v>
      </c>
      <c r="AK19" s="4">
        <v>17</v>
      </c>
      <c r="AL19" s="4" t="s">
        <v>23</v>
      </c>
    </row>
    <row r="20" spans="1:38" ht="14.25" customHeight="1">
      <c r="A20" s="5">
        <v>46035</v>
      </c>
      <c r="B20" s="7">
        <v>10000</v>
      </c>
      <c r="C20" s="7"/>
      <c r="D20" s="7">
        <f t="shared" si="0"/>
        <v>10014.299999999999</v>
      </c>
      <c r="E20" s="8" t="s">
        <v>9</v>
      </c>
      <c r="G20" s="5">
        <v>46070</v>
      </c>
      <c r="H20" s="7"/>
      <c r="I20" s="7">
        <v>28</v>
      </c>
      <c r="J20" s="7">
        <f t="shared" si="1"/>
        <v>4780.6000000000004</v>
      </c>
      <c r="K20" s="8" t="s">
        <v>13</v>
      </c>
      <c r="M20" s="5">
        <v>46101</v>
      </c>
      <c r="N20" s="7"/>
      <c r="O20" s="7">
        <v>220.4</v>
      </c>
      <c r="P20" s="7">
        <f t="shared" si="2"/>
        <v>8833.9</v>
      </c>
      <c r="Q20" s="8" t="s">
        <v>13</v>
      </c>
      <c r="S20" s="5">
        <v>46131</v>
      </c>
      <c r="T20" s="7"/>
      <c r="U20" s="7">
        <v>63.8</v>
      </c>
      <c r="V20" s="7">
        <f t="shared" si="3"/>
        <v>13659.4</v>
      </c>
      <c r="W20" s="8" t="s">
        <v>10</v>
      </c>
      <c r="Y20" s="5">
        <v>46158</v>
      </c>
      <c r="Z20" s="7"/>
      <c r="AA20" s="7">
        <v>83.3</v>
      </c>
      <c r="AB20" s="7">
        <f t="shared" si="4"/>
        <v>8021.0999999999995</v>
      </c>
      <c r="AC20" s="8" t="s">
        <v>10</v>
      </c>
      <c r="AE20" s="5">
        <v>46187</v>
      </c>
      <c r="AF20" s="7"/>
      <c r="AG20" s="7">
        <v>60</v>
      </c>
      <c r="AH20" s="7">
        <f t="shared" si="5"/>
        <v>2349.9499999999998</v>
      </c>
      <c r="AI20" s="8" t="s">
        <v>12</v>
      </c>
      <c r="AK20" s="4">
        <v>18</v>
      </c>
      <c r="AL20" s="4" t="s">
        <v>26</v>
      </c>
    </row>
    <row r="21" spans="1:38" ht="14.25" customHeight="1">
      <c r="A21" s="5">
        <v>46039</v>
      </c>
      <c r="B21" s="7"/>
      <c r="C21" s="7">
        <v>130</v>
      </c>
      <c r="D21" s="7">
        <f t="shared" si="0"/>
        <v>9884.2999999999993</v>
      </c>
      <c r="E21" s="8" t="s">
        <v>8</v>
      </c>
      <c r="G21" s="5">
        <v>46070</v>
      </c>
      <c r="H21" s="7"/>
      <c r="I21" s="7">
        <v>22.05</v>
      </c>
      <c r="J21" s="7">
        <f t="shared" si="1"/>
        <v>4758.55</v>
      </c>
      <c r="K21" s="8" t="s">
        <v>13</v>
      </c>
      <c r="M21" s="5">
        <v>46101</v>
      </c>
      <c r="N21" s="7"/>
      <c r="O21" s="7">
        <v>370.9</v>
      </c>
      <c r="P21" s="7">
        <f t="shared" si="2"/>
        <v>8463</v>
      </c>
      <c r="Q21" s="8" t="s">
        <v>13</v>
      </c>
      <c r="S21" s="5">
        <v>46131</v>
      </c>
      <c r="T21" s="7"/>
      <c r="U21" s="7">
        <v>253</v>
      </c>
      <c r="V21" s="7">
        <f t="shared" si="3"/>
        <v>13406.4</v>
      </c>
      <c r="W21" s="8" t="s">
        <v>13</v>
      </c>
      <c r="Y21" s="5">
        <v>46158</v>
      </c>
      <c r="Z21" s="7"/>
      <c r="AA21" s="7">
        <v>370</v>
      </c>
      <c r="AB21" s="7">
        <f t="shared" si="4"/>
        <v>7651.0999999999995</v>
      </c>
      <c r="AC21" s="8" t="s">
        <v>13</v>
      </c>
      <c r="AE21" s="5">
        <v>46193</v>
      </c>
      <c r="AF21" s="7"/>
      <c r="AG21" s="7">
        <v>63.8</v>
      </c>
      <c r="AH21" s="7">
        <f t="shared" si="5"/>
        <v>2286.1499999999996</v>
      </c>
      <c r="AI21" s="8" t="s">
        <v>10</v>
      </c>
      <c r="AK21" s="4">
        <v>19</v>
      </c>
      <c r="AL21" s="4" t="s">
        <v>27</v>
      </c>
    </row>
    <row r="22" spans="1:38" ht="14.25" customHeight="1">
      <c r="A22" s="5">
        <v>46039</v>
      </c>
      <c r="B22" s="7"/>
      <c r="C22" s="7">
        <v>63.8</v>
      </c>
      <c r="D22" s="7">
        <f t="shared" si="0"/>
        <v>9820.5</v>
      </c>
      <c r="E22" s="8" t="s">
        <v>10</v>
      </c>
      <c r="G22" s="5">
        <v>46070</v>
      </c>
      <c r="H22" s="7"/>
      <c r="I22" s="7">
        <v>579.4</v>
      </c>
      <c r="J22" s="7">
        <f t="shared" si="1"/>
        <v>4179.1500000000005</v>
      </c>
      <c r="K22" s="8" t="s">
        <v>13</v>
      </c>
      <c r="M22" s="5">
        <v>46101</v>
      </c>
      <c r="N22" s="7"/>
      <c r="O22" s="7">
        <v>165</v>
      </c>
      <c r="P22" s="7">
        <f t="shared" si="2"/>
        <v>8298</v>
      </c>
      <c r="Q22" s="8" t="s">
        <v>8</v>
      </c>
      <c r="S22" s="5">
        <v>46131</v>
      </c>
      <c r="T22" s="7"/>
      <c r="U22" s="7">
        <v>431.4</v>
      </c>
      <c r="V22" s="7">
        <f t="shared" si="3"/>
        <v>12975</v>
      </c>
      <c r="W22" s="8" t="s">
        <v>13</v>
      </c>
      <c r="Y22" s="5">
        <v>46165</v>
      </c>
      <c r="Z22" s="7"/>
      <c r="AA22" s="7">
        <v>20.8</v>
      </c>
      <c r="AB22" s="7">
        <f t="shared" si="4"/>
        <v>7630.2999999999993</v>
      </c>
      <c r="AC22" s="8" t="s">
        <v>12</v>
      </c>
      <c r="AE22" s="5">
        <v>46200</v>
      </c>
      <c r="AF22" s="7"/>
      <c r="AG22" s="7">
        <v>136</v>
      </c>
      <c r="AH22" s="7">
        <f t="shared" si="5"/>
        <v>2150.1499999999996</v>
      </c>
      <c r="AI22" s="8" t="s">
        <v>8</v>
      </c>
      <c r="AK22" s="4">
        <v>20</v>
      </c>
      <c r="AL22" s="4" t="s">
        <v>28</v>
      </c>
    </row>
    <row r="23" spans="1:38" ht="14.25" customHeight="1">
      <c r="A23" s="5">
        <v>46039</v>
      </c>
      <c r="B23" s="7"/>
      <c r="C23" s="11">
        <v>247</v>
      </c>
      <c r="D23" s="7">
        <f t="shared" si="0"/>
        <v>9573.5</v>
      </c>
      <c r="E23" s="8" t="s">
        <v>28</v>
      </c>
      <c r="G23" s="5">
        <v>46070</v>
      </c>
      <c r="H23" s="7"/>
      <c r="I23" s="7">
        <v>18.399999999999999</v>
      </c>
      <c r="J23" s="7">
        <f t="shared" si="1"/>
        <v>4160.7500000000009</v>
      </c>
      <c r="K23" s="8" t="s">
        <v>12</v>
      </c>
      <c r="M23" s="5">
        <v>46103</v>
      </c>
      <c r="N23" s="7"/>
      <c r="O23" s="7">
        <v>120</v>
      </c>
      <c r="P23" s="7">
        <f t="shared" si="2"/>
        <v>8178</v>
      </c>
      <c r="Q23" s="8" t="s">
        <v>12</v>
      </c>
      <c r="R23" s="12"/>
      <c r="S23" s="5">
        <v>46131</v>
      </c>
      <c r="T23" s="7"/>
      <c r="U23" s="7">
        <v>210</v>
      </c>
      <c r="V23" s="7">
        <f t="shared" si="3"/>
        <v>12765</v>
      </c>
      <c r="W23" s="8" t="s">
        <v>8</v>
      </c>
      <c r="Y23" s="5">
        <v>46165</v>
      </c>
      <c r="Z23" s="7"/>
      <c r="AA23" s="7">
        <v>63.8</v>
      </c>
      <c r="AB23" s="7">
        <f t="shared" si="4"/>
        <v>7566.4999999999991</v>
      </c>
      <c r="AC23" s="8" t="s">
        <v>10</v>
      </c>
      <c r="AE23" s="5">
        <v>46200</v>
      </c>
      <c r="AF23" s="7"/>
      <c r="AG23" s="7">
        <v>278.5</v>
      </c>
      <c r="AH23" s="7">
        <f t="shared" si="5"/>
        <v>1871.6499999999996</v>
      </c>
      <c r="AI23" s="8" t="s">
        <v>13</v>
      </c>
      <c r="AK23" s="4">
        <v>21</v>
      </c>
      <c r="AL23" s="4" t="s">
        <v>9</v>
      </c>
    </row>
    <row r="24" spans="1:38" ht="14.25" customHeight="1">
      <c r="A24" s="5">
        <v>46040</v>
      </c>
      <c r="B24" s="7"/>
      <c r="C24" s="7">
        <v>194.25</v>
      </c>
      <c r="D24" s="7">
        <f t="shared" si="0"/>
        <v>9379.25</v>
      </c>
      <c r="E24" s="8" t="s">
        <v>13</v>
      </c>
      <c r="G24" s="5">
        <v>46070</v>
      </c>
      <c r="H24" s="7"/>
      <c r="I24" s="7">
        <v>63.8</v>
      </c>
      <c r="J24" s="7">
        <f t="shared" si="1"/>
        <v>4096.9500000000007</v>
      </c>
      <c r="K24" s="8" t="s">
        <v>10</v>
      </c>
      <c r="M24" s="5">
        <v>46110</v>
      </c>
      <c r="N24" s="7"/>
      <c r="O24" s="7">
        <v>63.8</v>
      </c>
      <c r="P24" s="7">
        <f t="shared" si="2"/>
        <v>8114.2</v>
      </c>
      <c r="Q24" s="8" t="s">
        <v>10</v>
      </c>
      <c r="S24" s="5">
        <v>46137</v>
      </c>
      <c r="T24" s="7"/>
      <c r="U24" s="7">
        <v>140</v>
      </c>
      <c r="V24" s="7">
        <f t="shared" si="3"/>
        <v>12625</v>
      </c>
      <c r="W24" s="8" t="s">
        <v>8</v>
      </c>
      <c r="Y24" s="5">
        <v>46165</v>
      </c>
      <c r="Z24" s="7"/>
      <c r="AA24" s="7">
        <v>240</v>
      </c>
      <c r="AB24" s="7">
        <f t="shared" si="4"/>
        <v>7326.4999999999991</v>
      </c>
      <c r="AC24" s="8" t="s">
        <v>8</v>
      </c>
      <c r="AE24" s="5">
        <v>46200</v>
      </c>
      <c r="AF24" s="7"/>
      <c r="AG24" s="7">
        <v>220</v>
      </c>
      <c r="AH24" s="7">
        <f t="shared" si="5"/>
        <v>1651.6499999999996</v>
      </c>
      <c r="AI24" s="8" t="s">
        <v>18</v>
      </c>
    </row>
    <row r="25" spans="1:38" ht="14.25" customHeight="1">
      <c r="A25" s="5">
        <v>46040</v>
      </c>
      <c r="B25" s="7"/>
      <c r="C25" s="7">
        <v>240</v>
      </c>
      <c r="D25" s="7">
        <f t="shared" si="0"/>
        <v>9139.25</v>
      </c>
      <c r="E25" s="8" t="s">
        <v>8</v>
      </c>
      <c r="G25" s="5">
        <v>46081</v>
      </c>
      <c r="H25" s="7"/>
      <c r="I25" s="7">
        <v>63.8</v>
      </c>
      <c r="J25" s="7">
        <f t="shared" si="1"/>
        <v>4033.1500000000005</v>
      </c>
      <c r="K25" s="8" t="s">
        <v>10</v>
      </c>
      <c r="M25" s="5">
        <v>46110</v>
      </c>
      <c r="N25" s="7"/>
      <c r="O25" s="7">
        <v>481.4</v>
      </c>
      <c r="P25" s="7">
        <f t="shared" si="2"/>
        <v>7632.8</v>
      </c>
      <c r="Q25" s="8" t="s">
        <v>13</v>
      </c>
      <c r="S25" s="5">
        <v>46137</v>
      </c>
      <c r="T25" s="7"/>
      <c r="U25" s="7">
        <v>221.5</v>
      </c>
      <c r="V25" s="7">
        <f t="shared" si="3"/>
        <v>12403.5</v>
      </c>
      <c r="W25" s="8" t="s">
        <v>13</v>
      </c>
      <c r="Y25" s="5">
        <v>46172</v>
      </c>
      <c r="Z25" s="7"/>
      <c r="AA25" s="7">
        <v>19.399999999999999</v>
      </c>
      <c r="AB25" s="7">
        <f t="shared" si="4"/>
        <v>7307.0999999999995</v>
      </c>
      <c r="AC25" s="8" t="s">
        <v>12</v>
      </c>
      <c r="AE25" s="5">
        <v>46200</v>
      </c>
      <c r="AF25" s="7"/>
      <c r="AG25" s="7">
        <v>300</v>
      </c>
      <c r="AH25" s="7">
        <f t="shared" si="5"/>
        <v>1351.6499999999996</v>
      </c>
      <c r="AI25" s="8" t="s">
        <v>18</v>
      </c>
    </row>
    <row r="26" spans="1:38" ht="14.25" customHeight="1">
      <c r="A26" s="5">
        <v>46040</v>
      </c>
      <c r="B26" s="7"/>
      <c r="C26" s="7">
        <v>351.5</v>
      </c>
      <c r="D26" s="7">
        <f t="shared" si="0"/>
        <v>8787.75</v>
      </c>
      <c r="E26" s="8" t="s">
        <v>13</v>
      </c>
      <c r="G26" s="5">
        <v>46081</v>
      </c>
      <c r="H26" s="7"/>
      <c r="I26" s="7">
        <v>174</v>
      </c>
      <c r="J26" s="7">
        <f t="shared" si="1"/>
        <v>3859.1500000000005</v>
      </c>
      <c r="K26" s="8" t="s">
        <v>8</v>
      </c>
      <c r="M26" s="5">
        <v>46110</v>
      </c>
      <c r="N26" s="7"/>
      <c r="O26" s="7">
        <v>216</v>
      </c>
      <c r="P26" s="7">
        <f t="shared" si="2"/>
        <v>7416.8</v>
      </c>
      <c r="Q26" s="8" t="s">
        <v>8</v>
      </c>
      <c r="S26" s="5"/>
      <c r="T26" s="7"/>
      <c r="U26" s="7"/>
      <c r="V26" s="7">
        <f t="shared" si="3"/>
        <v>12403.5</v>
      </c>
      <c r="W26" s="8"/>
      <c r="Y26" s="5">
        <v>46172</v>
      </c>
      <c r="Z26" s="7"/>
      <c r="AA26" s="7">
        <v>230</v>
      </c>
      <c r="AB26" s="7">
        <f t="shared" si="4"/>
        <v>7077.0999999999995</v>
      </c>
      <c r="AC26" s="8" t="s">
        <v>8</v>
      </c>
      <c r="AE26" s="5">
        <v>46196</v>
      </c>
      <c r="AF26" s="7">
        <v>10000</v>
      </c>
      <c r="AG26" s="7"/>
      <c r="AH26" s="7">
        <f t="shared" si="5"/>
        <v>11351.65</v>
      </c>
      <c r="AI26" s="8" t="s">
        <v>9</v>
      </c>
    </row>
    <row r="27" spans="1:38" ht="14.25" customHeight="1">
      <c r="A27" s="5">
        <v>46047</v>
      </c>
      <c r="B27" s="7"/>
      <c r="C27" s="7">
        <v>63.8</v>
      </c>
      <c r="D27" s="7">
        <f t="shared" si="0"/>
        <v>8723.9500000000007</v>
      </c>
      <c r="E27" s="8" t="s">
        <v>10</v>
      </c>
      <c r="G27" s="5">
        <v>46081</v>
      </c>
      <c r="H27" s="7"/>
      <c r="I27" s="7">
        <v>220.4</v>
      </c>
      <c r="J27" s="7">
        <f t="shared" si="1"/>
        <v>3638.7500000000005</v>
      </c>
      <c r="K27" s="8" t="s">
        <v>13</v>
      </c>
      <c r="M27" s="5"/>
      <c r="N27" s="7"/>
      <c r="O27" s="7"/>
      <c r="P27" s="7">
        <f t="shared" si="2"/>
        <v>7416.8</v>
      </c>
      <c r="Q27" s="8"/>
      <c r="S27" s="5"/>
      <c r="T27" s="7"/>
      <c r="U27" s="7"/>
      <c r="V27" s="7">
        <f t="shared" si="3"/>
        <v>12403.5</v>
      </c>
      <c r="W27" s="8"/>
      <c r="Y27" s="5">
        <v>46172</v>
      </c>
      <c r="Z27" s="7"/>
      <c r="AA27" s="7">
        <v>415</v>
      </c>
      <c r="AB27" s="7">
        <f t="shared" si="4"/>
        <v>6662.0999999999995</v>
      </c>
      <c r="AC27" s="8" t="s">
        <v>13</v>
      </c>
      <c r="AE27" s="5">
        <v>46201</v>
      </c>
      <c r="AF27" s="7"/>
      <c r="AG27" s="7">
        <v>210</v>
      </c>
      <c r="AH27" s="7">
        <f t="shared" si="5"/>
        <v>11141.65</v>
      </c>
      <c r="AI27" s="8" t="s">
        <v>8</v>
      </c>
    </row>
    <row r="28" spans="1:38" ht="14.25" customHeight="1">
      <c r="A28" s="5">
        <v>46047</v>
      </c>
      <c r="B28" s="7"/>
      <c r="C28" s="7">
        <v>190</v>
      </c>
      <c r="D28" s="7">
        <f t="shared" si="0"/>
        <v>8533.9500000000007</v>
      </c>
      <c r="E28" s="8" t="s">
        <v>8</v>
      </c>
      <c r="G28" s="5">
        <v>46081</v>
      </c>
      <c r="H28" s="7"/>
      <c r="I28" s="7">
        <v>300</v>
      </c>
      <c r="J28" s="7">
        <f t="shared" si="1"/>
        <v>3338.7500000000005</v>
      </c>
      <c r="K28" s="8" t="s">
        <v>26</v>
      </c>
      <c r="M28" s="5"/>
      <c r="N28" s="7"/>
      <c r="O28" s="7"/>
      <c r="P28" s="7">
        <f t="shared" si="2"/>
        <v>7416.8</v>
      </c>
      <c r="Q28" s="8"/>
      <c r="R28" s="13"/>
      <c r="S28" s="5"/>
      <c r="T28" s="7"/>
      <c r="U28" s="7"/>
      <c r="V28" s="7">
        <f t="shared" si="3"/>
        <v>12403.5</v>
      </c>
      <c r="W28" s="8"/>
      <c r="Y28" s="5">
        <v>46172</v>
      </c>
      <c r="Z28" s="7"/>
      <c r="AA28" s="7">
        <v>493.2</v>
      </c>
      <c r="AB28" s="7">
        <f t="shared" si="4"/>
        <v>6168.9</v>
      </c>
      <c r="AC28" s="8" t="s">
        <v>13</v>
      </c>
      <c r="AE28" s="5">
        <v>46201</v>
      </c>
      <c r="AF28" s="7"/>
      <c r="AG28" s="7">
        <v>409.8</v>
      </c>
      <c r="AH28" s="7">
        <f t="shared" si="5"/>
        <v>10731.85</v>
      </c>
      <c r="AI28" s="8" t="s">
        <v>13</v>
      </c>
    </row>
    <row r="29" spans="1:38" ht="14.25" customHeight="1">
      <c r="A29" s="5">
        <v>46047</v>
      </c>
      <c r="B29" s="7"/>
      <c r="C29" s="7">
        <v>351.5</v>
      </c>
      <c r="D29" s="7">
        <f t="shared" si="0"/>
        <v>8182.4500000000007</v>
      </c>
      <c r="E29" s="8" t="s">
        <v>13</v>
      </c>
      <c r="G29" s="5">
        <v>46081</v>
      </c>
      <c r="H29" s="7"/>
      <c r="I29" s="7">
        <v>793</v>
      </c>
      <c r="J29" s="7">
        <f t="shared" si="1"/>
        <v>2545.7500000000005</v>
      </c>
      <c r="K29" s="8" t="s">
        <v>29</v>
      </c>
      <c r="M29" s="5"/>
      <c r="N29" s="7"/>
      <c r="O29" s="7"/>
      <c r="P29" s="7">
        <f t="shared" si="2"/>
        <v>7416.8</v>
      </c>
      <c r="Q29" s="8"/>
      <c r="R29" s="13"/>
      <c r="S29" s="5"/>
      <c r="T29" s="7"/>
      <c r="U29" s="7"/>
      <c r="V29" s="7">
        <f t="shared" si="3"/>
        <v>12403.5</v>
      </c>
      <c r="W29" s="8"/>
      <c r="Y29" s="5"/>
      <c r="Z29" s="7"/>
      <c r="AA29" s="7"/>
      <c r="AB29" s="7">
        <f t="shared" si="4"/>
        <v>6168.9</v>
      </c>
      <c r="AC29" s="8"/>
      <c r="AE29" s="5"/>
      <c r="AF29" s="7"/>
      <c r="AG29" s="7"/>
      <c r="AH29" s="7">
        <f t="shared" si="5"/>
        <v>10731.85</v>
      </c>
      <c r="AI29" s="8"/>
    </row>
    <row r="30" spans="1:38" ht="14.25" customHeight="1">
      <c r="A30" s="5">
        <v>46053</v>
      </c>
      <c r="B30" s="7"/>
      <c r="C30" s="7">
        <v>4.9000000000000004</v>
      </c>
      <c r="D30" s="7">
        <f t="shared" si="0"/>
        <v>8177.5500000000011</v>
      </c>
      <c r="E30" s="8" t="s">
        <v>12</v>
      </c>
      <c r="G30" s="5"/>
      <c r="H30" s="7"/>
      <c r="I30" s="7"/>
      <c r="J30" s="7">
        <f t="shared" si="1"/>
        <v>2545.7500000000005</v>
      </c>
      <c r="K30" s="8"/>
      <c r="M30" s="5"/>
      <c r="N30" s="7"/>
      <c r="O30" s="7"/>
      <c r="P30" s="7">
        <f t="shared" si="2"/>
        <v>7416.8</v>
      </c>
      <c r="Q30" s="8"/>
      <c r="S30" s="5"/>
      <c r="T30" s="7"/>
      <c r="U30" s="7"/>
      <c r="V30" s="7">
        <f t="shared" si="3"/>
        <v>12403.5</v>
      </c>
      <c r="W30" s="8"/>
      <c r="Y30" s="5"/>
      <c r="Z30" s="7"/>
      <c r="AA30" s="7"/>
      <c r="AB30" s="7">
        <f t="shared" si="4"/>
        <v>6168.9</v>
      </c>
      <c r="AC30" s="8"/>
      <c r="AE30" s="5"/>
      <c r="AF30" s="7"/>
      <c r="AG30" s="7"/>
      <c r="AH30" s="7">
        <f t="shared" si="5"/>
        <v>10731.85</v>
      </c>
      <c r="AI30" s="8"/>
    </row>
    <row r="31" spans="1:38" ht="14.25" customHeight="1">
      <c r="A31" s="5"/>
      <c r="B31" s="7"/>
      <c r="C31" s="7"/>
      <c r="D31" s="7">
        <f t="shared" si="0"/>
        <v>8177.5500000000011</v>
      </c>
      <c r="E31" s="8"/>
      <c r="G31" s="5"/>
      <c r="H31" s="7"/>
      <c r="I31" s="7"/>
      <c r="J31" s="7">
        <f t="shared" si="1"/>
        <v>2545.7500000000005</v>
      </c>
      <c r="K31" s="8"/>
      <c r="M31" s="5"/>
      <c r="N31" s="7"/>
      <c r="O31" s="7"/>
      <c r="P31" s="7">
        <f t="shared" si="2"/>
        <v>7416.8</v>
      </c>
      <c r="Q31" s="8"/>
      <c r="S31" s="5"/>
      <c r="T31" s="7"/>
      <c r="U31" s="7"/>
      <c r="V31" s="7">
        <f t="shared" si="3"/>
        <v>12403.5</v>
      </c>
      <c r="W31" s="8"/>
      <c r="Y31" s="5"/>
      <c r="Z31" s="7"/>
      <c r="AA31" s="7"/>
      <c r="AB31" s="7">
        <f t="shared" si="4"/>
        <v>6168.9</v>
      </c>
      <c r="AC31" s="8"/>
      <c r="AE31" s="5"/>
      <c r="AF31" s="7"/>
      <c r="AG31" s="7"/>
      <c r="AH31" s="7">
        <f t="shared" si="5"/>
        <v>10731.85</v>
      </c>
      <c r="AI31" s="8"/>
    </row>
    <row r="32" spans="1:38" ht="14.25" customHeight="1">
      <c r="A32" s="5"/>
      <c r="B32" s="7"/>
      <c r="C32" s="7"/>
      <c r="D32" s="7">
        <f t="shared" si="0"/>
        <v>8177.5500000000011</v>
      </c>
      <c r="E32" s="8"/>
      <c r="G32" s="5"/>
      <c r="H32" s="7"/>
      <c r="I32" s="7"/>
      <c r="J32" s="7">
        <f t="shared" si="1"/>
        <v>2545.7500000000005</v>
      </c>
      <c r="K32" s="8"/>
      <c r="M32" s="5"/>
      <c r="N32" s="7"/>
      <c r="O32" s="7"/>
      <c r="P32" s="7">
        <f t="shared" si="2"/>
        <v>7416.8</v>
      </c>
      <c r="Q32" s="8"/>
      <c r="S32" s="5"/>
      <c r="T32" s="7"/>
      <c r="U32" s="7"/>
      <c r="V32" s="7">
        <f t="shared" si="3"/>
        <v>12403.5</v>
      </c>
      <c r="W32" s="8"/>
      <c r="Y32" s="5"/>
      <c r="Z32" s="7"/>
      <c r="AA32" s="7"/>
      <c r="AB32" s="7">
        <f t="shared" si="4"/>
        <v>6168.9</v>
      </c>
      <c r="AC32" s="8"/>
      <c r="AE32" s="5"/>
      <c r="AF32" s="7"/>
      <c r="AG32" s="7"/>
      <c r="AH32" s="7">
        <f t="shared" si="5"/>
        <v>10731.85</v>
      </c>
      <c r="AI32" s="8"/>
    </row>
    <row r="33" spans="1:35" ht="14.25" customHeight="1">
      <c r="A33" s="5"/>
      <c r="B33" s="7"/>
      <c r="C33" s="7"/>
      <c r="D33" s="7">
        <f t="shared" si="0"/>
        <v>8177.5500000000011</v>
      </c>
      <c r="E33" s="8"/>
      <c r="G33" s="5"/>
      <c r="H33" s="7"/>
      <c r="I33" s="7"/>
      <c r="J33" s="7">
        <f t="shared" si="1"/>
        <v>2545.7500000000005</v>
      </c>
      <c r="K33" s="8"/>
      <c r="M33" s="5"/>
      <c r="N33" s="7"/>
      <c r="O33" s="7"/>
      <c r="P33" s="7">
        <f t="shared" si="2"/>
        <v>7416.8</v>
      </c>
      <c r="Q33" s="8"/>
      <c r="S33" s="5"/>
      <c r="T33" s="7"/>
      <c r="U33" s="7"/>
      <c r="V33" s="7">
        <f t="shared" si="3"/>
        <v>12403.5</v>
      </c>
      <c r="W33" s="8"/>
      <c r="Y33" s="5"/>
      <c r="Z33" s="7"/>
      <c r="AA33" s="7"/>
      <c r="AB33" s="7">
        <f t="shared" si="4"/>
        <v>6168.9</v>
      </c>
      <c r="AC33" s="8"/>
      <c r="AE33" s="5"/>
      <c r="AF33" s="7"/>
      <c r="AG33" s="7"/>
      <c r="AH33" s="7">
        <f t="shared" si="5"/>
        <v>10731.85</v>
      </c>
      <c r="AI33" s="8"/>
    </row>
    <row r="34" spans="1:35" ht="14.25" customHeight="1">
      <c r="A34" s="5"/>
      <c r="B34" s="7"/>
      <c r="C34" s="7"/>
      <c r="D34" s="7">
        <f t="shared" si="0"/>
        <v>8177.5500000000011</v>
      </c>
      <c r="E34" s="8"/>
      <c r="G34" s="5"/>
      <c r="H34" s="7"/>
      <c r="I34" s="7"/>
      <c r="J34" s="7">
        <f t="shared" si="1"/>
        <v>2545.7500000000005</v>
      </c>
      <c r="K34" s="8"/>
      <c r="M34" s="5"/>
      <c r="N34" s="7"/>
      <c r="O34" s="7"/>
      <c r="P34" s="7">
        <f t="shared" si="2"/>
        <v>7416.8</v>
      </c>
      <c r="Q34" s="8"/>
      <c r="S34" s="5"/>
      <c r="T34" s="7"/>
      <c r="U34" s="7"/>
      <c r="V34" s="7">
        <f t="shared" si="3"/>
        <v>12403.5</v>
      </c>
      <c r="W34" s="8"/>
      <c r="Y34" s="5"/>
      <c r="Z34" s="7"/>
      <c r="AA34" s="7"/>
      <c r="AB34" s="7">
        <f t="shared" si="4"/>
        <v>6168.9</v>
      </c>
      <c r="AC34" s="8"/>
      <c r="AE34" s="5"/>
      <c r="AF34" s="7"/>
      <c r="AG34" s="7"/>
      <c r="AH34" s="7">
        <f t="shared" si="5"/>
        <v>10731.85</v>
      </c>
      <c r="AI34" s="8"/>
    </row>
    <row r="35" spans="1:35" ht="14.25" customHeight="1">
      <c r="A35" s="5"/>
      <c r="B35" s="7"/>
      <c r="C35" s="7"/>
      <c r="D35" s="7">
        <f t="shared" si="0"/>
        <v>8177.5500000000011</v>
      </c>
      <c r="E35" s="8"/>
      <c r="G35" s="5"/>
      <c r="H35" s="7"/>
      <c r="I35" s="7"/>
      <c r="J35" s="7">
        <f t="shared" si="1"/>
        <v>2545.7500000000005</v>
      </c>
      <c r="K35" s="8"/>
      <c r="M35" s="5"/>
      <c r="N35" s="7"/>
      <c r="O35" s="7"/>
      <c r="P35" s="7">
        <f t="shared" si="2"/>
        <v>7416.8</v>
      </c>
      <c r="Q35" s="8"/>
      <c r="S35" s="5"/>
      <c r="T35" s="7"/>
      <c r="U35" s="7"/>
      <c r="V35" s="7">
        <f t="shared" si="3"/>
        <v>12403.5</v>
      </c>
      <c r="W35" s="8"/>
      <c r="Y35" s="5"/>
      <c r="Z35" s="7"/>
      <c r="AA35" s="7"/>
      <c r="AB35" s="7">
        <f t="shared" si="4"/>
        <v>6168.9</v>
      </c>
      <c r="AC35" s="8"/>
      <c r="AE35" s="5"/>
      <c r="AF35" s="7"/>
      <c r="AG35" s="7"/>
      <c r="AH35" s="7">
        <f t="shared" si="5"/>
        <v>10731.85</v>
      </c>
      <c r="AI35" s="8"/>
    </row>
    <row r="36" spans="1:35" ht="14.25" customHeight="1">
      <c r="A36" s="5"/>
      <c r="B36" s="7"/>
      <c r="C36" s="7"/>
      <c r="D36" s="7">
        <f t="shared" si="0"/>
        <v>8177.5500000000011</v>
      </c>
      <c r="E36" s="8"/>
      <c r="G36" s="5"/>
      <c r="H36" s="7"/>
      <c r="I36" s="7"/>
      <c r="J36" s="7">
        <f t="shared" si="1"/>
        <v>2545.7500000000005</v>
      </c>
      <c r="K36" s="8"/>
      <c r="M36" s="5"/>
      <c r="N36" s="7"/>
      <c r="O36" s="7"/>
      <c r="P36" s="7">
        <f t="shared" si="2"/>
        <v>7416.8</v>
      </c>
      <c r="Q36" s="8"/>
      <c r="S36" s="5"/>
      <c r="T36" s="7"/>
      <c r="U36" s="7"/>
      <c r="V36" s="7">
        <f t="shared" si="3"/>
        <v>12403.5</v>
      </c>
      <c r="W36" s="8"/>
      <c r="Y36" s="5"/>
      <c r="Z36" s="7"/>
      <c r="AA36" s="7"/>
      <c r="AB36" s="7">
        <f t="shared" si="4"/>
        <v>6168.9</v>
      </c>
      <c r="AC36" s="8"/>
      <c r="AE36" s="5"/>
      <c r="AF36" s="7"/>
      <c r="AG36" s="7"/>
      <c r="AH36" s="7">
        <f t="shared" si="5"/>
        <v>10731.85</v>
      </c>
      <c r="AI36" s="8"/>
    </row>
    <row r="37" spans="1:35" ht="14.25" customHeight="1">
      <c r="A37" s="5"/>
      <c r="B37" s="7"/>
      <c r="C37" s="7"/>
      <c r="D37" s="7">
        <f t="shared" si="0"/>
        <v>8177.5500000000011</v>
      </c>
      <c r="E37" s="8"/>
      <c r="F37" s="14"/>
      <c r="G37" s="5"/>
      <c r="H37" s="7"/>
      <c r="I37" s="7"/>
      <c r="J37" s="7">
        <f t="shared" si="1"/>
        <v>2545.7500000000005</v>
      </c>
      <c r="K37" s="8"/>
      <c r="M37" s="5"/>
      <c r="N37" s="7"/>
      <c r="O37" s="7"/>
      <c r="P37" s="7">
        <f t="shared" si="2"/>
        <v>7416.8</v>
      </c>
      <c r="Q37" s="8"/>
      <c r="S37" s="5"/>
      <c r="T37" s="7"/>
      <c r="U37" s="7"/>
      <c r="V37" s="7">
        <f t="shared" si="3"/>
        <v>12403.5</v>
      </c>
      <c r="W37" s="8"/>
      <c r="Y37" s="5"/>
      <c r="Z37" s="7"/>
      <c r="AA37" s="7"/>
      <c r="AB37" s="7">
        <f t="shared" si="4"/>
        <v>6168.9</v>
      </c>
      <c r="AC37" s="8"/>
      <c r="AE37" s="5"/>
      <c r="AF37" s="7"/>
      <c r="AG37" s="7"/>
      <c r="AH37" s="7">
        <f t="shared" si="5"/>
        <v>10731.85</v>
      </c>
      <c r="AI37" s="8"/>
    </row>
    <row r="38" spans="1:35" ht="14.25" customHeight="1">
      <c r="A38" s="5"/>
      <c r="B38" s="7"/>
      <c r="C38" s="7"/>
      <c r="D38" s="7">
        <f t="shared" si="0"/>
        <v>8177.5500000000011</v>
      </c>
      <c r="E38" s="8"/>
      <c r="G38" s="5"/>
      <c r="H38" s="7"/>
      <c r="I38" s="7"/>
      <c r="J38" s="7">
        <f t="shared" si="1"/>
        <v>2545.7500000000005</v>
      </c>
      <c r="K38" s="8"/>
      <c r="M38" s="5"/>
      <c r="N38" s="7"/>
      <c r="O38" s="7"/>
      <c r="P38" s="7">
        <f t="shared" si="2"/>
        <v>7416.8</v>
      </c>
      <c r="Q38" s="8"/>
      <c r="S38" s="5"/>
      <c r="T38" s="7"/>
      <c r="U38" s="7"/>
      <c r="V38" s="7">
        <f t="shared" si="3"/>
        <v>12403.5</v>
      </c>
      <c r="W38" s="8"/>
      <c r="Y38" s="5"/>
      <c r="Z38" s="7"/>
      <c r="AA38" s="7"/>
      <c r="AB38" s="7">
        <f t="shared" si="4"/>
        <v>6168.9</v>
      </c>
      <c r="AC38" s="8"/>
      <c r="AE38" s="5"/>
      <c r="AF38" s="7"/>
      <c r="AG38" s="7"/>
      <c r="AH38" s="7">
        <f t="shared" si="5"/>
        <v>10731.85</v>
      </c>
      <c r="AI38" s="8"/>
    </row>
    <row r="39" spans="1:35" ht="14.25" customHeight="1">
      <c r="A39" s="5"/>
      <c r="B39" s="7"/>
      <c r="C39" s="7"/>
      <c r="D39" s="7">
        <f t="shared" si="0"/>
        <v>8177.5500000000011</v>
      </c>
      <c r="E39" s="8"/>
      <c r="G39" s="5"/>
      <c r="H39" s="7"/>
      <c r="I39" s="7"/>
      <c r="J39" s="7">
        <f t="shared" si="1"/>
        <v>2545.7500000000005</v>
      </c>
      <c r="K39" s="8"/>
      <c r="M39" s="5"/>
      <c r="N39" s="7"/>
      <c r="O39" s="7"/>
      <c r="P39" s="7">
        <f t="shared" si="2"/>
        <v>7416.8</v>
      </c>
      <c r="Q39" s="8"/>
      <c r="S39" s="5"/>
      <c r="T39" s="7"/>
      <c r="U39" s="7"/>
      <c r="V39" s="7">
        <f t="shared" si="3"/>
        <v>12403.5</v>
      </c>
      <c r="W39" s="8"/>
      <c r="Y39" s="5"/>
      <c r="Z39" s="7"/>
      <c r="AA39" s="7"/>
      <c r="AB39" s="7">
        <f t="shared" si="4"/>
        <v>6168.9</v>
      </c>
      <c r="AC39" s="8"/>
      <c r="AE39" s="5"/>
      <c r="AF39" s="7"/>
      <c r="AG39" s="7"/>
      <c r="AH39" s="7">
        <f t="shared" si="5"/>
        <v>10731.85</v>
      </c>
      <c r="AI39" s="8"/>
    </row>
    <row r="40" spans="1:35" ht="14.25" customHeight="1">
      <c r="A40" s="5"/>
      <c r="B40" s="7"/>
      <c r="C40" s="7"/>
      <c r="D40" s="7">
        <f t="shared" si="0"/>
        <v>8177.5500000000011</v>
      </c>
      <c r="E40" s="8"/>
      <c r="G40" s="5"/>
      <c r="H40" s="7"/>
      <c r="I40" s="7"/>
      <c r="J40" s="7">
        <f t="shared" si="1"/>
        <v>2545.7500000000005</v>
      </c>
      <c r="K40" s="8"/>
      <c r="M40" s="5"/>
      <c r="N40" s="7"/>
      <c r="O40" s="7"/>
      <c r="P40" s="7">
        <f t="shared" si="2"/>
        <v>7416.8</v>
      </c>
      <c r="Q40" s="8"/>
      <c r="S40" s="5"/>
      <c r="T40" s="7"/>
      <c r="U40" s="7"/>
      <c r="V40" s="7">
        <f t="shared" si="3"/>
        <v>12403.5</v>
      </c>
      <c r="W40" s="8"/>
      <c r="Y40" s="5"/>
      <c r="Z40" s="7"/>
      <c r="AA40" s="7"/>
      <c r="AB40" s="7">
        <f t="shared" si="4"/>
        <v>6168.9</v>
      </c>
      <c r="AC40" s="8"/>
      <c r="AE40" s="5"/>
      <c r="AF40" s="7"/>
      <c r="AG40" s="7"/>
      <c r="AH40" s="7">
        <f t="shared" si="5"/>
        <v>10731.85</v>
      </c>
      <c r="AI40" s="8"/>
    </row>
    <row r="41" spans="1:35" ht="14.25" customHeight="1">
      <c r="A41" s="5"/>
      <c r="B41" s="7"/>
      <c r="C41" s="7"/>
      <c r="D41" s="7">
        <f t="shared" si="0"/>
        <v>8177.5500000000011</v>
      </c>
      <c r="E41" s="8"/>
      <c r="G41" s="5"/>
      <c r="H41" s="7"/>
      <c r="I41" s="7"/>
      <c r="J41" s="7">
        <f t="shared" si="1"/>
        <v>2545.7500000000005</v>
      </c>
      <c r="K41" s="8"/>
      <c r="M41" s="5"/>
      <c r="N41" s="7"/>
      <c r="O41" s="7"/>
      <c r="P41" s="7">
        <f t="shared" si="2"/>
        <v>7416.8</v>
      </c>
      <c r="Q41" s="8"/>
      <c r="S41" s="5"/>
      <c r="T41" s="7"/>
      <c r="U41" s="7"/>
      <c r="V41" s="7">
        <f t="shared" si="3"/>
        <v>12403.5</v>
      </c>
      <c r="W41" s="8"/>
      <c r="Y41" s="5"/>
      <c r="Z41" s="7"/>
      <c r="AA41" s="7"/>
      <c r="AB41" s="7">
        <f t="shared" si="4"/>
        <v>6168.9</v>
      </c>
      <c r="AC41" s="8"/>
      <c r="AE41" s="5"/>
      <c r="AF41" s="7"/>
      <c r="AG41" s="7"/>
      <c r="AH41" s="7">
        <f t="shared" si="5"/>
        <v>10731.85</v>
      </c>
      <c r="AI41" s="8"/>
    </row>
    <row r="42" spans="1:35" ht="14.25" customHeight="1">
      <c r="A42" s="5"/>
      <c r="B42" s="7"/>
      <c r="C42" s="7"/>
      <c r="D42" s="7">
        <f t="shared" si="0"/>
        <v>8177.5500000000011</v>
      </c>
      <c r="E42" s="8"/>
      <c r="G42" s="5"/>
      <c r="H42" s="7"/>
      <c r="I42" s="7"/>
      <c r="J42" s="7">
        <f t="shared" si="1"/>
        <v>2545.7500000000005</v>
      </c>
      <c r="K42" s="8"/>
      <c r="M42" s="5"/>
      <c r="N42" s="7"/>
      <c r="O42" s="7"/>
      <c r="P42" s="7">
        <f t="shared" si="2"/>
        <v>7416.8</v>
      </c>
      <c r="Q42" s="8"/>
      <c r="S42" s="5"/>
      <c r="T42" s="7"/>
      <c r="U42" s="7"/>
      <c r="V42" s="7">
        <f t="shared" si="3"/>
        <v>12403.5</v>
      </c>
      <c r="W42" s="8"/>
      <c r="Y42" s="5"/>
      <c r="Z42" s="7"/>
      <c r="AA42" s="7"/>
      <c r="AB42" s="7">
        <f t="shared" si="4"/>
        <v>6168.9</v>
      </c>
      <c r="AC42" s="8"/>
      <c r="AE42" s="5"/>
      <c r="AF42" s="7"/>
      <c r="AG42" s="7"/>
      <c r="AH42" s="7">
        <f t="shared" si="5"/>
        <v>10731.85</v>
      </c>
      <c r="AI42" s="8"/>
    </row>
    <row r="43" spans="1:35" ht="14.25" customHeight="1">
      <c r="A43" s="5"/>
      <c r="B43" s="7"/>
      <c r="C43" s="7"/>
      <c r="D43" s="7">
        <f t="shared" si="0"/>
        <v>8177.5500000000011</v>
      </c>
      <c r="E43" s="8"/>
      <c r="G43" s="5"/>
      <c r="H43" s="7"/>
      <c r="I43" s="7"/>
      <c r="J43" s="7">
        <f t="shared" si="1"/>
        <v>2545.7500000000005</v>
      </c>
      <c r="K43" s="8"/>
      <c r="M43" s="5"/>
      <c r="N43" s="7"/>
      <c r="O43" s="7"/>
      <c r="P43" s="7">
        <f t="shared" si="2"/>
        <v>7416.8</v>
      </c>
      <c r="Q43" s="8"/>
      <c r="S43" s="5"/>
      <c r="T43" s="7"/>
      <c r="U43" s="7"/>
      <c r="V43" s="7">
        <f t="shared" si="3"/>
        <v>12403.5</v>
      </c>
      <c r="W43" s="8"/>
      <c r="Y43" s="5"/>
      <c r="Z43" s="7"/>
      <c r="AA43" s="7"/>
      <c r="AB43" s="7">
        <f t="shared" si="4"/>
        <v>6168.9</v>
      </c>
      <c r="AC43" s="8"/>
      <c r="AE43" s="5"/>
      <c r="AF43" s="7"/>
      <c r="AG43" s="7"/>
      <c r="AH43" s="7">
        <f t="shared" si="5"/>
        <v>10731.85</v>
      </c>
      <c r="AI43" s="8"/>
    </row>
    <row r="44" spans="1:35" ht="14.25" customHeight="1">
      <c r="A44" s="5"/>
      <c r="B44" s="7"/>
      <c r="C44" s="7"/>
      <c r="D44" s="7">
        <f t="shared" si="0"/>
        <v>8177.5500000000011</v>
      </c>
      <c r="E44" s="8"/>
      <c r="G44" s="5"/>
      <c r="H44" s="7"/>
      <c r="I44" s="7"/>
      <c r="J44" s="7">
        <f t="shared" si="1"/>
        <v>2545.7500000000005</v>
      </c>
      <c r="K44" s="8"/>
      <c r="M44" s="5"/>
      <c r="N44" s="7"/>
      <c r="O44" s="7"/>
      <c r="P44" s="7">
        <f t="shared" si="2"/>
        <v>7416.8</v>
      </c>
      <c r="Q44" s="8"/>
      <c r="S44" s="5"/>
      <c r="T44" s="7"/>
      <c r="U44" s="7"/>
      <c r="V44" s="7">
        <f t="shared" si="3"/>
        <v>12403.5</v>
      </c>
      <c r="W44" s="8"/>
      <c r="Y44" s="5"/>
      <c r="Z44" s="7"/>
      <c r="AA44" s="7"/>
      <c r="AB44" s="7">
        <f t="shared" si="4"/>
        <v>6168.9</v>
      </c>
      <c r="AC44" s="8"/>
      <c r="AE44" s="5"/>
      <c r="AF44" s="7"/>
      <c r="AG44" s="7"/>
      <c r="AH44" s="7">
        <f t="shared" si="5"/>
        <v>10731.85</v>
      </c>
      <c r="AI44" s="8"/>
    </row>
    <row r="45" spans="1:35" ht="14.25" customHeight="1">
      <c r="A45" s="5"/>
      <c r="B45" s="7"/>
      <c r="C45" s="7"/>
      <c r="D45" s="7">
        <f t="shared" si="0"/>
        <v>8177.5500000000011</v>
      </c>
      <c r="E45" s="8"/>
      <c r="G45" s="5"/>
      <c r="H45" s="7"/>
      <c r="I45" s="7"/>
      <c r="J45" s="7">
        <f t="shared" si="1"/>
        <v>2545.7500000000005</v>
      </c>
      <c r="K45" s="8"/>
      <c r="M45" s="5"/>
      <c r="N45" s="7"/>
      <c r="O45" s="7"/>
      <c r="P45" s="7">
        <f t="shared" si="2"/>
        <v>7416.8</v>
      </c>
      <c r="Q45" s="8"/>
      <c r="S45" s="5"/>
      <c r="T45" s="7"/>
      <c r="U45" s="7"/>
      <c r="V45" s="7">
        <f t="shared" si="3"/>
        <v>12403.5</v>
      </c>
      <c r="W45" s="8"/>
      <c r="Y45" s="5"/>
      <c r="Z45" s="7"/>
      <c r="AA45" s="7"/>
      <c r="AB45" s="7">
        <f t="shared" si="4"/>
        <v>6168.9</v>
      </c>
      <c r="AC45" s="8"/>
      <c r="AE45" s="5"/>
      <c r="AF45" s="7"/>
      <c r="AG45" s="7"/>
      <c r="AH45" s="7">
        <f t="shared" si="5"/>
        <v>10731.85</v>
      </c>
      <c r="AI45" s="8"/>
    </row>
    <row r="46" spans="1:35" ht="14.25" customHeight="1">
      <c r="A46" s="5"/>
      <c r="B46" s="7"/>
      <c r="C46" s="7"/>
      <c r="D46" s="7">
        <f t="shared" si="0"/>
        <v>8177.5500000000011</v>
      </c>
      <c r="E46" s="8"/>
      <c r="G46" s="5"/>
      <c r="H46" s="7"/>
      <c r="I46" s="7"/>
      <c r="J46" s="7">
        <f t="shared" si="1"/>
        <v>2545.7500000000005</v>
      </c>
      <c r="K46" s="8"/>
      <c r="M46" s="5"/>
      <c r="N46" s="7"/>
      <c r="O46" s="7"/>
      <c r="P46" s="7">
        <f t="shared" si="2"/>
        <v>7416.8</v>
      </c>
      <c r="Q46" s="8"/>
      <c r="S46" s="5"/>
      <c r="T46" s="7"/>
      <c r="U46" s="7"/>
      <c r="V46" s="7">
        <f t="shared" si="3"/>
        <v>12403.5</v>
      </c>
      <c r="W46" s="8"/>
      <c r="Y46" s="5"/>
      <c r="Z46" s="7"/>
      <c r="AA46" s="7"/>
      <c r="AB46" s="7">
        <f t="shared" si="4"/>
        <v>6168.9</v>
      </c>
      <c r="AC46" s="8"/>
      <c r="AE46" s="5"/>
      <c r="AF46" s="7"/>
      <c r="AG46" s="7"/>
      <c r="AH46" s="7">
        <f t="shared" si="5"/>
        <v>10731.85</v>
      </c>
      <c r="AI46" s="8"/>
    </row>
    <row r="47" spans="1:35" ht="14.25" customHeight="1">
      <c r="A47" s="5"/>
      <c r="B47" s="7"/>
      <c r="C47" s="7"/>
      <c r="D47" s="7">
        <f t="shared" si="0"/>
        <v>8177.5500000000011</v>
      </c>
      <c r="E47" s="8"/>
      <c r="G47" s="5"/>
      <c r="H47" s="7"/>
      <c r="I47" s="7"/>
      <c r="J47" s="7">
        <f t="shared" si="1"/>
        <v>2545.7500000000005</v>
      </c>
      <c r="K47" s="8"/>
      <c r="M47" s="5"/>
      <c r="N47" s="7"/>
      <c r="O47" s="7"/>
      <c r="P47" s="7">
        <f t="shared" si="2"/>
        <v>7416.8</v>
      </c>
      <c r="Q47" s="8"/>
      <c r="S47" s="5"/>
      <c r="T47" s="7"/>
      <c r="U47" s="7"/>
      <c r="V47" s="7">
        <f t="shared" si="3"/>
        <v>12403.5</v>
      </c>
      <c r="W47" s="8"/>
      <c r="Y47" s="5"/>
      <c r="Z47" s="7"/>
      <c r="AA47" s="7"/>
      <c r="AB47" s="7">
        <f t="shared" si="4"/>
        <v>6168.9</v>
      </c>
      <c r="AC47" s="8"/>
      <c r="AE47" s="5"/>
      <c r="AF47" s="7"/>
      <c r="AG47" s="7"/>
      <c r="AH47" s="7">
        <f t="shared" si="5"/>
        <v>10731.85</v>
      </c>
      <c r="AI47" s="8"/>
    </row>
    <row r="48" spans="1:35" ht="14.25" customHeight="1">
      <c r="A48" s="5"/>
      <c r="B48" s="7"/>
      <c r="C48" s="7"/>
      <c r="D48" s="7"/>
      <c r="E48" s="8"/>
      <c r="G48" s="5"/>
      <c r="H48" s="7"/>
      <c r="I48" s="7"/>
      <c r="J48" s="7"/>
      <c r="K48" s="8"/>
      <c r="M48" s="5"/>
      <c r="N48" s="7"/>
      <c r="O48" s="7"/>
      <c r="P48" s="7"/>
      <c r="Q48" s="8"/>
      <c r="S48" s="5"/>
      <c r="T48" s="7"/>
      <c r="U48" s="7"/>
      <c r="V48" s="7"/>
      <c r="W48" s="8"/>
      <c r="Y48" s="5"/>
      <c r="Z48" s="7"/>
      <c r="AA48" s="7"/>
      <c r="AB48" s="7"/>
      <c r="AC48" s="8"/>
      <c r="AE48" s="5"/>
      <c r="AF48" s="7"/>
      <c r="AG48" s="7"/>
      <c r="AH48" s="7"/>
      <c r="AI48" s="8"/>
    </row>
    <row r="49" spans="2:39" ht="14.25" customHeight="1">
      <c r="B49" s="15">
        <f t="shared" ref="B49:C49" si="6">SUM(B4:B48)</f>
        <v>13115.7</v>
      </c>
      <c r="C49" s="15">
        <f t="shared" si="6"/>
        <v>4938.1499999999996</v>
      </c>
      <c r="D49" s="15">
        <f>B49-C49</f>
        <v>8177.5500000000011</v>
      </c>
      <c r="E49" s="13"/>
      <c r="H49" s="15">
        <f t="shared" ref="H49:I49" si="7">SUM(H4:H48)</f>
        <v>0</v>
      </c>
      <c r="I49" s="15">
        <f t="shared" si="7"/>
        <v>5631.8</v>
      </c>
      <c r="J49" s="15">
        <f>H49-I49</f>
        <v>-5631.8</v>
      </c>
      <c r="K49" s="13"/>
      <c r="N49" s="15">
        <f t="shared" ref="N49:O49" si="8">SUM(N4:N48)</f>
        <v>10000</v>
      </c>
      <c r="O49" s="15">
        <f t="shared" si="8"/>
        <v>5128.95</v>
      </c>
      <c r="P49" s="15">
        <f>N49-O49</f>
        <v>4871.05</v>
      </c>
      <c r="Q49" s="13"/>
      <c r="T49" s="15">
        <f t="shared" ref="T49:U49" si="9">SUM(T4:T48)</f>
        <v>10000</v>
      </c>
      <c r="U49" s="15">
        <f t="shared" si="9"/>
        <v>5013.2999999999993</v>
      </c>
      <c r="V49" s="15">
        <f>T49-U49</f>
        <v>4986.7000000000007</v>
      </c>
      <c r="W49" s="13"/>
      <c r="Z49" s="15">
        <f t="shared" ref="Z49:AA49" si="10">SUM(Z4:Z48)</f>
        <v>0</v>
      </c>
      <c r="AA49" s="15">
        <f t="shared" si="10"/>
        <v>6234.6</v>
      </c>
      <c r="AB49" s="15">
        <f>Z49-AA49</f>
        <v>-6234.6</v>
      </c>
      <c r="AC49" s="13"/>
      <c r="AF49" s="15">
        <f t="shared" ref="AF49:AG49" si="11">SUM(AF4:AF48)</f>
        <v>10000</v>
      </c>
      <c r="AG49" s="15">
        <f t="shared" si="11"/>
        <v>5437.05</v>
      </c>
      <c r="AH49" s="15">
        <f>AF49-AG49</f>
        <v>4562.95</v>
      </c>
      <c r="AI49" s="13"/>
    </row>
    <row r="50" spans="2:39" ht="14.25" customHeight="1">
      <c r="B50" s="15"/>
      <c r="C50" s="15"/>
      <c r="D50" s="15">
        <f>D3+D49</f>
        <v>8177.5500000000011</v>
      </c>
      <c r="E50" s="13"/>
      <c r="H50" s="15"/>
      <c r="I50" s="15"/>
      <c r="J50" s="15">
        <f>J3+J49</f>
        <v>2545.7500000000009</v>
      </c>
      <c r="K50" s="13"/>
      <c r="N50" s="15"/>
      <c r="O50" s="15"/>
      <c r="P50" s="15">
        <f>P3+P49</f>
        <v>7416.8000000000011</v>
      </c>
      <c r="Q50" s="13"/>
      <c r="T50" s="15"/>
      <c r="U50" s="15"/>
      <c r="V50" s="15">
        <f>V3+V49</f>
        <v>12403.5</v>
      </c>
      <c r="W50" s="13"/>
      <c r="Z50" s="15"/>
      <c r="AA50" s="15"/>
      <c r="AB50" s="15">
        <f>AB3+AB49</f>
        <v>6168.9</v>
      </c>
      <c r="AC50" s="13"/>
      <c r="AF50" s="15"/>
      <c r="AG50" s="15"/>
      <c r="AH50" s="15">
        <f>AH3+AH49</f>
        <v>10731.849999999999</v>
      </c>
      <c r="AI50" s="13"/>
    </row>
    <row r="51" spans="2:39" ht="14.25" hidden="1" customHeight="1">
      <c r="B51" s="15"/>
      <c r="C51" s="16" t="s">
        <v>30</v>
      </c>
      <c r="D51" s="15"/>
      <c r="H51" s="15"/>
      <c r="I51" s="15"/>
      <c r="J51" s="15"/>
      <c r="N51" s="15"/>
      <c r="O51" s="15"/>
      <c r="P51" s="15"/>
      <c r="T51" s="15"/>
      <c r="U51" s="15"/>
      <c r="V51" s="15"/>
      <c r="Z51" s="15"/>
      <c r="AA51" s="15"/>
      <c r="AB51" s="15"/>
      <c r="AF51" s="15"/>
      <c r="AG51" s="15"/>
      <c r="AH51" s="15"/>
    </row>
    <row r="52" spans="2:39" ht="14.25" hidden="1" customHeight="1">
      <c r="B52" s="15"/>
      <c r="C52" s="15"/>
      <c r="D52" s="15"/>
      <c r="H52" s="15"/>
      <c r="I52" s="15"/>
      <c r="J52" s="15"/>
      <c r="N52" s="15"/>
      <c r="O52" s="15"/>
      <c r="P52" s="15"/>
      <c r="T52" s="15" t="s">
        <v>31</v>
      </c>
      <c r="U52" s="15" t="s">
        <v>32</v>
      </c>
      <c r="V52" s="15"/>
      <c r="X52" s="13"/>
      <c r="Z52" s="15"/>
      <c r="AA52" s="15"/>
      <c r="AB52" s="15"/>
      <c r="AF52" s="15"/>
      <c r="AG52" s="15"/>
      <c r="AH52" s="15"/>
    </row>
    <row r="53" spans="2:39" ht="14.25" hidden="1" customHeight="1">
      <c r="B53" s="15"/>
      <c r="C53" s="15"/>
      <c r="D53" s="15"/>
      <c r="H53" s="15"/>
      <c r="I53" s="15"/>
      <c r="J53" s="15"/>
      <c r="N53" s="15"/>
      <c r="O53" s="15"/>
      <c r="P53" s="15"/>
      <c r="T53" s="15"/>
      <c r="U53" s="15" t="s">
        <v>33</v>
      </c>
      <c r="V53" s="17">
        <v>707.8</v>
      </c>
      <c r="Z53" s="15"/>
      <c r="AA53" s="15"/>
      <c r="AB53" s="15"/>
      <c r="AF53" s="15"/>
      <c r="AG53" s="15"/>
      <c r="AH53" s="15"/>
    </row>
    <row r="54" spans="2:39" ht="14.25" hidden="1" customHeight="1">
      <c r="B54" s="15"/>
      <c r="C54" s="15"/>
      <c r="D54" s="15"/>
      <c r="H54" s="15"/>
      <c r="I54" s="15"/>
      <c r="J54" s="15"/>
      <c r="N54" s="15"/>
      <c r="O54" s="15"/>
      <c r="P54" s="15"/>
      <c r="T54" s="15"/>
      <c r="U54" s="15"/>
      <c r="V54" s="15"/>
      <c r="Z54" s="15"/>
      <c r="AA54" s="15"/>
      <c r="AB54" s="15"/>
      <c r="AF54" s="15"/>
      <c r="AG54" s="15"/>
      <c r="AH54" s="15"/>
    </row>
    <row r="55" spans="2:39" ht="14.25" customHeight="1">
      <c r="B55" s="50">
        <v>46023</v>
      </c>
      <c r="C55" s="48"/>
      <c r="D55" s="49"/>
      <c r="E55" s="18"/>
      <c r="H55" s="50">
        <v>46054</v>
      </c>
      <c r="I55" s="48"/>
      <c r="J55" s="49"/>
      <c r="K55" s="18"/>
      <c r="N55" s="50">
        <v>46082</v>
      </c>
      <c r="O55" s="48"/>
      <c r="P55" s="49"/>
      <c r="Q55" s="18"/>
      <c r="T55" s="54" t="s">
        <v>34</v>
      </c>
      <c r="U55" s="48"/>
      <c r="V55" s="49"/>
      <c r="W55" s="18"/>
      <c r="Z55" s="50">
        <v>46143</v>
      </c>
      <c r="AA55" s="48"/>
      <c r="AB55" s="49"/>
      <c r="AC55" s="18"/>
      <c r="AF55" s="50">
        <v>46174</v>
      </c>
      <c r="AG55" s="48"/>
      <c r="AH55" s="49"/>
      <c r="AI55" s="18"/>
      <c r="AK55" s="4"/>
      <c r="AL55" s="4" t="s">
        <v>5</v>
      </c>
      <c r="AM55" s="19" t="s">
        <v>35</v>
      </c>
    </row>
    <row r="56" spans="2:39" ht="14.25" customHeight="1">
      <c r="B56" s="20">
        <v>1</v>
      </c>
      <c r="C56" s="20" t="s">
        <v>7</v>
      </c>
      <c r="D56" s="20">
        <f t="shared" ref="D56:D76" si="12">SUMIF(E$3:E$48,$C56,C$3:C$48)</f>
        <v>0</v>
      </c>
      <c r="H56" s="20">
        <v>1</v>
      </c>
      <c r="I56" s="20" t="s">
        <v>7</v>
      </c>
      <c r="J56" s="20">
        <f t="shared" ref="J56:J76" si="13">SUMIF(K$3:K$48,$C56,I$3:I$48)</f>
        <v>0</v>
      </c>
      <c r="N56" s="20">
        <v>1</v>
      </c>
      <c r="O56" s="20" t="s">
        <v>7</v>
      </c>
      <c r="P56" s="20">
        <f t="shared" ref="P56:P76" si="14">SUMIF(Q$3:Q$48,$C56,O$3:O$48)</f>
        <v>0</v>
      </c>
      <c r="T56" s="20">
        <v>1</v>
      </c>
      <c r="U56" s="20" t="s">
        <v>7</v>
      </c>
      <c r="V56" s="20">
        <f t="shared" ref="V56:V76" si="15">SUMIF(W$3:W$48,$C56,U$3:U$48)</f>
        <v>19.399999999999999</v>
      </c>
      <c r="Z56" s="20">
        <v>1</v>
      </c>
      <c r="AA56" s="20" t="s">
        <v>7</v>
      </c>
      <c r="AB56" s="20">
        <f t="shared" ref="AB56:AB76" si="16">SUMIF(AC$3:AC$48,$C56,AA$3:AA$48)</f>
        <v>0</v>
      </c>
      <c r="AF56" s="20">
        <v>1</v>
      </c>
      <c r="AG56" s="20" t="s">
        <v>7</v>
      </c>
      <c r="AH56" s="20">
        <f t="shared" ref="AH56:AH76" si="17">SUMIF(AI$3:AI$48,$C56,AG$3:AG$48)</f>
        <v>0</v>
      </c>
      <c r="AK56" s="4">
        <v>1</v>
      </c>
      <c r="AL56" s="4" t="s">
        <v>7</v>
      </c>
      <c r="AM56" s="21">
        <f>SUMIF($C$56:$C$76,$AL56,$D$56:$D$76)+SUMIF($I$56:$I$76,$AL56,$J$56:$J$76)+SUMIF($O$56:$O$76,$AL56,$P$56:$P$76)+SUMIF($U$56:$U$76,$AL56,$V$56:$V$76)+SUMIF($AA$56:$AA$76,$AL56,$AB$56:$AB$76)+SUMIF($AG$56:$AG$76,$AL56,$AH$56:$AH$76)</f>
        <v>19.399999999999999</v>
      </c>
    </row>
    <row r="57" spans="2:39" ht="14.25" customHeight="1">
      <c r="B57" s="20">
        <v>2</v>
      </c>
      <c r="C57" s="20" t="s">
        <v>8</v>
      </c>
      <c r="D57" s="20">
        <f t="shared" si="12"/>
        <v>885</v>
      </c>
      <c r="H57" s="20">
        <v>2</v>
      </c>
      <c r="I57" s="20" t="s">
        <v>8</v>
      </c>
      <c r="J57" s="20">
        <f t="shared" si="13"/>
        <v>764</v>
      </c>
      <c r="N57" s="20">
        <v>2</v>
      </c>
      <c r="O57" s="20" t="s">
        <v>8</v>
      </c>
      <c r="P57" s="20">
        <f t="shared" si="14"/>
        <v>931</v>
      </c>
      <c r="T57" s="20">
        <v>2</v>
      </c>
      <c r="U57" s="20" t="s">
        <v>8</v>
      </c>
      <c r="V57" s="20">
        <f t="shared" si="15"/>
        <v>1066</v>
      </c>
      <c r="Z57" s="20">
        <v>2</v>
      </c>
      <c r="AA57" s="20" t="s">
        <v>8</v>
      </c>
      <c r="AB57" s="20">
        <f t="shared" si="16"/>
        <v>986</v>
      </c>
      <c r="AF57" s="20">
        <v>2</v>
      </c>
      <c r="AG57" s="20" t="s">
        <v>8</v>
      </c>
      <c r="AH57" s="20">
        <f t="shared" si="17"/>
        <v>762</v>
      </c>
      <c r="AK57" s="4">
        <v>2</v>
      </c>
      <c r="AL57" s="4" t="s">
        <v>8</v>
      </c>
      <c r="AM57" s="21">
        <f t="shared" ref="AM57:AM76" si="18">SUMIF($C$56:$C$75,$AL57,$D$56:$D$75)+SUMIF($I$56:$I$75,$AL57,$J$56:$J$75)+SUMIF($O$56:$O$75,$AL57,$P$56:$P$75)+SUMIF($U$56:$U$75,$AL57,$V$56:$V$75)+SUMIF($AA$56:$AA$75,$AL57,$AB$56:$AB$75)+SUMIF($AG$56:$AG$75,$AL57,$AH$56:$AH$75)</f>
        <v>5394</v>
      </c>
    </row>
    <row r="58" spans="2:39" ht="14.25" customHeight="1">
      <c r="B58" s="20">
        <v>3</v>
      </c>
      <c r="C58" s="20" t="s">
        <v>13</v>
      </c>
      <c r="D58" s="20">
        <f t="shared" si="12"/>
        <v>1443</v>
      </c>
      <c r="H58" s="20">
        <v>3</v>
      </c>
      <c r="I58" s="20" t="s">
        <v>13</v>
      </c>
      <c r="J58" s="20">
        <f t="shared" si="13"/>
        <v>1516.85</v>
      </c>
      <c r="N58" s="20">
        <v>3</v>
      </c>
      <c r="O58" s="20" t="s">
        <v>13</v>
      </c>
      <c r="P58" s="20">
        <f t="shared" si="14"/>
        <v>1604.1</v>
      </c>
      <c r="T58" s="20">
        <v>3</v>
      </c>
      <c r="U58" s="20" t="s">
        <v>13</v>
      </c>
      <c r="V58" s="20">
        <f t="shared" si="15"/>
        <v>1798.25</v>
      </c>
      <c r="Z58" s="20">
        <v>3</v>
      </c>
      <c r="AA58" s="20" t="s">
        <v>13</v>
      </c>
      <c r="AB58" s="20">
        <f t="shared" si="16"/>
        <v>2016.9</v>
      </c>
      <c r="AF58" s="20">
        <v>3</v>
      </c>
      <c r="AG58" s="20" t="s">
        <v>13</v>
      </c>
      <c r="AH58" s="20">
        <f t="shared" si="17"/>
        <v>1474.5</v>
      </c>
      <c r="AK58" s="4">
        <v>3</v>
      </c>
      <c r="AL58" s="4" t="s">
        <v>13</v>
      </c>
      <c r="AM58" s="21">
        <f t="shared" si="18"/>
        <v>9853.6</v>
      </c>
    </row>
    <row r="59" spans="2:39" ht="14.25" customHeight="1">
      <c r="B59" s="20">
        <v>4</v>
      </c>
      <c r="C59" s="20" t="s">
        <v>10</v>
      </c>
      <c r="D59" s="20">
        <f t="shared" si="12"/>
        <v>191.39999999999998</v>
      </c>
      <c r="H59" s="20">
        <v>4</v>
      </c>
      <c r="I59" s="20" t="s">
        <v>10</v>
      </c>
      <c r="J59" s="20">
        <f t="shared" si="13"/>
        <v>191.39999999999998</v>
      </c>
      <c r="N59" s="20">
        <v>4</v>
      </c>
      <c r="O59" s="20" t="s">
        <v>10</v>
      </c>
      <c r="P59" s="20">
        <f t="shared" si="14"/>
        <v>127.6</v>
      </c>
      <c r="T59" s="20">
        <v>4</v>
      </c>
      <c r="U59" s="20" t="s">
        <v>10</v>
      </c>
      <c r="V59" s="20">
        <f t="shared" si="15"/>
        <v>127.6</v>
      </c>
      <c r="Z59" s="20">
        <v>4</v>
      </c>
      <c r="AA59" s="20" t="s">
        <v>10</v>
      </c>
      <c r="AB59" s="20">
        <f t="shared" si="16"/>
        <v>210.89999999999998</v>
      </c>
      <c r="AF59" s="20">
        <v>4</v>
      </c>
      <c r="AG59" s="20" t="s">
        <v>10</v>
      </c>
      <c r="AH59" s="20">
        <f t="shared" si="17"/>
        <v>127.6</v>
      </c>
      <c r="AK59" s="4">
        <v>4</v>
      </c>
      <c r="AL59" s="4" t="s">
        <v>10</v>
      </c>
      <c r="AM59" s="21">
        <f t="shared" si="18"/>
        <v>976.5</v>
      </c>
    </row>
    <row r="60" spans="2:39" ht="14.25" customHeight="1">
      <c r="B60" s="20">
        <v>5</v>
      </c>
      <c r="C60" s="20" t="s">
        <v>15</v>
      </c>
      <c r="D60" s="20">
        <f t="shared" si="12"/>
        <v>677.55</v>
      </c>
      <c r="H60" s="20">
        <v>5</v>
      </c>
      <c r="I60" s="20" t="s">
        <v>15</v>
      </c>
      <c r="J60" s="20">
        <f t="shared" si="13"/>
        <v>595.79999999999995</v>
      </c>
      <c r="N60" s="20">
        <v>5</v>
      </c>
      <c r="O60" s="20" t="s">
        <v>15</v>
      </c>
      <c r="P60" s="20">
        <f t="shared" si="14"/>
        <v>719.5</v>
      </c>
      <c r="T60" s="20">
        <v>5</v>
      </c>
      <c r="U60" s="20" t="s">
        <v>15</v>
      </c>
      <c r="V60" s="20">
        <f t="shared" si="15"/>
        <v>621.04999999999995</v>
      </c>
      <c r="Z60" s="20">
        <v>5</v>
      </c>
      <c r="AA60" s="20" t="s">
        <v>15</v>
      </c>
      <c r="AB60" s="20">
        <f t="shared" si="16"/>
        <v>914.85</v>
      </c>
      <c r="AF60" s="20">
        <v>5</v>
      </c>
      <c r="AG60" s="20" t="s">
        <v>15</v>
      </c>
      <c r="AH60" s="20">
        <f t="shared" si="17"/>
        <v>814.55</v>
      </c>
      <c r="AK60" s="4">
        <v>5</v>
      </c>
      <c r="AL60" s="4" t="s">
        <v>15</v>
      </c>
      <c r="AM60" s="21">
        <f t="shared" si="18"/>
        <v>4343.2999999999993</v>
      </c>
    </row>
    <row r="61" spans="2:39" ht="14.25" customHeight="1">
      <c r="B61" s="20">
        <v>6</v>
      </c>
      <c r="C61" s="20" t="s">
        <v>17</v>
      </c>
      <c r="D61" s="20">
        <f t="shared" si="12"/>
        <v>1044.05</v>
      </c>
      <c r="H61" s="20">
        <v>6</v>
      </c>
      <c r="I61" s="20" t="s">
        <v>17</v>
      </c>
      <c r="J61" s="20">
        <f t="shared" si="13"/>
        <v>1093.0999999999999</v>
      </c>
      <c r="N61" s="20">
        <v>6</v>
      </c>
      <c r="O61" s="20" t="s">
        <v>17</v>
      </c>
      <c r="P61" s="20">
        <f t="shared" si="14"/>
        <v>1267.95</v>
      </c>
      <c r="T61" s="20">
        <v>6</v>
      </c>
      <c r="U61" s="20" t="s">
        <v>17</v>
      </c>
      <c r="V61" s="20">
        <f t="shared" si="15"/>
        <v>1066.3499999999999</v>
      </c>
      <c r="Z61" s="20">
        <v>6</v>
      </c>
      <c r="AA61" s="20" t="s">
        <v>17</v>
      </c>
      <c r="AB61" s="20">
        <f t="shared" si="16"/>
        <v>1429.75</v>
      </c>
      <c r="AF61" s="20">
        <v>6</v>
      </c>
      <c r="AG61" s="20" t="s">
        <v>17</v>
      </c>
      <c r="AH61" s="20">
        <f t="shared" si="17"/>
        <v>1305.2</v>
      </c>
      <c r="AK61" s="4">
        <v>6</v>
      </c>
      <c r="AL61" s="4" t="s">
        <v>17</v>
      </c>
      <c r="AM61" s="21">
        <f t="shared" si="18"/>
        <v>7206.3999999999987</v>
      </c>
    </row>
    <row r="62" spans="2:39" ht="14.25" customHeight="1">
      <c r="B62" s="20">
        <v>7</v>
      </c>
      <c r="C62" s="20" t="s">
        <v>19</v>
      </c>
      <c r="D62" s="20">
        <f t="shared" si="12"/>
        <v>52.65</v>
      </c>
      <c r="H62" s="20">
        <v>7</v>
      </c>
      <c r="I62" s="20" t="s">
        <v>19</v>
      </c>
      <c r="J62" s="20">
        <f t="shared" si="13"/>
        <v>45.65</v>
      </c>
      <c r="N62" s="20">
        <v>7</v>
      </c>
      <c r="O62" s="20" t="s">
        <v>19</v>
      </c>
      <c r="P62" s="20">
        <f t="shared" si="14"/>
        <v>38.6</v>
      </c>
      <c r="T62" s="20">
        <v>7</v>
      </c>
      <c r="U62" s="20" t="s">
        <v>19</v>
      </c>
      <c r="V62" s="20">
        <f t="shared" si="15"/>
        <v>38.6</v>
      </c>
      <c r="Z62" s="20">
        <v>7</v>
      </c>
      <c r="AA62" s="20" t="s">
        <v>19</v>
      </c>
      <c r="AB62" s="20">
        <f t="shared" si="16"/>
        <v>45.65</v>
      </c>
      <c r="AF62" s="20">
        <v>7</v>
      </c>
      <c r="AG62" s="20" t="s">
        <v>19</v>
      </c>
      <c r="AH62" s="20">
        <f t="shared" si="17"/>
        <v>42.1</v>
      </c>
      <c r="AK62" s="4">
        <v>7</v>
      </c>
      <c r="AL62" s="4" t="s">
        <v>19</v>
      </c>
      <c r="AM62" s="21">
        <f t="shared" si="18"/>
        <v>263.25</v>
      </c>
    </row>
    <row r="63" spans="2:39" ht="14.25" customHeight="1">
      <c r="B63" s="20">
        <v>8</v>
      </c>
      <c r="C63" s="20" t="s">
        <v>20</v>
      </c>
      <c r="D63" s="20">
        <f t="shared" si="12"/>
        <v>49.15</v>
      </c>
      <c r="H63" s="20">
        <v>8</v>
      </c>
      <c r="I63" s="20" t="s">
        <v>20</v>
      </c>
      <c r="J63" s="20">
        <f t="shared" si="13"/>
        <v>56.15</v>
      </c>
      <c r="N63" s="20">
        <v>8</v>
      </c>
      <c r="O63" s="20" t="s">
        <v>20</v>
      </c>
      <c r="P63" s="20">
        <f t="shared" si="14"/>
        <v>59.65</v>
      </c>
      <c r="T63" s="20">
        <v>8</v>
      </c>
      <c r="U63" s="20" t="s">
        <v>20</v>
      </c>
      <c r="V63" s="20">
        <f t="shared" si="15"/>
        <v>42.1</v>
      </c>
      <c r="Z63" s="20">
        <v>8</v>
      </c>
      <c r="AA63" s="20" t="s">
        <v>20</v>
      </c>
      <c r="AB63" s="20">
        <f t="shared" si="16"/>
        <v>49.15</v>
      </c>
      <c r="AF63" s="20">
        <v>8</v>
      </c>
      <c r="AG63" s="20" t="s">
        <v>20</v>
      </c>
      <c r="AH63" s="20">
        <f t="shared" si="17"/>
        <v>49.15</v>
      </c>
      <c r="AK63" s="4">
        <v>8</v>
      </c>
      <c r="AL63" s="4" t="s">
        <v>20</v>
      </c>
      <c r="AM63" s="21">
        <f t="shared" si="18"/>
        <v>305.34999999999997</v>
      </c>
    </row>
    <row r="64" spans="2:39" ht="14.25" customHeight="1">
      <c r="B64" s="20">
        <v>9</v>
      </c>
      <c r="C64" s="20" t="s">
        <v>22</v>
      </c>
      <c r="D64" s="20">
        <f t="shared" si="12"/>
        <v>26.6</v>
      </c>
      <c r="H64" s="20">
        <v>9</v>
      </c>
      <c r="I64" s="20" t="s">
        <v>22</v>
      </c>
      <c r="J64" s="20">
        <f t="shared" si="13"/>
        <v>0</v>
      </c>
      <c r="N64" s="20">
        <v>9</v>
      </c>
      <c r="O64" s="20" t="s">
        <v>22</v>
      </c>
      <c r="P64" s="20">
        <f t="shared" si="14"/>
        <v>53.2</v>
      </c>
      <c r="T64" s="20">
        <v>9</v>
      </c>
      <c r="U64" s="20" t="s">
        <v>22</v>
      </c>
      <c r="V64" s="20">
        <f t="shared" si="15"/>
        <v>26.6</v>
      </c>
      <c r="Z64" s="20">
        <v>9</v>
      </c>
      <c r="AA64" s="20" t="s">
        <v>22</v>
      </c>
      <c r="AB64" s="20">
        <f t="shared" si="16"/>
        <v>26.6</v>
      </c>
      <c r="AF64" s="20">
        <v>9</v>
      </c>
      <c r="AG64" s="20" t="s">
        <v>22</v>
      </c>
      <c r="AH64" s="20">
        <f t="shared" si="17"/>
        <v>26.6</v>
      </c>
      <c r="AK64" s="4">
        <v>9</v>
      </c>
      <c r="AL64" s="4" t="s">
        <v>22</v>
      </c>
      <c r="AM64" s="21">
        <f t="shared" si="18"/>
        <v>159.6</v>
      </c>
    </row>
    <row r="65" spans="2:39" ht="14.25" customHeight="1">
      <c r="B65" s="20">
        <v>10</v>
      </c>
      <c r="C65" s="20" t="s">
        <v>21</v>
      </c>
      <c r="D65" s="20">
        <f t="shared" si="12"/>
        <v>147.35</v>
      </c>
      <c r="H65" s="20">
        <v>10</v>
      </c>
      <c r="I65" s="20" t="s">
        <v>21</v>
      </c>
      <c r="J65" s="20">
        <f t="shared" si="13"/>
        <v>147.35</v>
      </c>
      <c r="N65" s="20">
        <v>10</v>
      </c>
      <c r="O65" s="20" t="s">
        <v>21</v>
      </c>
      <c r="P65" s="20">
        <f t="shared" si="14"/>
        <v>147.35</v>
      </c>
      <c r="T65" s="20">
        <v>10</v>
      </c>
      <c r="U65" s="20" t="s">
        <v>21</v>
      </c>
      <c r="V65" s="20">
        <f t="shared" si="15"/>
        <v>147.35</v>
      </c>
      <c r="Z65" s="20">
        <v>10</v>
      </c>
      <c r="AA65" s="20" t="s">
        <v>21</v>
      </c>
      <c r="AB65" s="20">
        <f t="shared" si="16"/>
        <v>147.35</v>
      </c>
      <c r="AF65" s="20">
        <v>10</v>
      </c>
      <c r="AG65" s="20" t="s">
        <v>21</v>
      </c>
      <c r="AH65" s="20">
        <f t="shared" si="17"/>
        <v>147.35</v>
      </c>
      <c r="AK65" s="4">
        <v>10</v>
      </c>
      <c r="AL65" s="4" t="s">
        <v>21</v>
      </c>
      <c r="AM65" s="21">
        <f t="shared" si="18"/>
        <v>884.1</v>
      </c>
    </row>
    <row r="66" spans="2:39" ht="14.25" customHeight="1">
      <c r="B66" s="20">
        <v>11</v>
      </c>
      <c r="C66" s="20" t="s">
        <v>14</v>
      </c>
      <c r="D66" s="20">
        <f t="shared" si="12"/>
        <v>30</v>
      </c>
      <c r="H66" s="20">
        <v>11</v>
      </c>
      <c r="I66" s="20" t="s">
        <v>14</v>
      </c>
      <c r="J66" s="20">
        <f t="shared" si="13"/>
        <v>30</v>
      </c>
      <c r="N66" s="20">
        <v>11</v>
      </c>
      <c r="O66" s="20" t="s">
        <v>14</v>
      </c>
      <c r="P66" s="20">
        <f t="shared" si="14"/>
        <v>30</v>
      </c>
      <c r="T66" s="20">
        <v>11</v>
      </c>
      <c r="U66" s="20" t="s">
        <v>14</v>
      </c>
      <c r="V66" s="20">
        <f t="shared" si="15"/>
        <v>30</v>
      </c>
      <c r="Z66" s="20">
        <v>11</v>
      </c>
      <c r="AA66" s="20" t="s">
        <v>14</v>
      </c>
      <c r="AB66" s="20">
        <f t="shared" si="16"/>
        <v>30</v>
      </c>
      <c r="AF66" s="20">
        <v>11</v>
      </c>
      <c r="AG66" s="20" t="s">
        <v>14</v>
      </c>
      <c r="AH66" s="20">
        <f t="shared" si="17"/>
        <v>30</v>
      </c>
      <c r="AK66" s="4">
        <v>11</v>
      </c>
      <c r="AL66" s="4" t="s">
        <v>14</v>
      </c>
      <c r="AM66" s="21">
        <f t="shared" si="18"/>
        <v>180</v>
      </c>
    </row>
    <row r="67" spans="2:39" ht="14.25" customHeight="1">
      <c r="B67" s="20">
        <v>12</v>
      </c>
      <c r="C67" s="20" t="s">
        <v>11</v>
      </c>
      <c r="D67" s="20">
        <f t="shared" si="12"/>
        <v>30</v>
      </c>
      <c r="H67" s="20">
        <v>12</v>
      </c>
      <c r="I67" s="20" t="s">
        <v>11</v>
      </c>
      <c r="J67" s="20">
        <f t="shared" si="13"/>
        <v>30</v>
      </c>
      <c r="N67" s="20">
        <v>12</v>
      </c>
      <c r="O67" s="20" t="s">
        <v>11</v>
      </c>
      <c r="P67" s="20">
        <f t="shared" si="14"/>
        <v>30</v>
      </c>
      <c r="T67" s="20">
        <v>12</v>
      </c>
      <c r="U67" s="20" t="s">
        <v>11</v>
      </c>
      <c r="V67" s="20">
        <f t="shared" si="15"/>
        <v>30</v>
      </c>
      <c r="Z67" s="20">
        <v>12</v>
      </c>
      <c r="AA67" s="20" t="s">
        <v>11</v>
      </c>
      <c r="AB67" s="20">
        <f t="shared" si="16"/>
        <v>30</v>
      </c>
      <c r="AF67" s="20">
        <v>12</v>
      </c>
      <c r="AG67" s="20" t="s">
        <v>11</v>
      </c>
      <c r="AH67" s="20">
        <f t="shared" si="17"/>
        <v>30</v>
      </c>
      <c r="AK67" s="4">
        <v>12</v>
      </c>
      <c r="AL67" s="4" t="s">
        <v>11</v>
      </c>
      <c r="AM67" s="21">
        <f t="shared" si="18"/>
        <v>180</v>
      </c>
    </row>
    <row r="68" spans="2:39" ht="14.25" customHeight="1">
      <c r="B68" s="20">
        <v>13</v>
      </c>
      <c r="C68" s="20" t="s">
        <v>16</v>
      </c>
      <c r="D68" s="20">
        <f t="shared" si="12"/>
        <v>0</v>
      </c>
      <c r="H68" s="20">
        <v>13</v>
      </c>
      <c r="I68" s="20" t="s">
        <v>16</v>
      </c>
      <c r="J68" s="20">
        <f t="shared" si="13"/>
        <v>0</v>
      </c>
      <c r="N68" s="20">
        <v>13</v>
      </c>
      <c r="O68" s="20" t="s">
        <v>16</v>
      </c>
      <c r="P68" s="20">
        <f t="shared" si="14"/>
        <v>0</v>
      </c>
      <c r="T68" s="20">
        <v>13</v>
      </c>
      <c r="U68" s="20" t="s">
        <v>16</v>
      </c>
      <c r="V68" s="20">
        <f t="shared" si="15"/>
        <v>0</v>
      </c>
      <c r="Z68" s="20">
        <v>13</v>
      </c>
      <c r="AA68" s="20" t="s">
        <v>16</v>
      </c>
      <c r="AB68" s="20">
        <f t="shared" si="16"/>
        <v>157.25</v>
      </c>
      <c r="AF68" s="20">
        <v>13</v>
      </c>
      <c r="AG68" s="20" t="s">
        <v>16</v>
      </c>
      <c r="AH68" s="20">
        <f t="shared" si="17"/>
        <v>0</v>
      </c>
      <c r="AK68" s="4">
        <v>13</v>
      </c>
      <c r="AL68" s="4" t="s">
        <v>16</v>
      </c>
      <c r="AM68" s="21">
        <f t="shared" si="18"/>
        <v>157.25</v>
      </c>
    </row>
    <row r="69" spans="2:39" ht="14.25" customHeight="1">
      <c r="B69" s="20">
        <v>14</v>
      </c>
      <c r="C69" s="20" t="s">
        <v>12</v>
      </c>
      <c r="D69" s="20">
        <f t="shared" si="12"/>
        <v>114.4</v>
      </c>
      <c r="H69" s="20">
        <v>14</v>
      </c>
      <c r="I69" s="20" t="s">
        <v>12</v>
      </c>
      <c r="J69" s="20">
        <f t="shared" si="13"/>
        <v>68.5</v>
      </c>
      <c r="N69" s="20">
        <v>14</v>
      </c>
      <c r="O69" s="20" t="s">
        <v>12</v>
      </c>
      <c r="P69" s="20">
        <f t="shared" si="14"/>
        <v>120</v>
      </c>
      <c r="T69" s="20">
        <v>14</v>
      </c>
      <c r="U69" s="20" t="s">
        <v>12</v>
      </c>
      <c r="V69" s="20">
        <f t="shared" si="15"/>
        <v>0</v>
      </c>
      <c r="Z69" s="20">
        <v>14</v>
      </c>
      <c r="AA69" s="20" t="s">
        <v>12</v>
      </c>
      <c r="AB69" s="20">
        <f t="shared" si="16"/>
        <v>40.200000000000003</v>
      </c>
      <c r="AF69" s="20">
        <v>14</v>
      </c>
      <c r="AG69" s="20" t="s">
        <v>12</v>
      </c>
      <c r="AH69" s="20">
        <f t="shared" si="17"/>
        <v>60</v>
      </c>
      <c r="AK69" s="4">
        <v>14</v>
      </c>
      <c r="AL69" s="4" t="s">
        <v>12</v>
      </c>
      <c r="AM69" s="21">
        <f t="shared" si="18"/>
        <v>403.09999999999997</v>
      </c>
    </row>
    <row r="70" spans="2:39" ht="14.25" customHeight="1">
      <c r="B70" s="20">
        <v>15</v>
      </c>
      <c r="C70" s="20" t="s">
        <v>25</v>
      </c>
      <c r="D70" s="20">
        <f t="shared" si="12"/>
        <v>0</v>
      </c>
      <c r="H70" s="20">
        <v>15</v>
      </c>
      <c r="I70" s="20" t="s">
        <v>25</v>
      </c>
      <c r="J70" s="20">
        <f t="shared" si="13"/>
        <v>0</v>
      </c>
      <c r="N70" s="20">
        <v>15</v>
      </c>
      <c r="O70" s="20" t="s">
        <v>25</v>
      </c>
      <c r="P70" s="20">
        <f t="shared" si="14"/>
        <v>0</v>
      </c>
      <c r="T70" s="20">
        <v>15</v>
      </c>
      <c r="U70" s="20" t="s">
        <v>25</v>
      </c>
      <c r="V70" s="20">
        <f t="shared" si="15"/>
        <v>0</v>
      </c>
      <c r="Z70" s="20">
        <v>15</v>
      </c>
      <c r="AA70" s="20" t="s">
        <v>25</v>
      </c>
      <c r="AB70" s="20">
        <f t="shared" si="16"/>
        <v>0</v>
      </c>
      <c r="AF70" s="20">
        <v>15</v>
      </c>
      <c r="AG70" s="20" t="s">
        <v>25</v>
      </c>
      <c r="AH70" s="20">
        <f t="shared" si="17"/>
        <v>0</v>
      </c>
      <c r="AK70" s="4">
        <v>15</v>
      </c>
      <c r="AL70" s="4" t="s">
        <v>25</v>
      </c>
      <c r="AM70" s="21">
        <f t="shared" si="18"/>
        <v>0</v>
      </c>
    </row>
    <row r="71" spans="2:39" ht="14.25" customHeight="1">
      <c r="B71" s="20">
        <v>16</v>
      </c>
      <c r="C71" s="20" t="s">
        <v>18</v>
      </c>
      <c r="D71" s="20">
        <f t="shared" si="12"/>
        <v>0</v>
      </c>
      <c r="H71" s="20">
        <v>16</v>
      </c>
      <c r="I71" s="20" t="s">
        <v>18</v>
      </c>
      <c r="J71" s="20">
        <f t="shared" si="13"/>
        <v>0</v>
      </c>
      <c r="N71" s="20">
        <v>16</v>
      </c>
      <c r="O71" s="20" t="s">
        <v>18</v>
      </c>
      <c r="P71" s="20">
        <f t="shared" si="14"/>
        <v>0</v>
      </c>
      <c r="T71" s="20">
        <v>16</v>
      </c>
      <c r="U71" s="20" t="s">
        <v>18</v>
      </c>
      <c r="V71" s="20">
        <f t="shared" si="15"/>
        <v>0</v>
      </c>
      <c r="Z71" s="20">
        <v>16</v>
      </c>
      <c r="AA71" s="20" t="s">
        <v>18</v>
      </c>
      <c r="AB71" s="20">
        <f t="shared" si="16"/>
        <v>150</v>
      </c>
      <c r="AF71" s="20">
        <v>16</v>
      </c>
      <c r="AG71" s="20" t="s">
        <v>18</v>
      </c>
      <c r="AH71" s="20">
        <f t="shared" si="17"/>
        <v>520</v>
      </c>
      <c r="AK71" s="4">
        <v>16</v>
      </c>
      <c r="AL71" s="4" t="s">
        <v>18</v>
      </c>
      <c r="AM71" s="21">
        <f t="shared" si="18"/>
        <v>670</v>
      </c>
    </row>
    <row r="72" spans="2:39" ht="14.25" customHeight="1">
      <c r="B72" s="20">
        <v>17</v>
      </c>
      <c r="C72" s="20" t="s">
        <v>23</v>
      </c>
      <c r="D72" s="20">
        <f t="shared" si="12"/>
        <v>0</v>
      </c>
      <c r="H72" s="20">
        <v>17</v>
      </c>
      <c r="I72" s="20" t="s">
        <v>23</v>
      </c>
      <c r="J72" s="20">
        <f t="shared" si="13"/>
        <v>0</v>
      </c>
      <c r="N72" s="20">
        <v>17</v>
      </c>
      <c r="O72" s="20" t="s">
        <v>23</v>
      </c>
      <c r="P72" s="20">
        <f t="shared" si="14"/>
        <v>0</v>
      </c>
      <c r="T72" s="20">
        <v>17</v>
      </c>
      <c r="U72" s="20" t="s">
        <v>23</v>
      </c>
      <c r="V72" s="20">
        <f t="shared" si="15"/>
        <v>0</v>
      </c>
      <c r="Z72" s="20">
        <v>17</v>
      </c>
      <c r="AA72" s="20" t="s">
        <v>23</v>
      </c>
      <c r="AB72" s="20">
        <f t="shared" si="16"/>
        <v>0</v>
      </c>
      <c r="AF72" s="20">
        <v>17</v>
      </c>
      <c r="AG72" s="20" t="s">
        <v>23</v>
      </c>
      <c r="AH72" s="20">
        <f t="shared" si="17"/>
        <v>48</v>
      </c>
      <c r="AK72" s="4">
        <v>17</v>
      </c>
      <c r="AL72" s="4" t="s">
        <v>23</v>
      </c>
      <c r="AM72" s="21">
        <f t="shared" si="18"/>
        <v>48</v>
      </c>
    </row>
    <row r="73" spans="2:39" ht="14.25" customHeight="1">
      <c r="B73" s="20">
        <v>18</v>
      </c>
      <c r="C73" s="20" t="s">
        <v>26</v>
      </c>
      <c r="D73" s="20">
        <f t="shared" si="12"/>
        <v>0</v>
      </c>
      <c r="H73" s="20">
        <v>18</v>
      </c>
      <c r="I73" s="20" t="s">
        <v>26</v>
      </c>
      <c r="J73" s="20">
        <f t="shared" si="13"/>
        <v>300</v>
      </c>
      <c r="N73" s="20">
        <v>18</v>
      </c>
      <c r="O73" s="20" t="s">
        <v>26</v>
      </c>
      <c r="P73" s="20">
        <f t="shared" si="14"/>
        <v>0</v>
      </c>
      <c r="T73" s="20">
        <v>18</v>
      </c>
      <c r="U73" s="20" t="s">
        <v>26</v>
      </c>
      <c r="V73" s="20">
        <f t="shared" si="15"/>
        <v>0</v>
      </c>
      <c r="Z73" s="20">
        <v>18</v>
      </c>
      <c r="AA73" s="20" t="s">
        <v>26</v>
      </c>
      <c r="AB73" s="20">
        <f t="shared" si="16"/>
        <v>0</v>
      </c>
      <c r="AF73" s="20">
        <v>18</v>
      </c>
      <c r="AG73" s="20" t="s">
        <v>26</v>
      </c>
      <c r="AH73" s="20">
        <f t="shared" si="17"/>
        <v>0</v>
      </c>
      <c r="AK73" s="4">
        <v>18</v>
      </c>
      <c r="AL73" s="4" t="s">
        <v>26</v>
      </c>
      <c r="AM73" s="21">
        <f t="shared" si="18"/>
        <v>300</v>
      </c>
    </row>
    <row r="74" spans="2:39" ht="14.25" customHeight="1">
      <c r="B74" s="20">
        <v>19</v>
      </c>
      <c r="C74" s="20" t="s">
        <v>27</v>
      </c>
      <c r="D74" s="20">
        <f t="shared" si="12"/>
        <v>0</v>
      </c>
      <c r="H74" s="20">
        <v>19</v>
      </c>
      <c r="I74" s="20" t="s">
        <v>27</v>
      </c>
      <c r="J74" s="20">
        <f t="shared" si="13"/>
        <v>0</v>
      </c>
      <c r="N74" s="20">
        <v>19</v>
      </c>
      <c r="O74" s="20" t="s">
        <v>27</v>
      </c>
      <c r="P74" s="20">
        <f t="shared" si="14"/>
        <v>0</v>
      </c>
      <c r="T74" s="20">
        <v>19</v>
      </c>
      <c r="U74" s="20" t="s">
        <v>29</v>
      </c>
      <c r="V74" s="20">
        <f t="shared" si="15"/>
        <v>0</v>
      </c>
      <c r="Z74" s="20">
        <v>19</v>
      </c>
      <c r="AA74" s="20" t="s">
        <v>29</v>
      </c>
      <c r="AB74" s="20">
        <f t="shared" si="16"/>
        <v>0</v>
      </c>
      <c r="AF74" s="20">
        <v>19</v>
      </c>
      <c r="AG74" s="20" t="s">
        <v>29</v>
      </c>
      <c r="AH74" s="20">
        <f t="shared" si="17"/>
        <v>0</v>
      </c>
      <c r="AK74" s="4">
        <v>19</v>
      </c>
      <c r="AL74" s="4" t="s">
        <v>29</v>
      </c>
      <c r="AM74" s="21">
        <f t="shared" si="18"/>
        <v>0</v>
      </c>
    </row>
    <row r="75" spans="2:39" ht="14.25" customHeight="1">
      <c r="B75" s="20">
        <v>20</v>
      </c>
      <c r="C75" s="20" t="s">
        <v>28</v>
      </c>
      <c r="D75" s="20">
        <f t="shared" si="12"/>
        <v>247</v>
      </c>
      <c r="H75" s="20">
        <v>20</v>
      </c>
      <c r="I75" s="20" t="s">
        <v>28</v>
      </c>
      <c r="J75" s="20">
        <f t="shared" si="13"/>
        <v>0</v>
      </c>
      <c r="N75" s="20">
        <v>20</v>
      </c>
      <c r="O75" s="20" t="s">
        <v>28</v>
      </c>
      <c r="P75" s="20">
        <f t="shared" si="14"/>
        <v>0</v>
      </c>
      <c r="T75" s="20">
        <v>20</v>
      </c>
      <c r="U75" s="20" t="s">
        <v>28</v>
      </c>
      <c r="V75" s="20">
        <f t="shared" si="15"/>
        <v>0</v>
      </c>
      <c r="Z75" s="20">
        <v>20</v>
      </c>
      <c r="AA75" s="20" t="s">
        <v>28</v>
      </c>
      <c r="AB75" s="20">
        <f t="shared" si="16"/>
        <v>0</v>
      </c>
      <c r="AF75" s="20">
        <v>20</v>
      </c>
      <c r="AG75" s="20" t="s">
        <v>28</v>
      </c>
      <c r="AH75" s="20">
        <f t="shared" si="17"/>
        <v>0</v>
      </c>
      <c r="AK75" s="4">
        <v>20</v>
      </c>
      <c r="AL75" s="4" t="s">
        <v>28</v>
      </c>
      <c r="AM75" s="21">
        <f t="shared" si="18"/>
        <v>247</v>
      </c>
    </row>
    <row r="76" spans="2:39" ht="14.25" customHeight="1">
      <c r="B76" s="20">
        <v>21</v>
      </c>
      <c r="C76" s="20" t="s">
        <v>9</v>
      </c>
      <c r="D76" s="20">
        <f t="shared" si="12"/>
        <v>0</v>
      </c>
      <c r="H76" s="20">
        <v>21</v>
      </c>
      <c r="I76" s="20" t="s">
        <v>9</v>
      </c>
      <c r="J76" s="20">
        <f t="shared" si="13"/>
        <v>0</v>
      </c>
      <c r="N76" s="20">
        <v>21</v>
      </c>
      <c r="O76" s="20" t="s">
        <v>9</v>
      </c>
      <c r="P76" s="20">
        <f t="shared" si="14"/>
        <v>0</v>
      </c>
      <c r="T76" s="20">
        <v>21</v>
      </c>
      <c r="U76" s="20" t="s">
        <v>9</v>
      </c>
      <c r="V76" s="20">
        <f t="shared" si="15"/>
        <v>0</v>
      </c>
      <c r="Z76" s="20">
        <v>21</v>
      </c>
      <c r="AA76" s="20" t="s">
        <v>9</v>
      </c>
      <c r="AB76" s="20">
        <f t="shared" si="16"/>
        <v>0</v>
      </c>
      <c r="AF76" s="20">
        <v>21</v>
      </c>
      <c r="AG76" s="20" t="s">
        <v>9</v>
      </c>
      <c r="AH76" s="20">
        <f t="shared" si="17"/>
        <v>0</v>
      </c>
      <c r="AK76" s="4">
        <v>21</v>
      </c>
      <c r="AL76" s="4" t="s">
        <v>9</v>
      </c>
      <c r="AM76" s="21">
        <f t="shared" si="18"/>
        <v>0</v>
      </c>
    </row>
    <row r="77" spans="2:39" ht="14.25" customHeight="1">
      <c r="B77" s="15"/>
      <c r="C77" s="15"/>
      <c r="D77" s="22">
        <f>SUM(D56:D76)</f>
        <v>4938.1499999999996</v>
      </c>
      <c r="H77" s="15"/>
      <c r="I77" s="15"/>
      <c r="J77" s="22">
        <f>SUM(J56:J76)</f>
        <v>4838.7999999999993</v>
      </c>
      <c r="N77" s="15"/>
      <c r="O77" s="15"/>
      <c r="P77" s="22">
        <f>SUM(P56:P76)</f>
        <v>5128.95</v>
      </c>
      <c r="T77" s="15"/>
      <c r="U77" s="15"/>
      <c r="V77" s="22">
        <f>SUM(V56:V76)</f>
        <v>5013.3000000000011</v>
      </c>
      <c r="Z77" s="15"/>
      <c r="AA77" s="15"/>
      <c r="AB77" s="22">
        <f>SUM(AB56:AB76)</f>
        <v>6234.6</v>
      </c>
      <c r="AF77" s="15"/>
      <c r="AG77" s="15"/>
      <c r="AH77" s="22">
        <f>SUM(AH56:AH76)</f>
        <v>5437.05</v>
      </c>
      <c r="AM77" s="23">
        <f>SUM(AM56:AM76)</f>
        <v>31590.849999999991</v>
      </c>
    </row>
    <row r="78" spans="2:39" ht="14.25" customHeight="1">
      <c r="B78" s="15"/>
      <c r="C78" s="15"/>
      <c r="D78" s="15"/>
      <c r="H78" s="15"/>
      <c r="I78" s="15"/>
      <c r="J78" s="15"/>
      <c r="N78" s="15"/>
      <c r="O78" s="15"/>
      <c r="P78" s="15"/>
      <c r="T78" s="15"/>
      <c r="U78" s="15"/>
      <c r="V78" s="15"/>
      <c r="Z78" s="15"/>
      <c r="AA78" s="15"/>
      <c r="AB78" s="15"/>
      <c r="AF78" s="15"/>
      <c r="AG78" s="15"/>
      <c r="AH78" s="15"/>
    </row>
    <row r="79" spans="2:39" ht="14.25" customHeight="1">
      <c r="B79" s="15"/>
      <c r="C79" s="15"/>
      <c r="D79" s="15"/>
      <c r="H79" s="15"/>
      <c r="I79" s="15"/>
      <c r="J79" s="15"/>
      <c r="N79" s="15"/>
      <c r="O79" s="15"/>
      <c r="P79" s="15"/>
      <c r="T79" s="15"/>
      <c r="U79" s="15"/>
      <c r="V79" s="15"/>
      <c r="Z79" s="15"/>
      <c r="AA79" s="15"/>
      <c r="AB79" s="15"/>
      <c r="AF79" s="15"/>
      <c r="AG79" s="15"/>
      <c r="AH79" s="15"/>
    </row>
    <row r="80" spans="2:39" ht="14.25" customHeight="1">
      <c r="B80" s="15"/>
      <c r="C80" s="15"/>
      <c r="D80" s="15"/>
      <c r="H80" s="15"/>
      <c r="I80" s="15"/>
      <c r="J80" s="15"/>
      <c r="N80" s="15"/>
      <c r="O80" s="15"/>
      <c r="P80" s="15"/>
      <c r="T80" s="15"/>
      <c r="U80" s="15"/>
      <c r="V80" s="15"/>
      <c r="Z80" s="15"/>
      <c r="AA80" s="15"/>
      <c r="AB80" s="15"/>
      <c r="AF80" s="15"/>
      <c r="AG80" s="15"/>
      <c r="AH80" s="15"/>
    </row>
    <row r="81" spans="1:35" ht="14.25" customHeight="1">
      <c r="A81" s="51">
        <v>46204</v>
      </c>
      <c r="B81" s="52"/>
      <c r="C81" s="52"/>
      <c r="D81" s="52"/>
      <c r="E81" s="53"/>
      <c r="G81" s="51">
        <v>46235</v>
      </c>
      <c r="H81" s="52"/>
      <c r="I81" s="52"/>
      <c r="J81" s="52"/>
      <c r="K81" s="53"/>
      <c r="M81" s="51">
        <v>46266</v>
      </c>
      <c r="N81" s="52"/>
      <c r="O81" s="52"/>
      <c r="P81" s="52"/>
      <c r="Q81" s="53"/>
      <c r="S81" s="51">
        <v>46296</v>
      </c>
      <c r="T81" s="52"/>
      <c r="U81" s="52"/>
      <c r="V81" s="52"/>
      <c r="W81" s="53"/>
      <c r="Y81" s="51">
        <v>46327</v>
      </c>
      <c r="Z81" s="52"/>
      <c r="AA81" s="52"/>
      <c r="AB81" s="52"/>
      <c r="AC81" s="53"/>
      <c r="AE81" s="51">
        <v>46357</v>
      </c>
      <c r="AF81" s="52"/>
      <c r="AG81" s="52"/>
      <c r="AH81" s="52"/>
      <c r="AI81" s="53"/>
    </row>
    <row r="82" spans="1:35" ht="14.25" customHeight="1">
      <c r="A82" s="1" t="s">
        <v>0</v>
      </c>
      <c r="B82" s="2" t="s">
        <v>1</v>
      </c>
      <c r="C82" s="2" t="s">
        <v>2</v>
      </c>
      <c r="D82" s="2" t="s">
        <v>3</v>
      </c>
      <c r="E82" s="3" t="s">
        <v>4</v>
      </c>
      <c r="G82" s="1" t="s">
        <v>0</v>
      </c>
      <c r="H82" s="2" t="s">
        <v>1</v>
      </c>
      <c r="I82" s="2" t="s">
        <v>2</v>
      </c>
      <c r="J82" s="2" t="s">
        <v>3</v>
      </c>
      <c r="K82" s="3" t="s">
        <v>4</v>
      </c>
      <c r="M82" s="1" t="s">
        <v>0</v>
      </c>
      <c r="N82" s="2" t="s">
        <v>1</v>
      </c>
      <c r="O82" s="2" t="s">
        <v>2</v>
      </c>
      <c r="P82" s="2" t="s">
        <v>3</v>
      </c>
      <c r="Q82" s="3" t="s">
        <v>4</v>
      </c>
      <c r="S82" s="1" t="s">
        <v>0</v>
      </c>
      <c r="T82" s="2" t="s">
        <v>1</v>
      </c>
      <c r="U82" s="2" t="s">
        <v>2</v>
      </c>
      <c r="V82" s="2" t="s">
        <v>3</v>
      </c>
      <c r="W82" s="3" t="s">
        <v>4</v>
      </c>
      <c r="Y82" s="1" t="s">
        <v>0</v>
      </c>
      <c r="Z82" s="2" t="s">
        <v>1</v>
      </c>
      <c r="AA82" s="2" t="s">
        <v>2</v>
      </c>
      <c r="AB82" s="2" t="s">
        <v>3</v>
      </c>
      <c r="AC82" s="3" t="s">
        <v>4</v>
      </c>
      <c r="AE82" s="1" t="s">
        <v>0</v>
      </c>
      <c r="AF82" s="2" t="s">
        <v>1</v>
      </c>
      <c r="AG82" s="2" t="s">
        <v>2</v>
      </c>
      <c r="AH82" s="2" t="s">
        <v>3</v>
      </c>
      <c r="AI82" s="3" t="s">
        <v>4</v>
      </c>
    </row>
    <row r="83" spans="1:35" ht="14.25" customHeight="1">
      <c r="A83" s="5"/>
      <c r="B83" s="6" t="s">
        <v>6</v>
      </c>
      <c r="C83" s="7"/>
      <c r="D83" s="7">
        <f>AH47</f>
        <v>10731.85</v>
      </c>
      <c r="E83" s="8"/>
      <c r="G83" s="5"/>
      <c r="H83" s="6" t="s">
        <v>6</v>
      </c>
      <c r="I83" s="7"/>
      <c r="J83" s="7">
        <f>D127</f>
        <v>7850.4000000000005</v>
      </c>
      <c r="K83" s="8"/>
      <c r="M83" s="5"/>
      <c r="N83" s="6" t="s">
        <v>6</v>
      </c>
      <c r="O83" s="7"/>
      <c r="P83" s="7">
        <f>J127</f>
        <v>7850.4000000000005</v>
      </c>
      <c r="Q83" s="8"/>
      <c r="S83" s="5"/>
      <c r="T83" s="6" t="s">
        <v>6</v>
      </c>
      <c r="U83" s="7"/>
      <c r="V83" s="7">
        <f>P127</f>
        <v>7850.4000000000005</v>
      </c>
      <c r="W83" s="8"/>
      <c r="Y83" s="5"/>
      <c r="Z83" s="6" t="s">
        <v>6</v>
      </c>
      <c r="AA83" s="7"/>
      <c r="AB83" s="7">
        <f>V127</f>
        <v>7850.4000000000005</v>
      </c>
      <c r="AC83" s="8"/>
      <c r="AE83" s="5"/>
      <c r="AF83" s="6" t="s">
        <v>6</v>
      </c>
      <c r="AG83" s="7"/>
      <c r="AH83" s="7">
        <f>AB127</f>
        <v>7850.4000000000005</v>
      </c>
      <c r="AI83" s="8"/>
    </row>
    <row r="84" spans="1:35" ht="14.25" customHeight="1">
      <c r="A84" s="5">
        <v>46207</v>
      </c>
      <c r="B84" s="7"/>
      <c r="C84" s="7">
        <v>65</v>
      </c>
      <c r="D84" s="7">
        <f t="shared" ref="D84:D127" si="19">D83+B84-C84</f>
        <v>10666.85</v>
      </c>
      <c r="E84" s="8" t="s">
        <v>10</v>
      </c>
      <c r="G84" s="5"/>
      <c r="H84" s="7"/>
      <c r="I84" s="7"/>
      <c r="J84" s="7">
        <f t="shared" ref="J84:J127" si="20">J83+H84-I84</f>
        <v>7850.4000000000005</v>
      </c>
      <c r="K84" s="8"/>
      <c r="M84" s="5"/>
      <c r="N84" s="7"/>
      <c r="O84" s="7"/>
      <c r="P84" s="7">
        <f t="shared" ref="P84:P127" si="21">P83+N84-O84</f>
        <v>7850.4000000000005</v>
      </c>
      <c r="Q84" s="8"/>
      <c r="S84" s="5"/>
      <c r="T84" s="7"/>
      <c r="U84" s="7"/>
      <c r="V84" s="7">
        <f t="shared" ref="V84:V127" si="22">V83+T84-U84</f>
        <v>7850.4000000000005</v>
      </c>
      <c r="W84" s="8"/>
      <c r="Y84" s="5"/>
      <c r="Z84" s="7"/>
      <c r="AA84" s="7"/>
      <c r="AB84" s="7">
        <f t="shared" ref="AB84:AB127" si="23">AB83+Z84-AA84</f>
        <v>7850.4000000000005</v>
      </c>
      <c r="AC84" s="8"/>
      <c r="AE84" s="5"/>
      <c r="AF84" s="7"/>
      <c r="AG84" s="7"/>
      <c r="AH84" s="7">
        <f t="shared" ref="AH84:AH126" si="24">AH83+AF84-AG84</f>
        <v>7850.4000000000005</v>
      </c>
      <c r="AI84" s="8"/>
    </row>
    <row r="85" spans="1:35" ht="14.25" customHeight="1">
      <c r="A85" s="5">
        <v>46208</v>
      </c>
      <c r="B85" s="7"/>
      <c r="C85" s="7">
        <v>30</v>
      </c>
      <c r="D85" s="7">
        <f t="shared" si="19"/>
        <v>10636.85</v>
      </c>
      <c r="E85" s="8" t="s">
        <v>11</v>
      </c>
      <c r="G85" s="5"/>
      <c r="H85" s="7"/>
      <c r="I85" s="7"/>
      <c r="J85" s="7">
        <f t="shared" si="20"/>
        <v>7850.4000000000005</v>
      </c>
      <c r="K85" s="8"/>
      <c r="M85" s="5"/>
      <c r="N85" s="7"/>
      <c r="O85" s="7"/>
      <c r="P85" s="7">
        <f t="shared" si="21"/>
        <v>7850.4000000000005</v>
      </c>
      <c r="Q85" s="8"/>
      <c r="S85" s="5"/>
      <c r="T85" s="7"/>
      <c r="U85" s="7"/>
      <c r="V85" s="7">
        <f t="shared" si="22"/>
        <v>7850.4000000000005</v>
      </c>
      <c r="W85" s="8"/>
      <c r="Y85" s="5"/>
      <c r="Z85" s="7"/>
      <c r="AA85" s="7"/>
      <c r="AB85" s="7">
        <f t="shared" si="23"/>
        <v>7850.4000000000005</v>
      </c>
      <c r="AC85" s="8"/>
      <c r="AE85" s="5"/>
      <c r="AF85" s="7"/>
      <c r="AG85" s="7"/>
      <c r="AH85" s="7">
        <f t="shared" si="24"/>
        <v>7850.4000000000005</v>
      </c>
      <c r="AI85" s="8"/>
    </row>
    <row r="86" spans="1:35" ht="14.25" customHeight="1">
      <c r="A86" s="5">
        <v>46208</v>
      </c>
      <c r="B86" s="7"/>
      <c r="C86" s="7">
        <v>30</v>
      </c>
      <c r="D86" s="7">
        <f t="shared" si="19"/>
        <v>10606.85</v>
      </c>
      <c r="E86" s="8" t="s">
        <v>14</v>
      </c>
      <c r="G86" s="5"/>
      <c r="H86" s="7"/>
      <c r="I86" s="7"/>
      <c r="J86" s="7">
        <f t="shared" si="20"/>
        <v>7850.4000000000005</v>
      </c>
      <c r="K86" s="8"/>
      <c r="M86" s="5"/>
      <c r="N86" s="7"/>
      <c r="O86" s="7"/>
      <c r="P86" s="7">
        <f t="shared" si="21"/>
        <v>7850.4000000000005</v>
      </c>
      <c r="Q86" s="8"/>
      <c r="S86" s="5"/>
      <c r="T86" s="7"/>
      <c r="U86" s="7"/>
      <c r="V86" s="7">
        <f t="shared" si="22"/>
        <v>7850.4000000000005</v>
      </c>
      <c r="W86" s="8"/>
      <c r="Y86" s="5"/>
      <c r="Z86" s="7"/>
      <c r="AA86" s="7"/>
      <c r="AB86" s="7">
        <f t="shared" si="23"/>
        <v>7850.4000000000005</v>
      </c>
      <c r="AC86" s="8"/>
      <c r="AE86" s="5"/>
      <c r="AF86" s="7"/>
      <c r="AG86" s="7"/>
      <c r="AH86" s="7">
        <f t="shared" si="24"/>
        <v>7850.4000000000005</v>
      </c>
      <c r="AI86" s="8"/>
    </row>
    <row r="87" spans="1:35" ht="14.25" customHeight="1">
      <c r="A87" s="5">
        <v>46213</v>
      </c>
      <c r="B87" s="7"/>
      <c r="C87" s="7">
        <v>221.5</v>
      </c>
      <c r="D87" s="7">
        <f t="shared" si="19"/>
        <v>10385.35</v>
      </c>
      <c r="E87" s="8" t="s">
        <v>13</v>
      </c>
      <c r="G87" s="5"/>
      <c r="H87" s="7"/>
      <c r="I87" s="7"/>
      <c r="J87" s="7">
        <f t="shared" si="20"/>
        <v>7850.4000000000005</v>
      </c>
      <c r="K87" s="8"/>
      <c r="M87" s="5"/>
      <c r="N87" s="7"/>
      <c r="O87" s="7"/>
      <c r="P87" s="7">
        <f t="shared" si="21"/>
        <v>7850.4000000000005</v>
      </c>
      <c r="Q87" s="8"/>
      <c r="S87" s="5"/>
      <c r="T87" s="7"/>
      <c r="U87" s="7"/>
      <c r="V87" s="7">
        <f t="shared" si="22"/>
        <v>7850.4000000000005</v>
      </c>
      <c r="W87" s="8"/>
      <c r="Y87" s="5"/>
      <c r="Z87" s="7"/>
      <c r="AA87" s="7"/>
      <c r="AB87" s="7">
        <f t="shared" si="23"/>
        <v>7850.4000000000005</v>
      </c>
      <c r="AC87" s="8"/>
      <c r="AE87" s="5"/>
      <c r="AF87" s="7"/>
      <c r="AG87" s="7"/>
      <c r="AH87" s="7">
        <f t="shared" si="24"/>
        <v>7850.4000000000005</v>
      </c>
      <c r="AI87" s="8"/>
    </row>
    <row r="88" spans="1:35" ht="14.25" customHeight="1">
      <c r="A88" s="5">
        <v>46213</v>
      </c>
      <c r="B88" s="7"/>
      <c r="C88" s="7">
        <v>140</v>
      </c>
      <c r="D88" s="7">
        <f t="shared" si="19"/>
        <v>10245.35</v>
      </c>
      <c r="E88" s="8" t="s">
        <v>8</v>
      </c>
      <c r="G88" s="5"/>
      <c r="H88" s="7"/>
      <c r="I88" s="7"/>
      <c r="J88" s="7">
        <f t="shared" si="20"/>
        <v>7850.4000000000005</v>
      </c>
      <c r="K88" s="8"/>
      <c r="M88" s="5"/>
      <c r="N88" s="7"/>
      <c r="O88" s="7"/>
      <c r="P88" s="7">
        <f t="shared" si="21"/>
        <v>7850.4000000000005</v>
      </c>
      <c r="Q88" s="8"/>
      <c r="S88" s="5"/>
      <c r="T88" s="7"/>
      <c r="U88" s="7"/>
      <c r="V88" s="7">
        <f t="shared" si="22"/>
        <v>7850.4000000000005</v>
      </c>
      <c r="W88" s="8"/>
      <c r="Y88" s="5"/>
      <c r="Z88" s="7"/>
      <c r="AA88" s="7"/>
      <c r="AB88" s="7">
        <f t="shared" si="23"/>
        <v>7850.4000000000005</v>
      </c>
      <c r="AC88" s="8"/>
      <c r="AE88" s="5"/>
      <c r="AF88" s="7"/>
      <c r="AG88" s="7"/>
      <c r="AH88" s="7">
        <f t="shared" si="24"/>
        <v>7850.4000000000005</v>
      </c>
      <c r="AI88" s="8"/>
    </row>
    <row r="89" spans="1:35" ht="14.25" customHeight="1">
      <c r="A89" s="5">
        <v>46213</v>
      </c>
      <c r="B89" s="7"/>
      <c r="C89" s="7">
        <v>6.5</v>
      </c>
      <c r="D89" s="7">
        <f t="shared" si="19"/>
        <v>10238.85</v>
      </c>
      <c r="E89" s="8" t="s">
        <v>7</v>
      </c>
      <c r="G89" s="5"/>
      <c r="H89" s="7"/>
      <c r="I89" s="7"/>
      <c r="J89" s="7">
        <f t="shared" si="20"/>
        <v>7850.4000000000005</v>
      </c>
      <c r="K89" s="8"/>
      <c r="M89" s="5"/>
      <c r="N89" s="7"/>
      <c r="O89" s="7"/>
      <c r="P89" s="7">
        <f t="shared" si="21"/>
        <v>7850.4000000000005</v>
      </c>
      <c r="Q89" s="8"/>
      <c r="S89" s="5"/>
      <c r="T89" s="7"/>
      <c r="U89" s="7"/>
      <c r="V89" s="7">
        <f t="shared" si="22"/>
        <v>7850.4000000000005</v>
      </c>
      <c r="W89" s="8"/>
      <c r="Y89" s="5"/>
      <c r="Z89" s="7"/>
      <c r="AA89" s="7"/>
      <c r="AB89" s="7">
        <f t="shared" si="23"/>
        <v>7850.4000000000005</v>
      </c>
      <c r="AC89" s="8"/>
      <c r="AE89" s="5"/>
      <c r="AF89" s="7"/>
      <c r="AG89" s="7"/>
      <c r="AH89" s="7">
        <f t="shared" si="24"/>
        <v>7850.4000000000005</v>
      </c>
      <c r="AI89" s="8"/>
    </row>
    <row r="90" spans="1:35" ht="14.25" customHeight="1">
      <c r="A90" s="5">
        <v>46215</v>
      </c>
      <c r="B90" s="7"/>
      <c r="C90" s="7">
        <v>814.55</v>
      </c>
      <c r="D90" s="7">
        <f t="shared" si="19"/>
        <v>9424.3000000000011</v>
      </c>
      <c r="E90" s="8" t="s">
        <v>15</v>
      </c>
      <c r="G90" s="5"/>
      <c r="H90" s="7"/>
      <c r="I90" s="24"/>
      <c r="J90" s="7">
        <f t="shared" si="20"/>
        <v>7850.4000000000005</v>
      </c>
      <c r="K90" s="8"/>
      <c r="M90" s="5"/>
      <c r="N90" s="7"/>
      <c r="O90" s="7"/>
      <c r="P90" s="7">
        <f t="shared" si="21"/>
        <v>7850.4000000000005</v>
      </c>
      <c r="Q90" s="8"/>
      <c r="S90" s="5"/>
      <c r="T90" s="7"/>
      <c r="U90" s="7"/>
      <c r="V90" s="7">
        <f t="shared" si="22"/>
        <v>7850.4000000000005</v>
      </c>
      <c r="W90" s="8"/>
      <c r="Y90" s="5"/>
      <c r="Z90" s="7"/>
      <c r="AA90" s="7"/>
      <c r="AB90" s="7">
        <f t="shared" si="23"/>
        <v>7850.4000000000005</v>
      </c>
      <c r="AC90" s="8"/>
      <c r="AE90" s="5"/>
      <c r="AF90" s="7"/>
      <c r="AG90" s="7"/>
      <c r="AH90" s="7">
        <f t="shared" si="24"/>
        <v>7850.4000000000005</v>
      </c>
      <c r="AI90" s="8"/>
    </row>
    <row r="91" spans="1:35" ht="14.25" customHeight="1">
      <c r="A91" s="5">
        <v>46215</v>
      </c>
      <c r="B91" s="7"/>
      <c r="C91" s="7">
        <v>1305.2</v>
      </c>
      <c r="D91" s="7">
        <f t="shared" si="19"/>
        <v>8119.1000000000013</v>
      </c>
      <c r="E91" s="8" t="s">
        <v>17</v>
      </c>
      <c r="G91" s="5"/>
      <c r="H91" s="7"/>
      <c r="I91" s="7"/>
      <c r="J91" s="7">
        <f t="shared" si="20"/>
        <v>7850.4000000000005</v>
      </c>
      <c r="K91" s="8"/>
      <c r="M91" s="5"/>
      <c r="N91" s="7"/>
      <c r="O91" s="7"/>
      <c r="P91" s="7">
        <f t="shared" si="21"/>
        <v>7850.4000000000005</v>
      </c>
      <c r="Q91" s="8"/>
      <c r="S91" s="5"/>
      <c r="T91" s="7"/>
      <c r="U91" s="7"/>
      <c r="V91" s="7">
        <f t="shared" si="22"/>
        <v>7850.4000000000005</v>
      </c>
      <c r="W91" s="8"/>
      <c r="Y91" s="5"/>
      <c r="Z91" s="7"/>
      <c r="AA91" s="7"/>
      <c r="AB91" s="7">
        <f t="shared" si="23"/>
        <v>7850.4000000000005</v>
      </c>
      <c r="AC91" s="8"/>
      <c r="AE91" s="5"/>
      <c r="AF91" s="7"/>
      <c r="AG91" s="7"/>
      <c r="AH91" s="7">
        <f t="shared" si="24"/>
        <v>7850.4000000000005</v>
      </c>
      <c r="AI91" s="8"/>
    </row>
    <row r="92" spans="1:35" ht="14.25" customHeight="1">
      <c r="A92" s="5">
        <v>46215</v>
      </c>
      <c r="B92" s="7"/>
      <c r="C92" s="7">
        <v>52.65</v>
      </c>
      <c r="D92" s="7">
        <f t="shared" si="19"/>
        <v>8066.4500000000016</v>
      </c>
      <c r="E92" s="8" t="s">
        <v>20</v>
      </c>
      <c r="G92" s="5"/>
      <c r="H92" s="7"/>
      <c r="I92" s="7"/>
      <c r="J92" s="7">
        <f t="shared" si="20"/>
        <v>7850.4000000000005</v>
      </c>
      <c r="K92" s="8"/>
      <c r="M92" s="5"/>
      <c r="N92" s="7"/>
      <c r="O92" s="7"/>
      <c r="P92" s="7">
        <f t="shared" si="21"/>
        <v>7850.4000000000005</v>
      </c>
      <c r="Q92" s="8"/>
      <c r="S92" s="5"/>
      <c r="T92" s="7"/>
      <c r="U92" s="7"/>
      <c r="V92" s="7">
        <f t="shared" si="22"/>
        <v>7850.4000000000005</v>
      </c>
      <c r="W92" s="8"/>
      <c r="Y92" s="5"/>
      <c r="Z92" s="7"/>
      <c r="AA92" s="7"/>
      <c r="AB92" s="7">
        <f t="shared" si="23"/>
        <v>7850.4000000000005</v>
      </c>
      <c r="AC92" s="8"/>
      <c r="AE92" s="5"/>
      <c r="AF92" s="7"/>
      <c r="AG92" s="7"/>
      <c r="AH92" s="7">
        <f t="shared" si="24"/>
        <v>7850.4000000000005</v>
      </c>
      <c r="AI92" s="8"/>
    </row>
    <row r="93" spans="1:35" ht="14.25" customHeight="1">
      <c r="A93" s="5">
        <v>46215</v>
      </c>
      <c r="B93" s="7"/>
      <c r="C93" s="7">
        <v>42.1</v>
      </c>
      <c r="D93" s="7">
        <f t="shared" si="19"/>
        <v>8024.3500000000013</v>
      </c>
      <c r="E93" s="8" t="s">
        <v>19</v>
      </c>
      <c r="G93" s="5"/>
      <c r="H93" s="7"/>
      <c r="I93" s="7"/>
      <c r="J93" s="7">
        <f t="shared" si="20"/>
        <v>7850.4000000000005</v>
      </c>
      <c r="K93" s="8"/>
      <c r="M93" s="5"/>
      <c r="N93" s="7"/>
      <c r="O93" s="7"/>
      <c r="P93" s="7">
        <f t="shared" si="21"/>
        <v>7850.4000000000005</v>
      </c>
      <c r="Q93" s="8"/>
      <c r="S93" s="5"/>
      <c r="T93" s="7"/>
      <c r="U93" s="7"/>
      <c r="V93" s="7">
        <f t="shared" si="22"/>
        <v>7850.4000000000005</v>
      </c>
      <c r="W93" s="8"/>
      <c r="Y93" s="5"/>
      <c r="Z93" s="7"/>
      <c r="AA93" s="7"/>
      <c r="AB93" s="7">
        <f t="shared" si="23"/>
        <v>7850.4000000000005</v>
      </c>
      <c r="AC93" s="8"/>
      <c r="AE93" s="5"/>
      <c r="AF93" s="7"/>
      <c r="AG93" s="7"/>
      <c r="AH93" s="7">
        <f t="shared" si="24"/>
        <v>7850.4000000000005</v>
      </c>
      <c r="AI93" s="8"/>
    </row>
    <row r="94" spans="1:35" ht="14.25" customHeight="1">
      <c r="A94" s="5">
        <v>46215</v>
      </c>
      <c r="B94" s="7"/>
      <c r="C94" s="7">
        <v>26.6</v>
      </c>
      <c r="D94" s="7">
        <f t="shared" si="19"/>
        <v>7997.7500000000009</v>
      </c>
      <c r="E94" s="8" t="s">
        <v>22</v>
      </c>
      <c r="G94" s="5"/>
      <c r="H94" s="7"/>
      <c r="I94" s="7"/>
      <c r="J94" s="7">
        <f t="shared" si="20"/>
        <v>7850.4000000000005</v>
      </c>
      <c r="K94" s="8"/>
      <c r="M94" s="5"/>
      <c r="N94" s="7"/>
      <c r="O94" s="7"/>
      <c r="P94" s="7">
        <f t="shared" si="21"/>
        <v>7850.4000000000005</v>
      </c>
      <c r="Q94" s="8"/>
      <c r="S94" s="5"/>
      <c r="T94" s="7"/>
      <c r="U94" s="7"/>
      <c r="V94" s="7">
        <f t="shared" si="22"/>
        <v>7850.4000000000005</v>
      </c>
      <c r="W94" s="8"/>
      <c r="Y94" s="5"/>
      <c r="Z94" s="7"/>
      <c r="AA94" s="7"/>
      <c r="AB94" s="7">
        <f t="shared" si="23"/>
        <v>7850.4000000000005</v>
      </c>
      <c r="AC94" s="8"/>
      <c r="AE94" s="5"/>
      <c r="AF94" s="7"/>
      <c r="AG94" s="7"/>
      <c r="AH94" s="7">
        <f t="shared" si="24"/>
        <v>7850.4000000000005</v>
      </c>
      <c r="AI94" s="8"/>
    </row>
    <row r="95" spans="1:35" ht="14.25" customHeight="1">
      <c r="A95" s="5">
        <v>46215</v>
      </c>
      <c r="B95" s="7"/>
      <c r="C95" s="7">
        <v>147.35</v>
      </c>
      <c r="D95" s="7">
        <f t="shared" si="19"/>
        <v>7850.4000000000005</v>
      </c>
      <c r="E95" s="8" t="s">
        <v>21</v>
      </c>
      <c r="G95" s="5"/>
      <c r="H95" s="7"/>
      <c r="I95" s="7"/>
      <c r="J95" s="7">
        <f t="shared" si="20"/>
        <v>7850.4000000000005</v>
      </c>
      <c r="K95" s="8"/>
      <c r="M95" s="5"/>
      <c r="N95" s="7"/>
      <c r="O95" s="7"/>
      <c r="P95" s="7">
        <f t="shared" si="21"/>
        <v>7850.4000000000005</v>
      </c>
      <c r="Q95" s="8"/>
      <c r="S95" s="5"/>
      <c r="T95" s="7"/>
      <c r="U95" s="7"/>
      <c r="V95" s="7">
        <f t="shared" si="22"/>
        <v>7850.4000000000005</v>
      </c>
      <c r="W95" s="8"/>
      <c r="Y95" s="5"/>
      <c r="Z95" s="7"/>
      <c r="AA95" s="7"/>
      <c r="AB95" s="7">
        <f t="shared" si="23"/>
        <v>7850.4000000000005</v>
      </c>
      <c r="AC95" s="8"/>
      <c r="AE95" s="5"/>
      <c r="AF95" s="7"/>
      <c r="AG95" s="7"/>
      <c r="AH95" s="7">
        <f t="shared" si="24"/>
        <v>7850.4000000000005</v>
      </c>
      <c r="AI95" s="8"/>
    </row>
    <row r="96" spans="1:35" ht="14.25" customHeight="1">
      <c r="A96" s="5"/>
      <c r="B96" s="7"/>
      <c r="C96" s="7"/>
      <c r="D96" s="7">
        <f t="shared" si="19"/>
        <v>7850.4000000000005</v>
      </c>
      <c r="E96" s="8"/>
      <c r="G96" s="5"/>
      <c r="H96" s="7"/>
      <c r="I96" s="7"/>
      <c r="J96" s="7">
        <f t="shared" si="20"/>
        <v>7850.4000000000005</v>
      </c>
      <c r="K96" s="8"/>
      <c r="M96" s="5"/>
      <c r="N96" s="7"/>
      <c r="O96" s="7"/>
      <c r="P96" s="7">
        <f t="shared" si="21"/>
        <v>7850.4000000000005</v>
      </c>
      <c r="Q96" s="8"/>
      <c r="S96" s="5"/>
      <c r="T96" s="7"/>
      <c r="U96" s="7"/>
      <c r="V96" s="7">
        <f t="shared" si="22"/>
        <v>7850.4000000000005</v>
      </c>
      <c r="W96" s="8"/>
      <c r="Y96" s="5"/>
      <c r="Z96" s="7"/>
      <c r="AA96" s="7"/>
      <c r="AB96" s="7">
        <f t="shared" si="23"/>
        <v>7850.4000000000005</v>
      </c>
      <c r="AC96" s="8"/>
      <c r="AE96" s="5"/>
      <c r="AF96" s="7"/>
      <c r="AG96" s="7"/>
      <c r="AH96" s="7">
        <f t="shared" si="24"/>
        <v>7850.4000000000005</v>
      </c>
      <c r="AI96" s="8"/>
    </row>
    <row r="97" spans="1:35" ht="14.25" customHeight="1">
      <c r="A97" s="5"/>
      <c r="B97" s="7"/>
      <c r="C97" s="7"/>
      <c r="D97" s="7">
        <f t="shared" si="19"/>
        <v>7850.4000000000005</v>
      </c>
      <c r="E97" s="8"/>
      <c r="G97" s="5"/>
      <c r="H97" s="7"/>
      <c r="I97" s="7"/>
      <c r="J97" s="7">
        <f t="shared" si="20"/>
        <v>7850.4000000000005</v>
      </c>
      <c r="K97" s="8"/>
      <c r="M97" s="5"/>
      <c r="N97" s="7"/>
      <c r="O97" s="7"/>
      <c r="P97" s="7">
        <f t="shared" si="21"/>
        <v>7850.4000000000005</v>
      </c>
      <c r="Q97" s="8"/>
      <c r="S97" s="5"/>
      <c r="T97" s="7"/>
      <c r="U97" s="7"/>
      <c r="V97" s="7">
        <f t="shared" si="22"/>
        <v>7850.4000000000005</v>
      </c>
      <c r="W97" s="8"/>
      <c r="Y97" s="5"/>
      <c r="Z97" s="7"/>
      <c r="AA97" s="7"/>
      <c r="AB97" s="7">
        <f t="shared" si="23"/>
        <v>7850.4000000000005</v>
      </c>
      <c r="AC97" s="8"/>
      <c r="AE97" s="5"/>
      <c r="AF97" s="7"/>
      <c r="AG97" s="7"/>
      <c r="AH97" s="7">
        <f t="shared" si="24"/>
        <v>7850.4000000000005</v>
      </c>
      <c r="AI97" s="8"/>
    </row>
    <row r="98" spans="1:35" ht="14.25" customHeight="1">
      <c r="A98" s="5"/>
      <c r="B98" s="7"/>
      <c r="C98" s="7"/>
      <c r="D98" s="7">
        <f t="shared" si="19"/>
        <v>7850.4000000000005</v>
      </c>
      <c r="E98" s="8"/>
      <c r="G98" s="5"/>
      <c r="H98" s="7"/>
      <c r="I98" s="7"/>
      <c r="J98" s="7">
        <f t="shared" si="20"/>
        <v>7850.4000000000005</v>
      </c>
      <c r="K98" s="8"/>
      <c r="M98" s="5"/>
      <c r="N98" s="7"/>
      <c r="O98" s="7"/>
      <c r="P98" s="7">
        <f t="shared" si="21"/>
        <v>7850.4000000000005</v>
      </c>
      <c r="Q98" s="8"/>
      <c r="S98" s="5"/>
      <c r="T98" s="7"/>
      <c r="U98" s="7"/>
      <c r="V98" s="7">
        <f t="shared" si="22"/>
        <v>7850.4000000000005</v>
      </c>
      <c r="W98" s="8"/>
      <c r="Y98" s="5"/>
      <c r="Z98" s="7"/>
      <c r="AA98" s="7"/>
      <c r="AB98" s="7">
        <f t="shared" si="23"/>
        <v>7850.4000000000005</v>
      </c>
      <c r="AC98" s="8"/>
      <c r="AE98" s="5"/>
      <c r="AF98" s="7"/>
      <c r="AG98" s="7"/>
      <c r="AH98" s="7">
        <f t="shared" si="24"/>
        <v>7850.4000000000005</v>
      </c>
      <c r="AI98" s="8"/>
    </row>
    <row r="99" spans="1:35" ht="14.25" customHeight="1">
      <c r="A99" s="5"/>
      <c r="B99" s="7"/>
      <c r="C99" s="7"/>
      <c r="D99" s="7">
        <f t="shared" si="19"/>
        <v>7850.4000000000005</v>
      </c>
      <c r="E99" s="8"/>
      <c r="G99" s="5"/>
      <c r="H99" s="7"/>
      <c r="I99" s="7"/>
      <c r="J99" s="7">
        <f t="shared" si="20"/>
        <v>7850.4000000000005</v>
      </c>
      <c r="K99" s="8"/>
      <c r="M99" s="5"/>
      <c r="N99" s="7"/>
      <c r="O99" s="7"/>
      <c r="P99" s="7">
        <f t="shared" si="21"/>
        <v>7850.4000000000005</v>
      </c>
      <c r="Q99" s="8"/>
      <c r="S99" s="5"/>
      <c r="T99" s="7"/>
      <c r="U99" s="7"/>
      <c r="V99" s="7">
        <f t="shared" si="22"/>
        <v>7850.4000000000005</v>
      </c>
      <c r="W99" s="8"/>
      <c r="Y99" s="5"/>
      <c r="Z99" s="7"/>
      <c r="AA99" s="7"/>
      <c r="AB99" s="7">
        <f t="shared" si="23"/>
        <v>7850.4000000000005</v>
      </c>
      <c r="AC99" s="8"/>
      <c r="AE99" s="5"/>
      <c r="AF99" s="7"/>
      <c r="AG99" s="7"/>
      <c r="AH99" s="7">
        <f t="shared" si="24"/>
        <v>7850.4000000000005</v>
      </c>
      <c r="AI99" s="8"/>
    </row>
    <row r="100" spans="1:35" ht="14.25" customHeight="1">
      <c r="A100" s="5"/>
      <c r="B100" s="7"/>
      <c r="C100" s="7"/>
      <c r="D100" s="7">
        <f t="shared" si="19"/>
        <v>7850.4000000000005</v>
      </c>
      <c r="E100" s="8"/>
      <c r="G100" s="5"/>
      <c r="H100" s="7"/>
      <c r="I100" s="7"/>
      <c r="J100" s="7">
        <f t="shared" si="20"/>
        <v>7850.4000000000005</v>
      </c>
      <c r="K100" s="8"/>
      <c r="M100" s="5"/>
      <c r="N100" s="7"/>
      <c r="O100" s="7"/>
      <c r="P100" s="7">
        <f t="shared" si="21"/>
        <v>7850.4000000000005</v>
      </c>
      <c r="Q100" s="8"/>
      <c r="S100" s="5"/>
      <c r="T100" s="7"/>
      <c r="U100" s="7"/>
      <c r="V100" s="7">
        <f t="shared" si="22"/>
        <v>7850.4000000000005</v>
      </c>
      <c r="W100" s="8"/>
      <c r="Y100" s="5"/>
      <c r="Z100" s="7"/>
      <c r="AA100" s="7"/>
      <c r="AB100" s="7">
        <f t="shared" si="23"/>
        <v>7850.4000000000005</v>
      </c>
      <c r="AC100" s="8"/>
      <c r="AE100" s="5"/>
      <c r="AF100" s="7"/>
      <c r="AG100" s="7"/>
      <c r="AH100" s="7">
        <f t="shared" si="24"/>
        <v>7850.4000000000005</v>
      </c>
      <c r="AI100" s="8"/>
    </row>
    <row r="101" spans="1:35" ht="14.25" customHeight="1">
      <c r="A101" s="5"/>
      <c r="B101" s="7"/>
      <c r="C101" s="7"/>
      <c r="D101" s="7">
        <f t="shared" si="19"/>
        <v>7850.4000000000005</v>
      </c>
      <c r="E101" s="8"/>
      <c r="G101" s="5"/>
      <c r="H101" s="7"/>
      <c r="I101" s="7"/>
      <c r="J101" s="7">
        <f t="shared" si="20"/>
        <v>7850.4000000000005</v>
      </c>
      <c r="K101" s="8"/>
      <c r="M101" s="5"/>
      <c r="N101" s="7"/>
      <c r="O101" s="7"/>
      <c r="P101" s="7">
        <f t="shared" si="21"/>
        <v>7850.4000000000005</v>
      </c>
      <c r="Q101" s="8"/>
      <c r="S101" s="5"/>
      <c r="T101" s="7"/>
      <c r="U101" s="7"/>
      <c r="V101" s="7">
        <f t="shared" si="22"/>
        <v>7850.4000000000005</v>
      </c>
      <c r="W101" s="8"/>
      <c r="Y101" s="5"/>
      <c r="Z101" s="7"/>
      <c r="AA101" s="7"/>
      <c r="AB101" s="7">
        <f t="shared" si="23"/>
        <v>7850.4000000000005</v>
      </c>
      <c r="AC101" s="8"/>
      <c r="AE101" s="5"/>
      <c r="AF101" s="7"/>
      <c r="AG101" s="7"/>
      <c r="AH101" s="7">
        <f t="shared" si="24"/>
        <v>7850.4000000000005</v>
      </c>
      <c r="AI101" s="8"/>
    </row>
    <row r="102" spans="1:35" ht="14.25" customHeight="1">
      <c r="A102" s="5"/>
      <c r="B102" s="7"/>
      <c r="C102" s="7"/>
      <c r="D102" s="7">
        <f t="shared" si="19"/>
        <v>7850.4000000000005</v>
      </c>
      <c r="E102" s="8"/>
      <c r="G102" s="5"/>
      <c r="H102" s="7"/>
      <c r="I102" s="7"/>
      <c r="J102" s="7">
        <f t="shared" si="20"/>
        <v>7850.4000000000005</v>
      </c>
      <c r="K102" s="8"/>
      <c r="M102" s="5"/>
      <c r="N102" s="7"/>
      <c r="O102" s="7"/>
      <c r="P102" s="7">
        <f t="shared" si="21"/>
        <v>7850.4000000000005</v>
      </c>
      <c r="Q102" s="8"/>
      <c r="S102" s="5"/>
      <c r="T102" s="7"/>
      <c r="U102" s="7"/>
      <c r="V102" s="7">
        <f t="shared" si="22"/>
        <v>7850.4000000000005</v>
      </c>
      <c r="W102" s="8"/>
      <c r="Y102" s="5"/>
      <c r="Z102" s="7"/>
      <c r="AA102" s="7"/>
      <c r="AB102" s="7">
        <f t="shared" si="23"/>
        <v>7850.4000000000005</v>
      </c>
      <c r="AC102" s="8"/>
      <c r="AE102" s="5"/>
      <c r="AF102" s="7"/>
      <c r="AG102" s="7"/>
      <c r="AH102" s="7">
        <f t="shared" si="24"/>
        <v>7850.4000000000005</v>
      </c>
      <c r="AI102" s="8"/>
    </row>
    <row r="103" spans="1:35" ht="14.25" customHeight="1">
      <c r="A103" s="5"/>
      <c r="B103" s="7"/>
      <c r="C103" s="7"/>
      <c r="D103" s="7">
        <f t="shared" si="19"/>
        <v>7850.4000000000005</v>
      </c>
      <c r="E103" s="8"/>
      <c r="G103" s="5"/>
      <c r="H103" s="7"/>
      <c r="I103" s="7"/>
      <c r="J103" s="7">
        <f t="shared" si="20"/>
        <v>7850.4000000000005</v>
      </c>
      <c r="K103" s="8"/>
      <c r="M103" s="5"/>
      <c r="N103" s="7"/>
      <c r="O103" s="7"/>
      <c r="P103" s="7">
        <f t="shared" si="21"/>
        <v>7850.4000000000005</v>
      </c>
      <c r="Q103" s="8"/>
      <c r="S103" s="5"/>
      <c r="T103" s="7"/>
      <c r="U103" s="7"/>
      <c r="V103" s="7">
        <f t="shared" si="22"/>
        <v>7850.4000000000005</v>
      </c>
      <c r="W103" s="8"/>
      <c r="Y103" s="5"/>
      <c r="Z103" s="7"/>
      <c r="AA103" s="7"/>
      <c r="AB103" s="7">
        <f t="shared" si="23"/>
        <v>7850.4000000000005</v>
      </c>
      <c r="AC103" s="8"/>
      <c r="AE103" s="5"/>
      <c r="AF103" s="7"/>
      <c r="AG103" s="7"/>
      <c r="AH103" s="7">
        <f t="shared" si="24"/>
        <v>7850.4000000000005</v>
      </c>
      <c r="AI103" s="8"/>
    </row>
    <row r="104" spans="1:35" ht="14.25" customHeight="1">
      <c r="A104" s="5"/>
      <c r="B104" s="7"/>
      <c r="C104" s="7"/>
      <c r="D104" s="7">
        <f t="shared" si="19"/>
        <v>7850.4000000000005</v>
      </c>
      <c r="E104" s="8"/>
      <c r="G104" s="5"/>
      <c r="H104" s="7"/>
      <c r="I104" s="7"/>
      <c r="J104" s="7">
        <f t="shared" si="20"/>
        <v>7850.4000000000005</v>
      </c>
      <c r="K104" s="8"/>
      <c r="M104" s="5"/>
      <c r="N104" s="7"/>
      <c r="O104" s="7"/>
      <c r="P104" s="7">
        <f t="shared" si="21"/>
        <v>7850.4000000000005</v>
      </c>
      <c r="Q104" s="8"/>
      <c r="S104" s="5"/>
      <c r="T104" s="7"/>
      <c r="U104" s="7"/>
      <c r="V104" s="7">
        <f t="shared" si="22"/>
        <v>7850.4000000000005</v>
      </c>
      <c r="W104" s="8"/>
      <c r="Y104" s="5"/>
      <c r="Z104" s="7"/>
      <c r="AA104" s="7"/>
      <c r="AB104" s="7">
        <f t="shared" si="23"/>
        <v>7850.4000000000005</v>
      </c>
      <c r="AC104" s="8"/>
      <c r="AE104" s="5"/>
      <c r="AF104" s="7"/>
      <c r="AG104" s="7"/>
      <c r="AH104" s="7">
        <f t="shared" si="24"/>
        <v>7850.4000000000005</v>
      </c>
      <c r="AI104" s="8"/>
    </row>
    <row r="105" spans="1:35" ht="14.25" customHeight="1">
      <c r="A105" s="5"/>
      <c r="B105" s="7"/>
      <c r="C105" s="7"/>
      <c r="D105" s="7">
        <f t="shared" si="19"/>
        <v>7850.4000000000005</v>
      </c>
      <c r="E105" s="8"/>
      <c r="G105" s="5"/>
      <c r="H105" s="7"/>
      <c r="I105" s="7"/>
      <c r="J105" s="7">
        <f t="shared" si="20"/>
        <v>7850.4000000000005</v>
      </c>
      <c r="K105" s="8"/>
      <c r="M105" s="5"/>
      <c r="N105" s="7"/>
      <c r="O105" s="7"/>
      <c r="P105" s="7">
        <f t="shared" si="21"/>
        <v>7850.4000000000005</v>
      </c>
      <c r="Q105" s="8"/>
      <c r="S105" s="5"/>
      <c r="T105" s="7"/>
      <c r="U105" s="7"/>
      <c r="V105" s="7">
        <f t="shared" si="22"/>
        <v>7850.4000000000005</v>
      </c>
      <c r="W105" s="8"/>
      <c r="Y105" s="5"/>
      <c r="Z105" s="7"/>
      <c r="AA105" s="7"/>
      <c r="AB105" s="7">
        <f t="shared" si="23"/>
        <v>7850.4000000000005</v>
      </c>
      <c r="AC105" s="8"/>
      <c r="AE105" s="5"/>
      <c r="AF105" s="7"/>
      <c r="AG105" s="7"/>
      <c r="AH105" s="7">
        <f t="shared" si="24"/>
        <v>7850.4000000000005</v>
      </c>
      <c r="AI105" s="8"/>
    </row>
    <row r="106" spans="1:35" ht="14.25" customHeight="1">
      <c r="A106" s="5"/>
      <c r="B106" s="7"/>
      <c r="C106" s="7"/>
      <c r="D106" s="7">
        <f t="shared" si="19"/>
        <v>7850.4000000000005</v>
      </c>
      <c r="E106" s="8"/>
      <c r="G106" s="5"/>
      <c r="H106" s="7"/>
      <c r="I106" s="7"/>
      <c r="J106" s="7">
        <f t="shared" si="20"/>
        <v>7850.4000000000005</v>
      </c>
      <c r="K106" s="8"/>
      <c r="M106" s="5"/>
      <c r="N106" s="7"/>
      <c r="O106" s="7"/>
      <c r="P106" s="7">
        <f t="shared" si="21"/>
        <v>7850.4000000000005</v>
      </c>
      <c r="Q106" s="8"/>
      <c r="S106" s="5"/>
      <c r="T106" s="7"/>
      <c r="U106" s="7"/>
      <c r="V106" s="7">
        <f t="shared" si="22"/>
        <v>7850.4000000000005</v>
      </c>
      <c r="W106" s="8"/>
      <c r="Y106" s="5"/>
      <c r="Z106" s="7"/>
      <c r="AA106" s="7"/>
      <c r="AB106" s="7">
        <f t="shared" si="23"/>
        <v>7850.4000000000005</v>
      </c>
      <c r="AC106" s="8"/>
      <c r="AE106" s="5"/>
      <c r="AF106" s="7"/>
      <c r="AG106" s="7"/>
      <c r="AH106" s="7">
        <f t="shared" si="24"/>
        <v>7850.4000000000005</v>
      </c>
      <c r="AI106" s="8"/>
    </row>
    <row r="107" spans="1:35" ht="14.25" customHeight="1">
      <c r="A107" s="5"/>
      <c r="B107" s="7"/>
      <c r="C107" s="7"/>
      <c r="D107" s="7">
        <f t="shared" si="19"/>
        <v>7850.4000000000005</v>
      </c>
      <c r="E107" s="8"/>
      <c r="G107" s="5"/>
      <c r="H107" s="7"/>
      <c r="I107" s="7"/>
      <c r="J107" s="24">
        <f t="shared" si="20"/>
        <v>7850.4000000000005</v>
      </c>
      <c r="K107" s="8"/>
      <c r="M107" s="5"/>
      <c r="N107" s="7"/>
      <c r="O107" s="7"/>
      <c r="P107" s="7">
        <f t="shared" si="21"/>
        <v>7850.4000000000005</v>
      </c>
      <c r="Q107" s="8"/>
      <c r="S107" s="5"/>
      <c r="T107" s="7"/>
      <c r="U107" s="7"/>
      <c r="V107" s="7">
        <f t="shared" si="22"/>
        <v>7850.4000000000005</v>
      </c>
      <c r="W107" s="8"/>
      <c r="Y107" s="5"/>
      <c r="Z107" s="7"/>
      <c r="AA107" s="7"/>
      <c r="AB107" s="7">
        <f t="shared" si="23"/>
        <v>7850.4000000000005</v>
      </c>
      <c r="AC107" s="8"/>
      <c r="AE107" s="5"/>
      <c r="AF107" s="7"/>
      <c r="AG107" s="7"/>
      <c r="AH107" s="7">
        <f t="shared" si="24"/>
        <v>7850.4000000000005</v>
      </c>
      <c r="AI107" s="8"/>
    </row>
    <row r="108" spans="1:35" ht="14.25" customHeight="1">
      <c r="A108" s="5"/>
      <c r="B108" s="7"/>
      <c r="C108" s="7"/>
      <c r="D108" s="7">
        <f t="shared" si="19"/>
        <v>7850.4000000000005</v>
      </c>
      <c r="E108" s="8"/>
      <c r="G108" s="5"/>
      <c r="H108" s="7"/>
      <c r="I108" s="7"/>
      <c r="J108" s="7">
        <f t="shared" si="20"/>
        <v>7850.4000000000005</v>
      </c>
      <c r="K108" s="8"/>
      <c r="M108" s="5"/>
      <c r="N108" s="7"/>
      <c r="O108" s="7"/>
      <c r="P108" s="7">
        <f t="shared" si="21"/>
        <v>7850.4000000000005</v>
      </c>
      <c r="Q108" s="8"/>
      <c r="S108" s="5"/>
      <c r="T108" s="7"/>
      <c r="U108" s="7"/>
      <c r="V108" s="7">
        <f t="shared" si="22"/>
        <v>7850.4000000000005</v>
      </c>
      <c r="W108" s="8"/>
      <c r="Y108" s="5"/>
      <c r="Z108" s="7"/>
      <c r="AA108" s="7"/>
      <c r="AB108" s="7">
        <f t="shared" si="23"/>
        <v>7850.4000000000005</v>
      </c>
      <c r="AC108" s="8"/>
      <c r="AE108" s="5"/>
      <c r="AF108" s="7"/>
      <c r="AG108" s="7"/>
      <c r="AH108" s="7">
        <f t="shared" si="24"/>
        <v>7850.4000000000005</v>
      </c>
      <c r="AI108" s="8"/>
    </row>
    <row r="109" spans="1:35" ht="14.25" customHeight="1">
      <c r="A109" s="5"/>
      <c r="B109" s="7"/>
      <c r="C109" s="7"/>
      <c r="D109" s="7">
        <f t="shared" si="19"/>
        <v>7850.4000000000005</v>
      </c>
      <c r="E109" s="8"/>
      <c r="G109" s="5"/>
      <c r="H109" s="7"/>
      <c r="I109" s="7"/>
      <c r="J109" s="7">
        <f t="shared" si="20"/>
        <v>7850.4000000000005</v>
      </c>
      <c r="K109" s="8"/>
      <c r="M109" s="5"/>
      <c r="N109" s="7"/>
      <c r="O109" s="7"/>
      <c r="P109" s="7">
        <f t="shared" si="21"/>
        <v>7850.4000000000005</v>
      </c>
      <c r="Q109" s="8"/>
      <c r="S109" s="5"/>
      <c r="T109" s="7"/>
      <c r="U109" s="7"/>
      <c r="V109" s="7">
        <f t="shared" si="22"/>
        <v>7850.4000000000005</v>
      </c>
      <c r="W109" s="8"/>
      <c r="Y109" s="5"/>
      <c r="Z109" s="7"/>
      <c r="AA109" s="7"/>
      <c r="AB109" s="7">
        <f t="shared" si="23"/>
        <v>7850.4000000000005</v>
      </c>
      <c r="AC109" s="8"/>
      <c r="AE109" s="5"/>
      <c r="AF109" s="7"/>
      <c r="AG109" s="7"/>
      <c r="AH109" s="7">
        <f t="shared" si="24"/>
        <v>7850.4000000000005</v>
      </c>
      <c r="AI109" s="8"/>
    </row>
    <row r="110" spans="1:35" ht="14.25" customHeight="1">
      <c r="A110" s="5"/>
      <c r="B110" s="7"/>
      <c r="C110" s="7"/>
      <c r="D110" s="7">
        <f t="shared" si="19"/>
        <v>7850.4000000000005</v>
      </c>
      <c r="E110" s="8"/>
      <c r="G110" s="5"/>
      <c r="H110" s="7"/>
      <c r="I110" s="7"/>
      <c r="J110" s="7">
        <f t="shared" si="20"/>
        <v>7850.4000000000005</v>
      </c>
      <c r="K110" s="8"/>
      <c r="M110" s="5"/>
      <c r="N110" s="7"/>
      <c r="O110" s="7"/>
      <c r="P110" s="7">
        <f t="shared" si="21"/>
        <v>7850.4000000000005</v>
      </c>
      <c r="Q110" s="8"/>
      <c r="S110" s="5"/>
      <c r="T110" s="7"/>
      <c r="U110" s="7"/>
      <c r="V110" s="7">
        <f t="shared" si="22"/>
        <v>7850.4000000000005</v>
      </c>
      <c r="W110" s="8"/>
      <c r="Y110" s="5"/>
      <c r="Z110" s="7"/>
      <c r="AA110" s="7"/>
      <c r="AB110" s="7">
        <f t="shared" si="23"/>
        <v>7850.4000000000005</v>
      </c>
      <c r="AC110" s="8"/>
      <c r="AE110" s="5"/>
      <c r="AF110" s="7"/>
      <c r="AG110" s="7"/>
      <c r="AH110" s="7">
        <f t="shared" si="24"/>
        <v>7850.4000000000005</v>
      </c>
      <c r="AI110" s="8"/>
    </row>
    <row r="111" spans="1:35" ht="14.25" customHeight="1">
      <c r="A111" s="5"/>
      <c r="B111" s="7"/>
      <c r="C111" s="7"/>
      <c r="D111" s="7">
        <f t="shared" si="19"/>
        <v>7850.4000000000005</v>
      </c>
      <c r="E111" s="8"/>
      <c r="G111" s="5"/>
      <c r="H111" s="7"/>
      <c r="I111" s="7"/>
      <c r="J111" s="7">
        <f t="shared" si="20"/>
        <v>7850.4000000000005</v>
      </c>
      <c r="K111" s="8"/>
      <c r="M111" s="5"/>
      <c r="N111" s="7"/>
      <c r="O111" s="7"/>
      <c r="P111" s="7">
        <f t="shared" si="21"/>
        <v>7850.4000000000005</v>
      </c>
      <c r="Q111" s="8"/>
      <c r="S111" s="5"/>
      <c r="T111" s="7"/>
      <c r="U111" s="7"/>
      <c r="V111" s="7">
        <f t="shared" si="22"/>
        <v>7850.4000000000005</v>
      </c>
      <c r="W111" s="8"/>
      <c r="Y111" s="5"/>
      <c r="Z111" s="7"/>
      <c r="AA111" s="7"/>
      <c r="AB111" s="7">
        <f t="shared" si="23"/>
        <v>7850.4000000000005</v>
      </c>
      <c r="AC111" s="8"/>
      <c r="AE111" s="5"/>
      <c r="AF111" s="7"/>
      <c r="AG111" s="7"/>
      <c r="AH111" s="7">
        <f t="shared" si="24"/>
        <v>7850.4000000000005</v>
      </c>
      <c r="AI111" s="8"/>
    </row>
    <row r="112" spans="1:35" ht="14.25" customHeight="1">
      <c r="A112" s="5"/>
      <c r="B112" s="7"/>
      <c r="C112" s="7"/>
      <c r="D112" s="7">
        <f t="shared" si="19"/>
        <v>7850.4000000000005</v>
      </c>
      <c r="E112" s="8"/>
      <c r="G112" s="5"/>
      <c r="H112" s="7"/>
      <c r="I112" s="7"/>
      <c r="J112" s="7">
        <f t="shared" si="20"/>
        <v>7850.4000000000005</v>
      </c>
      <c r="K112" s="8"/>
      <c r="M112" s="5"/>
      <c r="N112" s="7"/>
      <c r="O112" s="7"/>
      <c r="P112" s="7">
        <f t="shared" si="21"/>
        <v>7850.4000000000005</v>
      </c>
      <c r="Q112" s="8"/>
      <c r="S112" s="5"/>
      <c r="T112" s="7"/>
      <c r="U112" s="7"/>
      <c r="V112" s="7">
        <f t="shared" si="22"/>
        <v>7850.4000000000005</v>
      </c>
      <c r="W112" s="8"/>
      <c r="Y112" s="5"/>
      <c r="Z112" s="7"/>
      <c r="AA112" s="7"/>
      <c r="AB112" s="7">
        <f t="shared" si="23"/>
        <v>7850.4000000000005</v>
      </c>
      <c r="AC112" s="8"/>
      <c r="AE112" s="5"/>
      <c r="AF112" s="7"/>
      <c r="AG112" s="7"/>
      <c r="AH112" s="7">
        <f t="shared" si="24"/>
        <v>7850.4000000000005</v>
      </c>
      <c r="AI112" s="8"/>
    </row>
    <row r="113" spans="1:35" ht="14.25" customHeight="1">
      <c r="A113" s="5"/>
      <c r="B113" s="7"/>
      <c r="C113" s="7"/>
      <c r="D113" s="7">
        <f t="shared" si="19"/>
        <v>7850.4000000000005</v>
      </c>
      <c r="E113" s="8"/>
      <c r="G113" s="5"/>
      <c r="H113" s="7"/>
      <c r="I113" s="7"/>
      <c r="J113" s="7">
        <f t="shared" si="20"/>
        <v>7850.4000000000005</v>
      </c>
      <c r="K113" s="8"/>
      <c r="M113" s="5"/>
      <c r="N113" s="7"/>
      <c r="O113" s="7"/>
      <c r="P113" s="7">
        <f t="shared" si="21"/>
        <v>7850.4000000000005</v>
      </c>
      <c r="Q113" s="8"/>
      <c r="S113" s="5"/>
      <c r="T113" s="7"/>
      <c r="U113" s="7"/>
      <c r="V113" s="7">
        <f t="shared" si="22"/>
        <v>7850.4000000000005</v>
      </c>
      <c r="W113" s="8"/>
      <c r="Y113" s="5"/>
      <c r="Z113" s="7"/>
      <c r="AA113" s="7"/>
      <c r="AB113" s="7">
        <f t="shared" si="23"/>
        <v>7850.4000000000005</v>
      </c>
      <c r="AC113" s="8"/>
      <c r="AE113" s="5"/>
      <c r="AF113" s="7"/>
      <c r="AG113" s="7"/>
      <c r="AH113" s="7">
        <f t="shared" si="24"/>
        <v>7850.4000000000005</v>
      </c>
      <c r="AI113" s="8"/>
    </row>
    <row r="114" spans="1:35" ht="14.25" customHeight="1">
      <c r="A114" s="5"/>
      <c r="B114" s="7"/>
      <c r="C114" s="7"/>
      <c r="D114" s="7">
        <f t="shared" si="19"/>
        <v>7850.4000000000005</v>
      </c>
      <c r="E114" s="8"/>
      <c r="G114" s="5"/>
      <c r="H114" s="7"/>
      <c r="I114" s="7"/>
      <c r="J114" s="7">
        <f t="shared" si="20"/>
        <v>7850.4000000000005</v>
      </c>
      <c r="K114" s="8"/>
      <c r="M114" s="5"/>
      <c r="N114" s="7"/>
      <c r="O114" s="7"/>
      <c r="P114" s="7">
        <f t="shared" si="21"/>
        <v>7850.4000000000005</v>
      </c>
      <c r="Q114" s="8"/>
      <c r="S114" s="5"/>
      <c r="T114" s="7"/>
      <c r="U114" s="7"/>
      <c r="V114" s="7">
        <f t="shared" si="22"/>
        <v>7850.4000000000005</v>
      </c>
      <c r="W114" s="8"/>
      <c r="Y114" s="5"/>
      <c r="Z114" s="7"/>
      <c r="AA114" s="7"/>
      <c r="AB114" s="7">
        <f t="shared" si="23"/>
        <v>7850.4000000000005</v>
      </c>
      <c r="AC114" s="8"/>
      <c r="AE114" s="5"/>
      <c r="AF114" s="7"/>
      <c r="AG114" s="7"/>
      <c r="AH114" s="7">
        <f t="shared" si="24"/>
        <v>7850.4000000000005</v>
      </c>
      <c r="AI114" s="8"/>
    </row>
    <row r="115" spans="1:35" ht="14.25" customHeight="1">
      <c r="A115" s="5"/>
      <c r="B115" s="7"/>
      <c r="C115" s="7"/>
      <c r="D115" s="7">
        <f t="shared" si="19"/>
        <v>7850.4000000000005</v>
      </c>
      <c r="E115" s="8"/>
      <c r="G115" s="5"/>
      <c r="H115" s="7"/>
      <c r="I115" s="7"/>
      <c r="J115" s="7">
        <f t="shared" si="20"/>
        <v>7850.4000000000005</v>
      </c>
      <c r="K115" s="8"/>
      <c r="M115" s="5"/>
      <c r="N115" s="7"/>
      <c r="O115" s="7"/>
      <c r="P115" s="7">
        <f t="shared" si="21"/>
        <v>7850.4000000000005</v>
      </c>
      <c r="Q115" s="8"/>
      <c r="S115" s="5"/>
      <c r="T115" s="7"/>
      <c r="U115" s="7"/>
      <c r="V115" s="7">
        <f t="shared" si="22"/>
        <v>7850.4000000000005</v>
      </c>
      <c r="W115" s="8"/>
      <c r="Y115" s="5"/>
      <c r="Z115" s="7"/>
      <c r="AA115" s="7"/>
      <c r="AB115" s="7">
        <f t="shared" si="23"/>
        <v>7850.4000000000005</v>
      </c>
      <c r="AC115" s="8"/>
      <c r="AE115" s="5"/>
      <c r="AF115" s="7"/>
      <c r="AG115" s="7"/>
      <c r="AH115" s="7">
        <f t="shared" si="24"/>
        <v>7850.4000000000005</v>
      </c>
      <c r="AI115" s="8"/>
    </row>
    <row r="116" spans="1:35" ht="14.25" customHeight="1">
      <c r="A116" s="5"/>
      <c r="B116" s="7"/>
      <c r="C116" s="7"/>
      <c r="D116" s="7">
        <f t="shared" si="19"/>
        <v>7850.4000000000005</v>
      </c>
      <c r="E116" s="8"/>
      <c r="G116" s="5"/>
      <c r="H116" s="7"/>
      <c r="I116" s="7"/>
      <c r="J116" s="7">
        <f t="shared" si="20"/>
        <v>7850.4000000000005</v>
      </c>
      <c r="K116" s="8"/>
      <c r="M116" s="5"/>
      <c r="N116" s="7"/>
      <c r="O116" s="7"/>
      <c r="P116" s="7">
        <f t="shared" si="21"/>
        <v>7850.4000000000005</v>
      </c>
      <c r="Q116" s="8"/>
      <c r="S116" s="5"/>
      <c r="T116" s="7"/>
      <c r="U116" s="7"/>
      <c r="V116" s="7">
        <f t="shared" si="22"/>
        <v>7850.4000000000005</v>
      </c>
      <c r="W116" s="8"/>
      <c r="Y116" s="5"/>
      <c r="Z116" s="7"/>
      <c r="AA116" s="7"/>
      <c r="AB116" s="7">
        <f t="shared" si="23"/>
        <v>7850.4000000000005</v>
      </c>
      <c r="AC116" s="8"/>
      <c r="AE116" s="5"/>
      <c r="AF116" s="7"/>
      <c r="AG116" s="7"/>
      <c r="AH116" s="7">
        <f t="shared" si="24"/>
        <v>7850.4000000000005</v>
      </c>
      <c r="AI116" s="8"/>
    </row>
    <row r="117" spans="1:35" ht="14.25" customHeight="1">
      <c r="A117" s="5"/>
      <c r="B117" s="7"/>
      <c r="C117" s="7"/>
      <c r="D117" s="7">
        <f t="shared" si="19"/>
        <v>7850.4000000000005</v>
      </c>
      <c r="E117" s="8"/>
      <c r="G117" s="5"/>
      <c r="H117" s="7"/>
      <c r="I117" s="7"/>
      <c r="J117" s="7">
        <f t="shared" si="20"/>
        <v>7850.4000000000005</v>
      </c>
      <c r="K117" s="8"/>
      <c r="M117" s="5"/>
      <c r="N117" s="7"/>
      <c r="O117" s="7"/>
      <c r="P117" s="7">
        <f t="shared" si="21"/>
        <v>7850.4000000000005</v>
      </c>
      <c r="Q117" s="8"/>
      <c r="S117" s="5"/>
      <c r="T117" s="7"/>
      <c r="U117" s="7"/>
      <c r="V117" s="7">
        <f t="shared" si="22"/>
        <v>7850.4000000000005</v>
      </c>
      <c r="W117" s="8"/>
      <c r="Y117" s="5"/>
      <c r="Z117" s="7"/>
      <c r="AA117" s="7"/>
      <c r="AB117" s="7">
        <f t="shared" si="23"/>
        <v>7850.4000000000005</v>
      </c>
      <c r="AC117" s="8"/>
      <c r="AE117" s="5"/>
      <c r="AF117" s="7"/>
      <c r="AG117" s="7"/>
      <c r="AH117" s="7">
        <f t="shared" si="24"/>
        <v>7850.4000000000005</v>
      </c>
      <c r="AI117" s="8"/>
    </row>
    <row r="118" spans="1:35" ht="14.25" customHeight="1">
      <c r="A118" s="5"/>
      <c r="B118" s="7"/>
      <c r="C118" s="7"/>
      <c r="D118" s="7">
        <f t="shared" si="19"/>
        <v>7850.4000000000005</v>
      </c>
      <c r="E118" s="8"/>
      <c r="G118" s="5"/>
      <c r="H118" s="7"/>
      <c r="I118" s="7"/>
      <c r="J118" s="7">
        <f t="shared" si="20"/>
        <v>7850.4000000000005</v>
      </c>
      <c r="K118" s="8"/>
      <c r="M118" s="5"/>
      <c r="N118" s="7"/>
      <c r="O118" s="7"/>
      <c r="P118" s="7">
        <f t="shared" si="21"/>
        <v>7850.4000000000005</v>
      </c>
      <c r="Q118" s="8"/>
      <c r="S118" s="5"/>
      <c r="T118" s="7"/>
      <c r="U118" s="7"/>
      <c r="V118" s="7">
        <f t="shared" si="22"/>
        <v>7850.4000000000005</v>
      </c>
      <c r="W118" s="8"/>
      <c r="Y118" s="5"/>
      <c r="Z118" s="7"/>
      <c r="AA118" s="7"/>
      <c r="AB118" s="7">
        <f t="shared" si="23"/>
        <v>7850.4000000000005</v>
      </c>
      <c r="AC118" s="8"/>
      <c r="AE118" s="5"/>
      <c r="AF118" s="7"/>
      <c r="AG118" s="7"/>
      <c r="AH118" s="7">
        <f t="shared" si="24"/>
        <v>7850.4000000000005</v>
      </c>
      <c r="AI118" s="8"/>
    </row>
    <row r="119" spans="1:35" ht="14.25" customHeight="1">
      <c r="A119" s="5"/>
      <c r="B119" s="7"/>
      <c r="C119" s="7"/>
      <c r="D119" s="7">
        <f t="shared" si="19"/>
        <v>7850.4000000000005</v>
      </c>
      <c r="E119" s="8"/>
      <c r="G119" s="5"/>
      <c r="H119" s="7"/>
      <c r="I119" s="7"/>
      <c r="J119" s="7">
        <f t="shared" si="20"/>
        <v>7850.4000000000005</v>
      </c>
      <c r="K119" s="8"/>
      <c r="M119" s="5"/>
      <c r="N119" s="7"/>
      <c r="O119" s="7"/>
      <c r="P119" s="7">
        <f t="shared" si="21"/>
        <v>7850.4000000000005</v>
      </c>
      <c r="Q119" s="8"/>
      <c r="S119" s="5"/>
      <c r="T119" s="7"/>
      <c r="U119" s="7"/>
      <c r="V119" s="7">
        <f t="shared" si="22"/>
        <v>7850.4000000000005</v>
      </c>
      <c r="W119" s="8"/>
      <c r="Y119" s="5"/>
      <c r="Z119" s="7"/>
      <c r="AA119" s="7"/>
      <c r="AB119" s="7">
        <f t="shared" si="23"/>
        <v>7850.4000000000005</v>
      </c>
      <c r="AC119" s="8"/>
      <c r="AE119" s="5"/>
      <c r="AF119" s="7"/>
      <c r="AG119" s="7"/>
      <c r="AH119" s="7">
        <f t="shared" si="24"/>
        <v>7850.4000000000005</v>
      </c>
      <c r="AI119" s="8"/>
    </row>
    <row r="120" spans="1:35" ht="14.25" customHeight="1">
      <c r="A120" s="5"/>
      <c r="B120" s="7"/>
      <c r="C120" s="7"/>
      <c r="D120" s="7">
        <f t="shared" si="19"/>
        <v>7850.4000000000005</v>
      </c>
      <c r="E120" s="8"/>
      <c r="G120" s="5"/>
      <c r="H120" s="7"/>
      <c r="I120" s="7"/>
      <c r="J120" s="7">
        <f t="shared" si="20"/>
        <v>7850.4000000000005</v>
      </c>
      <c r="K120" s="8"/>
      <c r="M120" s="5"/>
      <c r="N120" s="7"/>
      <c r="O120" s="7"/>
      <c r="P120" s="7">
        <f t="shared" si="21"/>
        <v>7850.4000000000005</v>
      </c>
      <c r="Q120" s="8"/>
      <c r="S120" s="5"/>
      <c r="T120" s="7"/>
      <c r="U120" s="7"/>
      <c r="V120" s="7">
        <f t="shared" si="22"/>
        <v>7850.4000000000005</v>
      </c>
      <c r="W120" s="8"/>
      <c r="Y120" s="5"/>
      <c r="Z120" s="7"/>
      <c r="AA120" s="7"/>
      <c r="AB120" s="7">
        <f t="shared" si="23"/>
        <v>7850.4000000000005</v>
      </c>
      <c r="AC120" s="8"/>
      <c r="AE120" s="5"/>
      <c r="AF120" s="7"/>
      <c r="AG120" s="7"/>
      <c r="AH120" s="7">
        <f t="shared" si="24"/>
        <v>7850.4000000000005</v>
      </c>
      <c r="AI120" s="8"/>
    </row>
    <row r="121" spans="1:35" ht="14.25" customHeight="1">
      <c r="A121" s="5"/>
      <c r="B121" s="7"/>
      <c r="C121" s="7"/>
      <c r="D121" s="7">
        <f t="shared" si="19"/>
        <v>7850.4000000000005</v>
      </c>
      <c r="E121" s="8"/>
      <c r="G121" s="5"/>
      <c r="H121" s="7"/>
      <c r="I121" s="7"/>
      <c r="J121" s="7">
        <f t="shared" si="20"/>
        <v>7850.4000000000005</v>
      </c>
      <c r="K121" s="8"/>
      <c r="M121" s="5"/>
      <c r="N121" s="7"/>
      <c r="O121" s="7"/>
      <c r="P121" s="7">
        <f t="shared" si="21"/>
        <v>7850.4000000000005</v>
      </c>
      <c r="Q121" s="8"/>
      <c r="S121" s="5"/>
      <c r="T121" s="7"/>
      <c r="U121" s="7"/>
      <c r="V121" s="7">
        <f t="shared" si="22"/>
        <v>7850.4000000000005</v>
      </c>
      <c r="W121" s="8"/>
      <c r="Y121" s="5"/>
      <c r="Z121" s="7"/>
      <c r="AA121" s="7"/>
      <c r="AB121" s="7">
        <f t="shared" si="23"/>
        <v>7850.4000000000005</v>
      </c>
      <c r="AC121" s="8"/>
      <c r="AE121" s="5"/>
      <c r="AF121" s="7"/>
      <c r="AG121" s="7"/>
      <c r="AH121" s="7">
        <f t="shared" si="24"/>
        <v>7850.4000000000005</v>
      </c>
      <c r="AI121" s="8"/>
    </row>
    <row r="122" spans="1:35" ht="14.25" customHeight="1">
      <c r="A122" s="5"/>
      <c r="B122" s="7"/>
      <c r="C122" s="7"/>
      <c r="D122" s="7">
        <f t="shared" si="19"/>
        <v>7850.4000000000005</v>
      </c>
      <c r="E122" s="8"/>
      <c r="G122" s="5"/>
      <c r="H122" s="7"/>
      <c r="I122" s="7"/>
      <c r="J122" s="7">
        <f t="shared" si="20"/>
        <v>7850.4000000000005</v>
      </c>
      <c r="K122" s="8"/>
      <c r="M122" s="5"/>
      <c r="N122" s="7"/>
      <c r="O122" s="7"/>
      <c r="P122" s="7">
        <f t="shared" si="21"/>
        <v>7850.4000000000005</v>
      </c>
      <c r="Q122" s="8"/>
      <c r="S122" s="5"/>
      <c r="T122" s="7"/>
      <c r="U122" s="7"/>
      <c r="V122" s="7">
        <f t="shared" si="22"/>
        <v>7850.4000000000005</v>
      </c>
      <c r="W122" s="8"/>
      <c r="Y122" s="5"/>
      <c r="Z122" s="7"/>
      <c r="AA122" s="7"/>
      <c r="AB122" s="7">
        <f t="shared" si="23"/>
        <v>7850.4000000000005</v>
      </c>
      <c r="AC122" s="8"/>
      <c r="AE122" s="5"/>
      <c r="AF122" s="7"/>
      <c r="AG122" s="7"/>
      <c r="AH122" s="7">
        <f t="shared" si="24"/>
        <v>7850.4000000000005</v>
      </c>
      <c r="AI122" s="8"/>
    </row>
    <row r="123" spans="1:35" ht="14.25" customHeight="1">
      <c r="A123" s="5"/>
      <c r="B123" s="7"/>
      <c r="C123" s="7"/>
      <c r="D123" s="7">
        <f t="shared" si="19"/>
        <v>7850.4000000000005</v>
      </c>
      <c r="E123" s="8"/>
      <c r="G123" s="5"/>
      <c r="H123" s="7"/>
      <c r="I123" s="7"/>
      <c r="J123" s="7">
        <f t="shared" si="20"/>
        <v>7850.4000000000005</v>
      </c>
      <c r="K123" s="8"/>
      <c r="M123" s="5"/>
      <c r="N123" s="7"/>
      <c r="O123" s="7"/>
      <c r="P123" s="7">
        <f t="shared" si="21"/>
        <v>7850.4000000000005</v>
      </c>
      <c r="Q123" s="8"/>
      <c r="S123" s="5"/>
      <c r="T123" s="7"/>
      <c r="U123" s="7"/>
      <c r="V123" s="7">
        <f t="shared" si="22"/>
        <v>7850.4000000000005</v>
      </c>
      <c r="W123" s="8"/>
      <c r="Y123" s="5"/>
      <c r="Z123" s="7"/>
      <c r="AA123" s="7"/>
      <c r="AB123" s="7">
        <f t="shared" si="23"/>
        <v>7850.4000000000005</v>
      </c>
      <c r="AC123" s="8"/>
      <c r="AE123" s="5"/>
      <c r="AF123" s="7"/>
      <c r="AG123" s="7"/>
      <c r="AH123" s="7">
        <f t="shared" si="24"/>
        <v>7850.4000000000005</v>
      </c>
      <c r="AI123" s="8"/>
    </row>
    <row r="124" spans="1:35" ht="14.25" customHeight="1">
      <c r="A124" s="5"/>
      <c r="B124" s="7"/>
      <c r="C124" s="7"/>
      <c r="D124" s="7">
        <f t="shared" si="19"/>
        <v>7850.4000000000005</v>
      </c>
      <c r="E124" s="8"/>
      <c r="G124" s="5"/>
      <c r="H124" s="7"/>
      <c r="I124" s="7"/>
      <c r="J124" s="7">
        <f t="shared" si="20"/>
        <v>7850.4000000000005</v>
      </c>
      <c r="K124" s="8"/>
      <c r="M124" s="5"/>
      <c r="N124" s="7"/>
      <c r="O124" s="7"/>
      <c r="P124" s="7">
        <f t="shared" si="21"/>
        <v>7850.4000000000005</v>
      </c>
      <c r="Q124" s="8"/>
      <c r="S124" s="5"/>
      <c r="T124" s="7"/>
      <c r="U124" s="7"/>
      <c r="V124" s="7">
        <f t="shared" si="22"/>
        <v>7850.4000000000005</v>
      </c>
      <c r="W124" s="8"/>
      <c r="Y124" s="5"/>
      <c r="Z124" s="7"/>
      <c r="AA124" s="7"/>
      <c r="AB124" s="7">
        <f t="shared" si="23"/>
        <v>7850.4000000000005</v>
      </c>
      <c r="AC124" s="8"/>
      <c r="AE124" s="5"/>
      <c r="AF124" s="7"/>
      <c r="AG124" s="7"/>
      <c r="AH124" s="7">
        <f t="shared" si="24"/>
        <v>7850.4000000000005</v>
      </c>
      <c r="AI124" s="8"/>
    </row>
    <row r="125" spans="1:35" ht="14.25" customHeight="1">
      <c r="A125" s="5"/>
      <c r="B125" s="7"/>
      <c r="C125" s="7"/>
      <c r="D125" s="7">
        <f t="shared" si="19"/>
        <v>7850.4000000000005</v>
      </c>
      <c r="E125" s="8"/>
      <c r="G125" s="5"/>
      <c r="H125" s="7"/>
      <c r="I125" s="7"/>
      <c r="J125" s="7">
        <f t="shared" si="20"/>
        <v>7850.4000000000005</v>
      </c>
      <c r="K125" s="8"/>
      <c r="M125" s="5"/>
      <c r="N125" s="7"/>
      <c r="O125" s="7"/>
      <c r="P125" s="7">
        <f t="shared" si="21"/>
        <v>7850.4000000000005</v>
      </c>
      <c r="Q125" s="8"/>
      <c r="S125" s="5"/>
      <c r="T125" s="7"/>
      <c r="U125" s="7"/>
      <c r="V125" s="7">
        <f t="shared" si="22"/>
        <v>7850.4000000000005</v>
      </c>
      <c r="W125" s="8"/>
      <c r="Y125" s="5"/>
      <c r="Z125" s="7"/>
      <c r="AA125" s="7"/>
      <c r="AB125" s="7">
        <f t="shared" si="23"/>
        <v>7850.4000000000005</v>
      </c>
      <c r="AC125" s="8"/>
      <c r="AE125" s="5"/>
      <c r="AF125" s="7"/>
      <c r="AG125" s="7"/>
      <c r="AH125" s="7">
        <f t="shared" si="24"/>
        <v>7850.4000000000005</v>
      </c>
      <c r="AI125" s="8"/>
    </row>
    <row r="126" spans="1:35" ht="14.25" customHeight="1">
      <c r="A126" s="5"/>
      <c r="B126" s="7"/>
      <c r="C126" s="7"/>
      <c r="D126" s="7">
        <f t="shared" si="19"/>
        <v>7850.4000000000005</v>
      </c>
      <c r="E126" s="8"/>
      <c r="G126" s="5"/>
      <c r="H126" s="7"/>
      <c r="I126" s="7"/>
      <c r="J126" s="7">
        <f t="shared" si="20"/>
        <v>7850.4000000000005</v>
      </c>
      <c r="K126" s="8"/>
      <c r="M126" s="5"/>
      <c r="N126" s="7"/>
      <c r="O126" s="7"/>
      <c r="P126" s="7">
        <f t="shared" si="21"/>
        <v>7850.4000000000005</v>
      </c>
      <c r="Q126" s="8"/>
      <c r="S126" s="5"/>
      <c r="T126" s="7"/>
      <c r="U126" s="7"/>
      <c r="V126" s="7">
        <f t="shared" si="22"/>
        <v>7850.4000000000005</v>
      </c>
      <c r="W126" s="8"/>
      <c r="Y126" s="5"/>
      <c r="Z126" s="7"/>
      <c r="AA126" s="7"/>
      <c r="AB126" s="7">
        <f t="shared" si="23"/>
        <v>7850.4000000000005</v>
      </c>
      <c r="AC126" s="8"/>
      <c r="AE126" s="5"/>
      <c r="AF126" s="7"/>
      <c r="AG126" s="7"/>
      <c r="AH126" s="7">
        <f t="shared" si="24"/>
        <v>7850.4000000000005</v>
      </c>
      <c r="AI126" s="8"/>
    </row>
    <row r="127" spans="1:35" ht="14.25" customHeight="1">
      <c r="A127" s="5"/>
      <c r="B127" s="7"/>
      <c r="C127" s="7"/>
      <c r="D127" s="7">
        <f t="shared" si="19"/>
        <v>7850.4000000000005</v>
      </c>
      <c r="E127" s="8"/>
      <c r="G127" s="5"/>
      <c r="H127" s="7"/>
      <c r="I127" s="7"/>
      <c r="J127" s="7">
        <f t="shared" si="20"/>
        <v>7850.4000000000005</v>
      </c>
      <c r="K127" s="8"/>
      <c r="M127" s="5"/>
      <c r="N127" s="7"/>
      <c r="O127" s="7"/>
      <c r="P127" s="7">
        <f t="shared" si="21"/>
        <v>7850.4000000000005</v>
      </c>
      <c r="Q127" s="8"/>
      <c r="S127" s="5"/>
      <c r="T127" s="7"/>
      <c r="U127" s="7"/>
      <c r="V127" s="7">
        <f t="shared" si="22"/>
        <v>7850.4000000000005</v>
      </c>
      <c r="W127" s="8"/>
      <c r="Y127" s="5"/>
      <c r="Z127" s="7"/>
      <c r="AA127" s="7"/>
      <c r="AB127" s="7">
        <f t="shared" si="23"/>
        <v>7850.4000000000005</v>
      </c>
      <c r="AC127" s="8"/>
      <c r="AE127" s="5"/>
      <c r="AF127" s="7"/>
      <c r="AG127" s="7"/>
      <c r="AH127" s="7"/>
      <c r="AI127" s="8"/>
    </row>
    <row r="128" spans="1:35" ht="14.25" customHeight="1">
      <c r="A128" s="5"/>
      <c r="B128" s="7"/>
      <c r="C128" s="7"/>
      <c r="D128" s="7"/>
      <c r="E128" s="8"/>
      <c r="G128" s="5"/>
      <c r="H128" s="7"/>
      <c r="I128" s="7"/>
      <c r="J128" s="7"/>
      <c r="K128" s="8"/>
      <c r="M128" s="5"/>
      <c r="N128" s="7"/>
      <c r="O128" s="7"/>
      <c r="P128" s="7"/>
      <c r="Q128" s="8"/>
      <c r="S128" s="5"/>
      <c r="T128" s="7"/>
      <c r="U128" s="7"/>
      <c r="V128" s="7"/>
      <c r="W128" s="8"/>
      <c r="Y128" s="5"/>
      <c r="Z128" s="7"/>
      <c r="AA128" s="7"/>
      <c r="AB128" s="7"/>
      <c r="AC128" s="8"/>
      <c r="AE128" s="5"/>
      <c r="AF128" s="7"/>
      <c r="AG128" s="7"/>
      <c r="AH128" s="7"/>
      <c r="AI128" s="8"/>
    </row>
    <row r="129" spans="2:39" ht="14.25" customHeight="1">
      <c r="B129" s="15">
        <f t="shared" ref="B129:C129" si="25">SUM(B84:B128)</f>
        <v>0</v>
      </c>
      <c r="C129" s="15">
        <f t="shared" si="25"/>
        <v>2881.45</v>
      </c>
      <c r="D129" s="15">
        <f>B129-C129</f>
        <v>-2881.45</v>
      </c>
      <c r="E129" s="13"/>
      <c r="H129" s="15">
        <f t="shared" ref="H129:I129" si="26">SUM(H84:H128)</f>
        <v>0</v>
      </c>
      <c r="I129" s="15">
        <f t="shared" si="26"/>
        <v>0</v>
      </c>
      <c r="J129" s="15">
        <f>H129-I129</f>
        <v>0</v>
      </c>
      <c r="K129" s="13"/>
      <c r="N129" s="15">
        <f t="shared" ref="N129:O129" si="27">SUM(N84:N128)</f>
        <v>0</v>
      </c>
      <c r="O129" s="15">
        <f t="shared" si="27"/>
        <v>0</v>
      </c>
      <c r="P129" s="15">
        <f>N129-O129</f>
        <v>0</v>
      </c>
      <c r="Q129" s="13"/>
      <c r="T129" s="15">
        <f t="shared" ref="T129:U129" si="28">SUM(T84:T128)</f>
        <v>0</v>
      </c>
      <c r="U129" s="15">
        <f t="shared" si="28"/>
        <v>0</v>
      </c>
      <c r="V129" s="15">
        <f>T129-U129</f>
        <v>0</v>
      </c>
      <c r="W129" s="13"/>
      <c r="Z129" s="15">
        <f t="shared" ref="Z129:AA129" si="29">SUM(Z84:Z128)</f>
        <v>0</v>
      </c>
      <c r="AA129" s="15">
        <f t="shared" si="29"/>
        <v>0</v>
      </c>
      <c r="AB129" s="15">
        <f>Z129-AA129</f>
        <v>0</v>
      </c>
      <c r="AC129" s="13"/>
      <c r="AF129" s="15">
        <f t="shared" ref="AF129:AG129" si="30">SUM(AF84:AF128)</f>
        <v>0</v>
      </c>
      <c r="AG129" s="15">
        <f t="shared" si="30"/>
        <v>0</v>
      </c>
      <c r="AH129" s="15">
        <f>AF129-AG129</f>
        <v>0</v>
      </c>
      <c r="AI129" s="13"/>
    </row>
    <row r="130" spans="2:39" ht="14.25" customHeight="1">
      <c r="B130" s="15"/>
      <c r="C130" s="15"/>
      <c r="D130" s="15">
        <f>D83+D129</f>
        <v>7850.4000000000005</v>
      </c>
      <c r="E130" s="13"/>
      <c r="H130" s="15"/>
      <c r="I130" s="15"/>
      <c r="J130" s="15">
        <f>J83+J129</f>
        <v>7850.4000000000005</v>
      </c>
      <c r="K130" s="13"/>
      <c r="N130" s="15"/>
      <c r="O130" s="15"/>
      <c r="P130" s="15">
        <f>P83+P129</f>
        <v>7850.4000000000005</v>
      </c>
      <c r="Q130" s="13"/>
      <c r="T130" s="15"/>
      <c r="U130" s="15"/>
      <c r="V130" s="15">
        <f>V83+V129</f>
        <v>7850.4000000000005</v>
      </c>
      <c r="W130" s="13"/>
      <c r="Z130" s="15"/>
      <c r="AA130" s="15"/>
      <c r="AB130" s="15"/>
      <c r="AC130" s="13"/>
      <c r="AF130" s="15"/>
      <c r="AG130" s="15"/>
      <c r="AH130" s="15"/>
      <c r="AI130" s="13"/>
    </row>
    <row r="131" spans="2:39" ht="14.25" customHeight="1">
      <c r="B131" s="15"/>
      <c r="C131" s="15"/>
      <c r="D131" s="15"/>
      <c r="E131" s="13"/>
      <c r="H131" s="15"/>
      <c r="I131" s="15"/>
      <c r="J131" s="15"/>
      <c r="K131" s="13"/>
      <c r="N131" s="15"/>
      <c r="O131" s="15"/>
      <c r="P131" s="15"/>
      <c r="Q131" s="13"/>
      <c r="T131" s="15"/>
      <c r="U131" s="15"/>
      <c r="V131" s="15"/>
      <c r="W131" s="13"/>
      <c r="Z131" s="15"/>
      <c r="AA131" s="15"/>
      <c r="AB131" s="15"/>
      <c r="AC131" s="13"/>
      <c r="AF131" s="15"/>
      <c r="AG131" s="15"/>
      <c r="AH131" s="15"/>
      <c r="AI131" s="13"/>
    </row>
    <row r="132" spans="2:39" ht="14.25" customHeight="1">
      <c r="B132" s="50">
        <v>46204</v>
      </c>
      <c r="C132" s="48"/>
      <c r="D132" s="49"/>
      <c r="E132" s="18"/>
      <c r="H132" s="50">
        <v>46235</v>
      </c>
      <c r="I132" s="48"/>
      <c r="J132" s="49"/>
      <c r="K132" s="18"/>
      <c r="N132" s="50">
        <v>46266</v>
      </c>
      <c r="O132" s="48"/>
      <c r="P132" s="49"/>
      <c r="Q132" s="18"/>
      <c r="T132" s="47">
        <v>46296</v>
      </c>
      <c r="U132" s="48"/>
      <c r="V132" s="49"/>
      <c r="W132" s="18"/>
      <c r="Z132" s="47">
        <v>46327</v>
      </c>
      <c r="AA132" s="48"/>
      <c r="AB132" s="49"/>
      <c r="AC132" s="18"/>
      <c r="AF132" s="47">
        <v>46357</v>
      </c>
      <c r="AG132" s="48"/>
      <c r="AH132" s="49"/>
      <c r="AI132" s="18"/>
      <c r="AK132" s="4"/>
      <c r="AL132" s="4" t="s">
        <v>5</v>
      </c>
      <c r="AM132" s="25" t="s">
        <v>36</v>
      </c>
    </row>
    <row r="133" spans="2:39" ht="14.25" customHeight="1">
      <c r="B133" s="20">
        <v>1</v>
      </c>
      <c r="C133" s="20" t="s">
        <v>7</v>
      </c>
      <c r="D133" s="20">
        <f t="shared" ref="D133:D153" si="31">SUMIF(E$83:E$128,$C133,C$83:C$128)</f>
        <v>6.5</v>
      </c>
      <c r="H133" s="20">
        <v>1</v>
      </c>
      <c r="I133" s="20" t="s">
        <v>7</v>
      </c>
      <c r="J133" s="20">
        <f t="shared" ref="J133:J153" si="32">SUMIF(K$83:K$128,$I133,I$83:I$128)</f>
        <v>0</v>
      </c>
      <c r="N133" s="20">
        <v>1</v>
      </c>
      <c r="O133" s="20" t="s">
        <v>7</v>
      </c>
      <c r="P133" s="20">
        <f t="shared" ref="P133:P153" si="33">SUMIF(Q$83:Q$128,$O133,O$83:O$128)</f>
        <v>0</v>
      </c>
      <c r="T133" s="20">
        <v>1</v>
      </c>
      <c r="U133" s="20" t="s">
        <v>7</v>
      </c>
      <c r="V133" s="20">
        <f t="shared" ref="V133:V153" si="34">SUMIF(W$83:W$128,$U133,U$83:U$128)</f>
        <v>0</v>
      </c>
      <c r="Z133" s="20">
        <v>1</v>
      </c>
      <c r="AA133" s="20" t="s">
        <v>7</v>
      </c>
      <c r="AB133" s="20">
        <f t="shared" ref="AB133:AB153" si="35">SUMIF(AC$83:AC$128,$AA133,AA$83:AA$128)</f>
        <v>0</v>
      </c>
      <c r="AF133" s="20">
        <v>1</v>
      </c>
      <c r="AG133" s="20" t="s">
        <v>7</v>
      </c>
      <c r="AH133" s="20">
        <f t="shared" ref="AH133:AH153" si="36">SUMIF(AI$83:AI$128,$AG133,AG$83:AG$128)</f>
        <v>0</v>
      </c>
      <c r="AK133" s="4">
        <v>1</v>
      </c>
      <c r="AL133" s="4" t="s">
        <v>7</v>
      </c>
      <c r="AM133" s="21">
        <f t="shared" ref="AM133:AM153" si="37">SUMIF($C$83:$C$128,$AL133,$D$83:$D$128)+SUMIF($I$83:$I$128,$AL133,$J$83:$J$128)+SUMIF($O$83:$O$128,$AL133,$P$83:$P$128)+SUMIF($U$83:$U$128,$AL133,$V$83:$V$128)+SUMIF($AA$83:$AA$128,$AL133,$AB$83:$AB$128)+SUMIF($AG$83:$AG$128,$AL133,$AH$83:$AH$128)</f>
        <v>0</v>
      </c>
    </row>
    <row r="134" spans="2:39" ht="14.25" customHeight="1">
      <c r="B134" s="20">
        <v>2</v>
      </c>
      <c r="C134" s="20" t="s">
        <v>8</v>
      </c>
      <c r="D134" s="20">
        <f t="shared" si="31"/>
        <v>140</v>
      </c>
      <c r="H134" s="20">
        <v>2</v>
      </c>
      <c r="I134" s="20" t="s">
        <v>8</v>
      </c>
      <c r="J134" s="20">
        <f t="shared" si="32"/>
        <v>0</v>
      </c>
      <c r="N134" s="20">
        <v>2</v>
      </c>
      <c r="O134" s="20" t="s">
        <v>8</v>
      </c>
      <c r="P134" s="20">
        <f t="shared" si="33"/>
        <v>0</v>
      </c>
      <c r="T134" s="20">
        <v>2</v>
      </c>
      <c r="U134" s="20" t="s">
        <v>8</v>
      </c>
      <c r="V134" s="20">
        <f t="shared" si="34"/>
        <v>0</v>
      </c>
      <c r="Z134" s="20">
        <v>2</v>
      </c>
      <c r="AA134" s="20" t="s">
        <v>8</v>
      </c>
      <c r="AB134" s="20">
        <f t="shared" si="35"/>
        <v>0</v>
      </c>
      <c r="AF134" s="20">
        <v>2</v>
      </c>
      <c r="AG134" s="20" t="s">
        <v>8</v>
      </c>
      <c r="AH134" s="20">
        <f t="shared" si="36"/>
        <v>0</v>
      </c>
      <c r="AK134" s="4">
        <v>2</v>
      </c>
      <c r="AL134" s="4" t="s">
        <v>8</v>
      </c>
      <c r="AM134" s="21">
        <f t="shared" si="37"/>
        <v>0</v>
      </c>
    </row>
    <row r="135" spans="2:39" ht="14.25" customHeight="1">
      <c r="B135" s="20">
        <v>3</v>
      </c>
      <c r="C135" s="20" t="s">
        <v>13</v>
      </c>
      <c r="D135" s="20">
        <f t="shared" si="31"/>
        <v>221.5</v>
      </c>
      <c r="H135" s="20">
        <v>3</v>
      </c>
      <c r="I135" s="20" t="s">
        <v>13</v>
      </c>
      <c r="J135" s="20">
        <f t="shared" si="32"/>
        <v>0</v>
      </c>
      <c r="N135" s="20">
        <v>3</v>
      </c>
      <c r="O135" s="20" t="s">
        <v>13</v>
      </c>
      <c r="P135" s="20">
        <f t="shared" si="33"/>
        <v>0</v>
      </c>
      <c r="T135" s="20">
        <v>3</v>
      </c>
      <c r="U135" s="20" t="s">
        <v>13</v>
      </c>
      <c r="V135" s="20">
        <f t="shared" si="34"/>
        <v>0</v>
      </c>
      <c r="Z135" s="20">
        <v>3</v>
      </c>
      <c r="AA135" s="20" t="s">
        <v>13</v>
      </c>
      <c r="AB135" s="20">
        <f t="shared" si="35"/>
        <v>0</v>
      </c>
      <c r="AF135" s="20">
        <v>3</v>
      </c>
      <c r="AG135" s="20" t="s">
        <v>13</v>
      </c>
      <c r="AH135" s="20">
        <f t="shared" si="36"/>
        <v>0</v>
      </c>
      <c r="AK135" s="4">
        <v>3</v>
      </c>
      <c r="AL135" s="4" t="s">
        <v>13</v>
      </c>
      <c r="AM135" s="21">
        <f t="shared" si="37"/>
        <v>0</v>
      </c>
    </row>
    <row r="136" spans="2:39" ht="14.25" customHeight="1">
      <c r="B136" s="20">
        <v>4</v>
      </c>
      <c r="C136" s="20" t="s">
        <v>10</v>
      </c>
      <c r="D136" s="20">
        <f t="shared" si="31"/>
        <v>65</v>
      </c>
      <c r="H136" s="20">
        <v>4</v>
      </c>
      <c r="I136" s="20" t="s">
        <v>10</v>
      </c>
      <c r="J136" s="20">
        <f t="shared" si="32"/>
        <v>0</v>
      </c>
      <c r="N136" s="20">
        <v>4</v>
      </c>
      <c r="O136" s="20" t="s">
        <v>10</v>
      </c>
      <c r="P136" s="20">
        <f t="shared" si="33"/>
        <v>0</v>
      </c>
      <c r="T136" s="20">
        <v>4</v>
      </c>
      <c r="U136" s="20" t="s">
        <v>10</v>
      </c>
      <c r="V136" s="20">
        <f t="shared" si="34"/>
        <v>0</v>
      </c>
      <c r="Z136" s="20">
        <v>4</v>
      </c>
      <c r="AA136" s="20" t="s">
        <v>10</v>
      </c>
      <c r="AB136" s="20">
        <f t="shared" si="35"/>
        <v>0</v>
      </c>
      <c r="AF136" s="20">
        <v>4</v>
      </c>
      <c r="AG136" s="20" t="s">
        <v>10</v>
      </c>
      <c r="AH136" s="20">
        <f t="shared" si="36"/>
        <v>0</v>
      </c>
      <c r="AK136" s="4">
        <v>4</v>
      </c>
      <c r="AL136" s="4" t="s">
        <v>10</v>
      </c>
      <c r="AM136" s="21">
        <f t="shared" si="37"/>
        <v>0</v>
      </c>
    </row>
    <row r="137" spans="2:39" ht="14.25" customHeight="1">
      <c r="B137" s="20">
        <v>5</v>
      </c>
      <c r="C137" s="20" t="s">
        <v>15</v>
      </c>
      <c r="D137" s="20">
        <f t="shared" si="31"/>
        <v>814.55</v>
      </c>
      <c r="H137" s="20">
        <v>5</v>
      </c>
      <c r="I137" s="20" t="s">
        <v>15</v>
      </c>
      <c r="J137" s="20">
        <f t="shared" si="32"/>
        <v>0</v>
      </c>
      <c r="N137" s="20">
        <v>5</v>
      </c>
      <c r="O137" s="20" t="s">
        <v>15</v>
      </c>
      <c r="P137" s="20">
        <f t="shared" si="33"/>
        <v>0</v>
      </c>
      <c r="T137" s="20">
        <v>5</v>
      </c>
      <c r="U137" s="20" t="s">
        <v>15</v>
      </c>
      <c r="V137" s="20">
        <f t="shared" si="34"/>
        <v>0</v>
      </c>
      <c r="Z137" s="20">
        <v>5</v>
      </c>
      <c r="AA137" s="20" t="s">
        <v>15</v>
      </c>
      <c r="AB137" s="20">
        <f t="shared" si="35"/>
        <v>0</v>
      </c>
      <c r="AF137" s="20">
        <v>5</v>
      </c>
      <c r="AG137" s="20" t="s">
        <v>15</v>
      </c>
      <c r="AH137" s="20">
        <f t="shared" si="36"/>
        <v>0</v>
      </c>
      <c r="AK137" s="4">
        <v>5</v>
      </c>
      <c r="AL137" s="4" t="s">
        <v>15</v>
      </c>
      <c r="AM137" s="21">
        <f t="shared" si="37"/>
        <v>0</v>
      </c>
    </row>
    <row r="138" spans="2:39" ht="14.25" customHeight="1">
      <c r="B138" s="20">
        <v>6</v>
      </c>
      <c r="C138" s="20" t="s">
        <v>17</v>
      </c>
      <c r="D138" s="20">
        <f t="shared" si="31"/>
        <v>1305.2</v>
      </c>
      <c r="H138" s="20">
        <v>6</v>
      </c>
      <c r="I138" s="20" t="s">
        <v>17</v>
      </c>
      <c r="J138" s="20">
        <f t="shared" si="32"/>
        <v>0</v>
      </c>
      <c r="N138" s="20">
        <v>6</v>
      </c>
      <c r="O138" s="20" t="s">
        <v>17</v>
      </c>
      <c r="P138" s="20">
        <f t="shared" si="33"/>
        <v>0</v>
      </c>
      <c r="T138" s="20">
        <v>6</v>
      </c>
      <c r="U138" s="20" t="s">
        <v>17</v>
      </c>
      <c r="V138" s="20">
        <f t="shared" si="34"/>
        <v>0</v>
      </c>
      <c r="Z138" s="20">
        <v>6</v>
      </c>
      <c r="AA138" s="20" t="s">
        <v>17</v>
      </c>
      <c r="AB138" s="20">
        <f t="shared" si="35"/>
        <v>0</v>
      </c>
      <c r="AF138" s="20">
        <v>6</v>
      </c>
      <c r="AG138" s="20" t="s">
        <v>17</v>
      </c>
      <c r="AH138" s="20">
        <f t="shared" si="36"/>
        <v>0</v>
      </c>
      <c r="AK138" s="4">
        <v>6</v>
      </c>
      <c r="AL138" s="4" t="s">
        <v>17</v>
      </c>
      <c r="AM138" s="21">
        <f t="shared" si="37"/>
        <v>0</v>
      </c>
    </row>
    <row r="139" spans="2:39" ht="14.25" customHeight="1">
      <c r="B139" s="20">
        <v>7</v>
      </c>
      <c r="C139" s="20" t="s">
        <v>19</v>
      </c>
      <c r="D139" s="20">
        <f t="shared" si="31"/>
        <v>42.1</v>
      </c>
      <c r="H139" s="20">
        <v>7</v>
      </c>
      <c r="I139" s="20" t="s">
        <v>19</v>
      </c>
      <c r="J139" s="20">
        <f t="shared" si="32"/>
        <v>0</v>
      </c>
      <c r="N139" s="20">
        <v>7</v>
      </c>
      <c r="O139" s="20" t="s">
        <v>19</v>
      </c>
      <c r="P139" s="20">
        <f t="shared" si="33"/>
        <v>0</v>
      </c>
      <c r="T139" s="20">
        <v>7</v>
      </c>
      <c r="U139" s="20" t="s">
        <v>19</v>
      </c>
      <c r="V139" s="20">
        <f t="shared" si="34"/>
        <v>0</v>
      </c>
      <c r="Z139" s="20">
        <v>7</v>
      </c>
      <c r="AA139" s="20" t="s">
        <v>19</v>
      </c>
      <c r="AB139" s="20">
        <f t="shared" si="35"/>
        <v>0</v>
      </c>
      <c r="AF139" s="20">
        <v>7</v>
      </c>
      <c r="AG139" s="20" t="s">
        <v>19</v>
      </c>
      <c r="AH139" s="20">
        <f t="shared" si="36"/>
        <v>0</v>
      </c>
      <c r="AK139" s="4">
        <v>7</v>
      </c>
      <c r="AL139" s="4" t="s">
        <v>19</v>
      </c>
      <c r="AM139" s="21">
        <f t="shared" si="37"/>
        <v>0</v>
      </c>
    </row>
    <row r="140" spans="2:39" ht="14.25" customHeight="1">
      <c r="B140" s="20">
        <v>8</v>
      </c>
      <c r="C140" s="20" t="s">
        <v>20</v>
      </c>
      <c r="D140" s="20">
        <f t="shared" si="31"/>
        <v>52.65</v>
      </c>
      <c r="H140" s="20">
        <v>8</v>
      </c>
      <c r="I140" s="20" t="s">
        <v>20</v>
      </c>
      <c r="J140" s="20">
        <f t="shared" si="32"/>
        <v>0</v>
      </c>
      <c r="N140" s="20">
        <v>8</v>
      </c>
      <c r="O140" s="20" t="s">
        <v>20</v>
      </c>
      <c r="P140" s="20">
        <f t="shared" si="33"/>
        <v>0</v>
      </c>
      <c r="T140" s="20">
        <v>8</v>
      </c>
      <c r="U140" s="20" t="s">
        <v>20</v>
      </c>
      <c r="V140" s="20">
        <f t="shared" si="34"/>
        <v>0</v>
      </c>
      <c r="Z140" s="20">
        <v>8</v>
      </c>
      <c r="AA140" s="20" t="s">
        <v>20</v>
      </c>
      <c r="AB140" s="20">
        <f t="shared" si="35"/>
        <v>0</v>
      </c>
      <c r="AF140" s="20">
        <v>8</v>
      </c>
      <c r="AG140" s="20" t="s">
        <v>20</v>
      </c>
      <c r="AH140" s="20">
        <f t="shared" si="36"/>
        <v>0</v>
      </c>
      <c r="AK140" s="4">
        <v>8</v>
      </c>
      <c r="AL140" s="4" t="s">
        <v>20</v>
      </c>
      <c r="AM140" s="21">
        <f t="shared" si="37"/>
        <v>0</v>
      </c>
    </row>
    <row r="141" spans="2:39" ht="14.25" customHeight="1">
      <c r="B141" s="20">
        <v>9</v>
      </c>
      <c r="C141" s="20" t="s">
        <v>22</v>
      </c>
      <c r="D141" s="20">
        <f t="shared" si="31"/>
        <v>26.6</v>
      </c>
      <c r="H141" s="20">
        <v>9</v>
      </c>
      <c r="I141" s="20" t="s">
        <v>22</v>
      </c>
      <c r="J141" s="20">
        <f t="shared" si="32"/>
        <v>0</v>
      </c>
      <c r="N141" s="20">
        <v>9</v>
      </c>
      <c r="O141" s="20" t="s">
        <v>22</v>
      </c>
      <c r="P141" s="20">
        <f t="shared" si="33"/>
        <v>0</v>
      </c>
      <c r="T141" s="20">
        <v>9</v>
      </c>
      <c r="U141" s="20" t="s">
        <v>22</v>
      </c>
      <c r="V141" s="20">
        <f t="shared" si="34"/>
        <v>0</v>
      </c>
      <c r="Z141" s="20">
        <v>9</v>
      </c>
      <c r="AA141" s="20" t="s">
        <v>22</v>
      </c>
      <c r="AB141" s="20">
        <f t="shared" si="35"/>
        <v>0</v>
      </c>
      <c r="AF141" s="20">
        <v>9</v>
      </c>
      <c r="AG141" s="20" t="s">
        <v>22</v>
      </c>
      <c r="AH141" s="20">
        <f t="shared" si="36"/>
        <v>0</v>
      </c>
      <c r="AK141" s="4">
        <v>9</v>
      </c>
      <c r="AL141" s="4" t="s">
        <v>22</v>
      </c>
      <c r="AM141" s="21">
        <f t="shared" si="37"/>
        <v>0</v>
      </c>
    </row>
    <row r="142" spans="2:39" ht="14.25" customHeight="1">
      <c r="B142" s="20">
        <v>10</v>
      </c>
      <c r="C142" s="20" t="s">
        <v>21</v>
      </c>
      <c r="D142" s="20">
        <f t="shared" si="31"/>
        <v>147.35</v>
      </c>
      <c r="H142" s="20">
        <v>10</v>
      </c>
      <c r="I142" s="20" t="s">
        <v>21</v>
      </c>
      <c r="J142" s="20">
        <f t="shared" si="32"/>
        <v>0</v>
      </c>
      <c r="N142" s="20">
        <v>10</v>
      </c>
      <c r="O142" s="20" t="s">
        <v>21</v>
      </c>
      <c r="P142" s="20">
        <f t="shared" si="33"/>
        <v>0</v>
      </c>
      <c r="T142" s="20">
        <v>10</v>
      </c>
      <c r="U142" s="20" t="s">
        <v>21</v>
      </c>
      <c r="V142" s="20">
        <f t="shared" si="34"/>
        <v>0</v>
      </c>
      <c r="Z142" s="20">
        <v>10</v>
      </c>
      <c r="AA142" s="20" t="s">
        <v>21</v>
      </c>
      <c r="AB142" s="20">
        <f t="shared" si="35"/>
        <v>0</v>
      </c>
      <c r="AF142" s="20">
        <v>10</v>
      </c>
      <c r="AG142" s="20" t="s">
        <v>21</v>
      </c>
      <c r="AH142" s="20">
        <f t="shared" si="36"/>
        <v>0</v>
      </c>
      <c r="AK142" s="4">
        <v>10</v>
      </c>
      <c r="AL142" s="4" t="s">
        <v>21</v>
      </c>
      <c r="AM142" s="21">
        <f t="shared" si="37"/>
        <v>0</v>
      </c>
    </row>
    <row r="143" spans="2:39" ht="14.25" customHeight="1">
      <c r="B143" s="20">
        <v>11</v>
      </c>
      <c r="C143" s="20" t="s">
        <v>14</v>
      </c>
      <c r="D143" s="20">
        <f t="shared" si="31"/>
        <v>30</v>
      </c>
      <c r="H143" s="20">
        <v>11</v>
      </c>
      <c r="I143" s="20" t="s">
        <v>14</v>
      </c>
      <c r="J143" s="20">
        <f t="shared" si="32"/>
        <v>0</v>
      </c>
      <c r="N143" s="20">
        <v>11</v>
      </c>
      <c r="O143" s="20" t="s">
        <v>14</v>
      </c>
      <c r="P143" s="20">
        <f t="shared" si="33"/>
        <v>0</v>
      </c>
      <c r="T143" s="20">
        <v>11</v>
      </c>
      <c r="U143" s="20" t="s">
        <v>14</v>
      </c>
      <c r="V143" s="20">
        <f t="shared" si="34"/>
        <v>0</v>
      </c>
      <c r="Z143" s="20">
        <v>11</v>
      </c>
      <c r="AA143" s="20" t="s">
        <v>14</v>
      </c>
      <c r="AB143" s="20">
        <f t="shared" si="35"/>
        <v>0</v>
      </c>
      <c r="AF143" s="20">
        <v>11</v>
      </c>
      <c r="AG143" s="20" t="s">
        <v>14</v>
      </c>
      <c r="AH143" s="20">
        <f t="shared" si="36"/>
        <v>0</v>
      </c>
      <c r="AK143" s="4">
        <v>11</v>
      </c>
      <c r="AL143" s="4" t="s">
        <v>14</v>
      </c>
      <c r="AM143" s="21">
        <f t="shared" si="37"/>
        <v>0</v>
      </c>
    </row>
    <row r="144" spans="2:39" ht="14.25" customHeight="1">
      <c r="B144" s="20">
        <v>12</v>
      </c>
      <c r="C144" s="20" t="s">
        <v>11</v>
      </c>
      <c r="D144" s="20">
        <f t="shared" si="31"/>
        <v>30</v>
      </c>
      <c r="H144" s="20">
        <v>12</v>
      </c>
      <c r="I144" s="20" t="s">
        <v>11</v>
      </c>
      <c r="J144" s="20">
        <f t="shared" si="32"/>
        <v>0</v>
      </c>
      <c r="N144" s="20">
        <v>12</v>
      </c>
      <c r="O144" s="20" t="s">
        <v>11</v>
      </c>
      <c r="P144" s="20">
        <f t="shared" si="33"/>
        <v>0</v>
      </c>
      <c r="T144" s="20">
        <v>12</v>
      </c>
      <c r="U144" s="20" t="s">
        <v>11</v>
      </c>
      <c r="V144" s="20">
        <f t="shared" si="34"/>
        <v>0</v>
      </c>
      <c r="Z144" s="20">
        <v>12</v>
      </c>
      <c r="AA144" s="20" t="s">
        <v>11</v>
      </c>
      <c r="AB144" s="20">
        <f t="shared" si="35"/>
        <v>0</v>
      </c>
      <c r="AF144" s="20">
        <v>12</v>
      </c>
      <c r="AG144" s="20" t="s">
        <v>11</v>
      </c>
      <c r="AH144" s="20">
        <f t="shared" si="36"/>
        <v>0</v>
      </c>
      <c r="AK144" s="4">
        <v>12</v>
      </c>
      <c r="AL144" s="4" t="s">
        <v>11</v>
      </c>
      <c r="AM144" s="21">
        <f t="shared" si="37"/>
        <v>0</v>
      </c>
    </row>
    <row r="145" spans="2:39" ht="14.25" customHeight="1">
      <c r="B145" s="20">
        <v>13</v>
      </c>
      <c r="C145" s="20" t="s">
        <v>16</v>
      </c>
      <c r="D145" s="20">
        <f t="shared" si="31"/>
        <v>0</v>
      </c>
      <c r="H145" s="20">
        <v>13</v>
      </c>
      <c r="I145" s="20" t="s">
        <v>16</v>
      </c>
      <c r="J145" s="20">
        <f t="shared" si="32"/>
        <v>0</v>
      </c>
      <c r="N145" s="20">
        <v>13</v>
      </c>
      <c r="O145" s="20" t="s">
        <v>16</v>
      </c>
      <c r="P145" s="20">
        <f t="shared" si="33"/>
        <v>0</v>
      </c>
      <c r="T145" s="20">
        <v>13</v>
      </c>
      <c r="U145" s="20" t="s">
        <v>16</v>
      </c>
      <c r="V145" s="20">
        <f t="shared" si="34"/>
        <v>0</v>
      </c>
      <c r="Z145" s="20">
        <v>13</v>
      </c>
      <c r="AA145" s="20" t="s">
        <v>16</v>
      </c>
      <c r="AB145" s="20">
        <f t="shared" si="35"/>
        <v>0</v>
      </c>
      <c r="AF145" s="20">
        <v>13</v>
      </c>
      <c r="AG145" s="20" t="s">
        <v>16</v>
      </c>
      <c r="AH145" s="20">
        <f t="shared" si="36"/>
        <v>0</v>
      </c>
      <c r="AK145" s="4">
        <v>13</v>
      </c>
      <c r="AL145" s="4" t="s">
        <v>16</v>
      </c>
      <c r="AM145" s="21">
        <f t="shared" si="37"/>
        <v>0</v>
      </c>
    </row>
    <row r="146" spans="2:39" ht="14.25" customHeight="1">
      <c r="B146" s="20">
        <v>14</v>
      </c>
      <c r="C146" s="20" t="s">
        <v>12</v>
      </c>
      <c r="D146" s="20">
        <f t="shared" si="31"/>
        <v>0</v>
      </c>
      <c r="H146" s="20">
        <v>14</v>
      </c>
      <c r="I146" s="20" t="s">
        <v>12</v>
      </c>
      <c r="J146" s="20">
        <f t="shared" si="32"/>
        <v>0</v>
      </c>
      <c r="N146" s="20">
        <v>14</v>
      </c>
      <c r="O146" s="20" t="s">
        <v>12</v>
      </c>
      <c r="P146" s="20">
        <f t="shared" si="33"/>
        <v>0</v>
      </c>
      <c r="T146" s="20">
        <v>14</v>
      </c>
      <c r="U146" s="20" t="s">
        <v>12</v>
      </c>
      <c r="V146" s="20">
        <f t="shared" si="34"/>
        <v>0</v>
      </c>
      <c r="Z146" s="20">
        <v>14</v>
      </c>
      <c r="AA146" s="20" t="s">
        <v>12</v>
      </c>
      <c r="AB146" s="20">
        <f t="shared" si="35"/>
        <v>0</v>
      </c>
      <c r="AF146" s="20">
        <v>14</v>
      </c>
      <c r="AG146" s="20" t="s">
        <v>12</v>
      </c>
      <c r="AH146" s="20">
        <f t="shared" si="36"/>
        <v>0</v>
      </c>
      <c r="AK146" s="4">
        <v>14</v>
      </c>
      <c r="AL146" s="4" t="s">
        <v>12</v>
      </c>
      <c r="AM146" s="21">
        <f t="shared" si="37"/>
        <v>0</v>
      </c>
    </row>
    <row r="147" spans="2:39" ht="14.25" customHeight="1">
      <c r="B147" s="20">
        <v>15</v>
      </c>
      <c r="C147" s="20" t="s">
        <v>25</v>
      </c>
      <c r="D147" s="20">
        <f t="shared" si="31"/>
        <v>0</v>
      </c>
      <c r="H147" s="20">
        <v>15</v>
      </c>
      <c r="I147" s="20" t="s">
        <v>25</v>
      </c>
      <c r="J147" s="20">
        <f t="shared" si="32"/>
        <v>0</v>
      </c>
      <c r="N147" s="20">
        <v>15</v>
      </c>
      <c r="O147" s="20" t="s">
        <v>25</v>
      </c>
      <c r="P147" s="20">
        <f t="shared" si="33"/>
        <v>0</v>
      </c>
      <c r="T147" s="20">
        <v>15</v>
      </c>
      <c r="U147" s="20" t="s">
        <v>25</v>
      </c>
      <c r="V147" s="20">
        <f t="shared" si="34"/>
        <v>0</v>
      </c>
      <c r="Z147" s="20">
        <v>15</v>
      </c>
      <c r="AA147" s="20" t="s">
        <v>25</v>
      </c>
      <c r="AB147" s="20">
        <f t="shared" si="35"/>
        <v>0</v>
      </c>
      <c r="AF147" s="20">
        <v>15</v>
      </c>
      <c r="AG147" s="20" t="s">
        <v>25</v>
      </c>
      <c r="AH147" s="20">
        <f t="shared" si="36"/>
        <v>0</v>
      </c>
      <c r="AK147" s="4">
        <v>15</v>
      </c>
      <c r="AL147" s="4" t="s">
        <v>25</v>
      </c>
      <c r="AM147" s="21">
        <f t="shared" si="37"/>
        <v>0</v>
      </c>
    </row>
    <row r="148" spans="2:39" ht="14.25" customHeight="1">
      <c r="B148" s="20">
        <v>16</v>
      </c>
      <c r="C148" s="20" t="s">
        <v>18</v>
      </c>
      <c r="D148" s="20">
        <f t="shared" si="31"/>
        <v>0</v>
      </c>
      <c r="H148" s="20">
        <v>16</v>
      </c>
      <c r="I148" s="20" t="s">
        <v>18</v>
      </c>
      <c r="J148" s="20">
        <f t="shared" si="32"/>
        <v>0</v>
      </c>
      <c r="N148" s="20">
        <v>16</v>
      </c>
      <c r="O148" s="20" t="s">
        <v>18</v>
      </c>
      <c r="P148" s="20">
        <f t="shared" si="33"/>
        <v>0</v>
      </c>
      <c r="T148" s="20">
        <v>16</v>
      </c>
      <c r="U148" s="20" t="s">
        <v>18</v>
      </c>
      <c r="V148" s="20">
        <f t="shared" si="34"/>
        <v>0</v>
      </c>
      <c r="Z148" s="20">
        <v>16</v>
      </c>
      <c r="AA148" s="20" t="s">
        <v>18</v>
      </c>
      <c r="AB148" s="20">
        <f t="shared" si="35"/>
        <v>0</v>
      </c>
      <c r="AF148" s="20">
        <v>16</v>
      </c>
      <c r="AG148" s="20" t="s">
        <v>18</v>
      </c>
      <c r="AH148" s="20">
        <f t="shared" si="36"/>
        <v>0</v>
      </c>
      <c r="AK148" s="4">
        <v>16</v>
      </c>
      <c r="AL148" s="4" t="s">
        <v>18</v>
      </c>
      <c r="AM148" s="21">
        <f t="shared" si="37"/>
        <v>0</v>
      </c>
    </row>
    <row r="149" spans="2:39" ht="14.25" customHeight="1">
      <c r="B149" s="20">
        <v>17</v>
      </c>
      <c r="C149" s="20" t="s">
        <v>23</v>
      </c>
      <c r="D149" s="20">
        <f t="shared" si="31"/>
        <v>0</v>
      </c>
      <c r="H149" s="20">
        <v>17</v>
      </c>
      <c r="I149" s="20" t="s">
        <v>23</v>
      </c>
      <c r="J149" s="20">
        <f t="shared" si="32"/>
        <v>0</v>
      </c>
      <c r="N149" s="20">
        <v>17</v>
      </c>
      <c r="O149" s="20" t="s">
        <v>23</v>
      </c>
      <c r="P149" s="20">
        <f t="shared" si="33"/>
        <v>0</v>
      </c>
      <c r="T149" s="20">
        <v>17</v>
      </c>
      <c r="U149" s="20" t="s">
        <v>23</v>
      </c>
      <c r="V149" s="20">
        <f t="shared" si="34"/>
        <v>0</v>
      </c>
      <c r="Z149" s="20">
        <v>17</v>
      </c>
      <c r="AA149" s="20" t="s">
        <v>23</v>
      </c>
      <c r="AB149" s="20">
        <f t="shared" si="35"/>
        <v>0</v>
      </c>
      <c r="AF149" s="20">
        <v>17</v>
      </c>
      <c r="AG149" s="20" t="s">
        <v>23</v>
      </c>
      <c r="AH149" s="20">
        <f t="shared" si="36"/>
        <v>0</v>
      </c>
      <c r="AK149" s="4">
        <v>17</v>
      </c>
      <c r="AL149" s="4" t="s">
        <v>23</v>
      </c>
      <c r="AM149" s="21">
        <f t="shared" si="37"/>
        <v>0</v>
      </c>
    </row>
    <row r="150" spans="2:39" ht="14.25" customHeight="1">
      <c r="B150" s="20">
        <v>18</v>
      </c>
      <c r="C150" s="20" t="s">
        <v>26</v>
      </c>
      <c r="D150" s="20">
        <f t="shared" si="31"/>
        <v>0</v>
      </c>
      <c r="H150" s="20">
        <v>18</v>
      </c>
      <c r="I150" s="20" t="s">
        <v>26</v>
      </c>
      <c r="J150" s="20">
        <f t="shared" si="32"/>
        <v>0</v>
      </c>
      <c r="N150" s="20">
        <v>18</v>
      </c>
      <c r="O150" s="20" t="s">
        <v>26</v>
      </c>
      <c r="P150" s="20">
        <f t="shared" si="33"/>
        <v>0</v>
      </c>
      <c r="T150" s="20">
        <v>18</v>
      </c>
      <c r="U150" s="20" t="s">
        <v>26</v>
      </c>
      <c r="V150" s="20">
        <f t="shared" si="34"/>
        <v>0</v>
      </c>
      <c r="Z150" s="20">
        <v>18</v>
      </c>
      <c r="AA150" s="20" t="s">
        <v>26</v>
      </c>
      <c r="AB150" s="20">
        <f t="shared" si="35"/>
        <v>0</v>
      </c>
      <c r="AF150" s="20">
        <v>18</v>
      </c>
      <c r="AG150" s="20" t="s">
        <v>26</v>
      </c>
      <c r="AH150" s="20">
        <f t="shared" si="36"/>
        <v>0</v>
      </c>
      <c r="AK150" s="4">
        <v>18</v>
      </c>
      <c r="AL150" s="4" t="s">
        <v>26</v>
      </c>
      <c r="AM150" s="21">
        <f t="shared" si="37"/>
        <v>0</v>
      </c>
    </row>
    <row r="151" spans="2:39" ht="14.25" customHeight="1">
      <c r="B151" s="20">
        <v>19</v>
      </c>
      <c r="C151" s="20" t="s">
        <v>27</v>
      </c>
      <c r="D151" s="20">
        <f t="shared" si="31"/>
        <v>0</v>
      </c>
      <c r="H151" s="20">
        <v>19</v>
      </c>
      <c r="I151" s="20" t="s">
        <v>27</v>
      </c>
      <c r="J151" s="20">
        <f t="shared" si="32"/>
        <v>0</v>
      </c>
      <c r="N151" s="20">
        <v>19</v>
      </c>
      <c r="O151" s="20" t="s">
        <v>27</v>
      </c>
      <c r="P151" s="20">
        <f t="shared" si="33"/>
        <v>0</v>
      </c>
      <c r="T151" s="20">
        <v>19</v>
      </c>
      <c r="U151" s="20" t="s">
        <v>27</v>
      </c>
      <c r="V151" s="20">
        <f t="shared" si="34"/>
        <v>0</v>
      </c>
      <c r="Z151" s="20">
        <v>19</v>
      </c>
      <c r="AA151" s="20" t="s">
        <v>29</v>
      </c>
      <c r="AB151" s="20">
        <f t="shared" si="35"/>
        <v>0</v>
      </c>
      <c r="AF151" s="20">
        <v>19</v>
      </c>
      <c r="AG151" s="20" t="s">
        <v>29</v>
      </c>
      <c r="AH151" s="20">
        <f t="shared" si="36"/>
        <v>0</v>
      </c>
      <c r="AK151" s="4">
        <v>19</v>
      </c>
      <c r="AL151" s="4" t="s">
        <v>29</v>
      </c>
      <c r="AM151" s="21">
        <f t="shared" si="37"/>
        <v>0</v>
      </c>
    </row>
    <row r="152" spans="2:39" ht="14.25" customHeight="1">
      <c r="B152" s="20">
        <v>20</v>
      </c>
      <c r="C152" s="20" t="s">
        <v>28</v>
      </c>
      <c r="D152" s="20">
        <f t="shared" si="31"/>
        <v>0</v>
      </c>
      <c r="H152" s="20">
        <v>20</v>
      </c>
      <c r="I152" s="20" t="s">
        <v>28</v>
      </c>
      <c r="J152" s="20">
        <f t="shared" si="32"/>
        <v>0</v>
      </c>
      <c r="N152" s="20">
        <v>20</v>
      </c>
      <c r="O152" s="20" t="s">
        <v>28</v>
      </c>
      <c r="P152" s="20">
        <f t="shared" si="33"/>
        <v>0</v>
      </c>
      <c r="T152" s="20">
        <v>20</v>
      </c>
      <c r="U152" s="20" t="s">
        <v>28</v>
      </c>
      <c r="V152" s="20">
        <f t="shared" si="34"/>
        <v>0</v>
      </c>
      <c r="Z152" s="20">
        <v>20</v>
      </c>
      <c r="AA152" s="20" t="s">
        <v>28</v>
      </c>
      <c r="AB152" s="20">
        <f t="shared" si="35"/>
        <v>0</v>
      </c>
      <c r="AF152" s="20">
        <v>20</v>
      </c>
      <c r="AG152" s="20" t="s">
        <v>28</v>
      </c>
      <c r="AH152" s="20">
        <f t="shared" si="36"/>
        <v>0</v>
      </c>
      <c r="AK152" s="4">
        <v>20</v>
      </c>
      <c r="AL152" s="4" t="s">
        <v>28</v>
      </c>
      <c r="AM152" s="21">
        <f t="shared" si="37"/>
        <v>0</v>
      </c>
    </row>
    <row r="153" spans="2:39" ht="14.25" customHeight="1">
      <c r="B153" s="20">
        <v>21</v>
      </c>
      <c r="C153" s="20" t="s">
        <v>9</v>
      </c>
      <c r="D153" s="20">
        <f t="shared" si="31"/>
        <v>0</v>
      </c>
      <c r="H153" s="20">
        <v>21</v>
      </c>
      <c r="I153" s="20" t="s">
        <v>9</v>
      </c>
      <c r="J153" s="20">
        <f t="shared" si="32"/>
        <v>0</v>
      </c>
      <c r="N153" s="20">
        <v>21</v>
      </c>
      <c r="O153" s="20" t="s">
        <v>9</v>
      </c>
      <c r="P153" s="20">
        <f t="shared" si="33"/>
        <v>0</v>
      </c>
      <c r="T153" s="20">
        <v>21</v>
      </c>
      <c r="U153" s="20" t="s">
        <v>9</v>
      </c>
      <c r="V153" s="20">
        <f t="shared" si="34"/>
        <v>0</v>
      </c>
      <c r="Z153" s="20">
        <v>21</v>
      </c>
      <c r="AA153" s="20" t="s">
        <v>9</v>
      </c>
      <c r="AB153" s="20">
        <f t="shared" si="35"/>
        <v>0</v>
      </c>
      <c r="AF153" s="20">
        <v>21</v>
      </c>
      <c r="AG153" s="20" t="s">
        <v>9</v>
      </c>
      <c r="AH153" s="20">
        <f t="shared" si="36"/>
        <v>0</v>
      </c>
      <c r="AK153" s="4">
        <v>21</v>
      </c>
      <c r="AL153" s="4" t="s">
        <v>9</v>
      </c>
      <c r="AM153" s="21">
        <f t="shared" si="37"/>
        <v>0</v>
      </c>
    </row>
    <row r="154" spans="2:39" ht="14.25" customHeight="1">
      <c r="B154" s="15"/>
      <c r="C154" s="15"/>
      <c r="D154" s="22">
        <f>SUM(D133:D153)</f>
        <v>2881.45</v>
      </c>
      <c r="H154" s="15"/>
      <c r="I154" s="15"/>
      <c r="J154" s="22">
        <f>SUM(J133:J153)</f>
        <v>0</v>
      </c>
      <c r="N154" s="15"/>
      <c r="O154" s="15"/>
      <c r="P154" s="22">
        <f>SUM(P133:P153)</f>
        <v>0</v>
      </c>
      <c r="T154" s="15"/>
      <c r="U154" s="15"/>
      <c r="V154" s="22">
        <f>SUM(V133:V153)</f>
        <v>0</v>
      </c>
      <c r="Z154" s="15"/>
      <c r="AA154" s="15"/>
      <c r="AB154" s="22">
        <f>SUM(AB133:AB153)</f>
        <v>0</v>
      </c>
      <c r="AF154" s="15"/>
      <c r="AG154" s="15"/>
      <c r="AH154" s="22">
        <f>SUM(AH133:AH153)</f>
        <v>0</v>
      </c>
      <c r="AM154" s="23">
        <f>SUM(AM133:AM153)</f>
        <v>0</v>
      </c>
    </row>
    <row r="155" spans="2:39" ht="14.25" customHeight="1">
      <c r="B155" s="15"/>
      <c r="C155" s="15"/>
      <c r="D155" s="15"/>
      <c r="H155" s="15"/>
      <c r="I155" s="15"/>
      <c r="J155" s="15"/>
      <c r="N155" s="15"/>
      <c r="O155" s="15"/>
      <c r="P155" s="15"/>
      <c r="T155" s="15"/>
      <c r="U155" s="15"/>
      <c r="V155" s="15"/>
      <c r="Z155" s="15"/>
      <c r="AA155" s="15"/>
      <c r="AB155" s="15"/>
      <c r="AF155" s="15"/>
      <c r="AG155" s="15"/>
      <c r="AH155" s="15"/>
    </row>
    <row r="156" spans="2:39" ht="14.25" customHeight="1">
      <c r="B156" s="15"/>
      <c r="C156" s="15"/>
      <c r="D156" s="15"/>
      <c r="H156" s="15"/>
      <c r="I156" s="15"/>
      <c r="J156" s="15"/>
      <c r="N156" s="15"/>
      <c r="O156" s="15"/>
      <c r="P156" s="15"/>
      <c r="T156" s="15"/>
      <c r="U156" s="15"/>
      <c r="V156" s="15"/>
      <c r="Z156" s="15"/>
      <c r="AA156" s="15"/>
      <c r="AB156" s="15"/>
      <c r="AF156" s="15"/>
      <c r="AG156" s="15"/>
      <c r="AH156" s="15"/>
    </row>
    <row r="157" spans="2:39" ht="14.25" customHeight="1">
      <c r="B157" s="15"/>
      <c r="C157" s="15"/>
      <c r="D157" s="15"/>
      <c r="H157" s="15"/>
      <c r="I157" s="15"/>
      <c r="J157" s="15"/>
      <c r="N157" s="15"/>
      <c r="O157" s="15"/>
      <c r="P157" s="15"/>
      <c r="T157" s="15"/>
      <c r="U157" s="15"/>
      <c r="V157" s="15"/>
      <c r="Z157" s="15"/>
      <c r="AA157" s="15"/>
      <c r="AB157" s="15"/>
      <c r="AF157" s="15"/>
      <c r="AG157" s="15"/>
      <c r="AH157" s="15"/>
    </row>
    <row r="158" spans="2:39" ht="14.25" customHeight="1">
      <c r="B158" s="15"/>
      <c r="C158" s="15"/>
      <c r="D158" s="15"/>
      <c r="H158" s="15"/>
      <c r="I158" s="15"/>
      <c r="J158" s="15"/>
      <c r="N158" s="15"/>
      <c r="O158" s="15"/>
      <c r="P158" s="15"/>
      <c r="T158" s="15"/>
      <c r="U158" s="15"/>
      <c r="V158" s="15"/>
      <c r="Z158" s="15"/>
      <c r="AA158" s="15"/>
      <c r="AB158" s="15"/>
      <c r="AF158" s="15"/>
      <c r="AG158" s="15"/>
      <c r="AH158" s="15"/>
    </row>
    <row r="159" spans="2:39" ht="14.25" customHeight="1">
      <c r="B159" s="15"/>
      <c r="C159" s="15"/>
      <c r="D159" s="15"/>
      <c r="H159" s="15"/>
      <c r="I159" s="15"/>
      <c r="J159" s="15"/>
      <c r="N159" s="15"/>
      <c r="O159" s="15"/>
      <c r="P159" s="15"/>
      <c r="T159" s="15"/>
      <c r="U159" s="15"/>
      <c r="V159" s="15"/>
      <c r="Z159" s="15"/>
      <c r="AA159" s="15"/>
      <c r="AB159" s="15"/>
      <c r="AF159" s="15"/>
      <c r="AG159" s="15"/>
      <c r="AH159" s="15"/>
    </row>
    <row r="160" spans="2:39" ht="14.25" customHeight="1">
      <c r="B160" s="15"/>
      <c r="C160" s="15"/>
      <c r="D160" s="15"/>
      <c r="H160" s="15"/>
      <c r="I160" s="15"/>
      <c r="J160" s="15"/>
      <c r="N160" s="15"/>
      <c r="O160" s="15"/>
      <c r="P160" s="15"/>
      <c r="T160" s="15"/>
      <c r="U160" s="15"/>
      <c r="V160" s="15"/>
      <c r="Z160" s="15"/>
      <c r="AA160" s="15"/>
      <c r="AB160" s="15"/>
      <c r="AF160" s="15"/>
      <c r="AG160" s="15"/>
      <c r="AH160" s="15"/>
    </row>
    <row r="161" spans="2:34" ht="14.25" customHeight="1">
      <c r="B161" s="15"/>
      <c r="C161" s="15"/>
      <c r="D161" s="15"/>
      <c r="H161" s="15"/>
      <c r="I161" s="15"/>
      <c r="J161" s="15"/>
      <c r="N161" s="15"/>
      <c r="O161" s="15"/>
      <c r="P161" s="15"/>
      <c r="T161" s="15"/>
      <c r="U161" s="15"/>
      <c r="V161" s="15"/>
      <c r="Z161" s="15"/>
      <c r="AA161" s="15"/>
      <c r="AB161" s="15"/>
      <c r="AF161" s="15"/>
      <c r="AG161" s="15"/>
      <c r="AH161" s="15"/>
    </row>
    <row r="162" spans="2:34" ht="14.25" customHeight="1">
      <c r="B162" s="15"/>
      <c r="C162" s="15"/>
      <c r="D162" s="15"/>
      <c r="H162" s="15"/>
      <c r="I162" s="15"/>
      <c r="J162" s="15"/>
      <c r="N162" s="15"/>
      <c r="O162" s="15"/>
      <c r="P162" s="15"/>
      <c r="T162" s="15"/>
      <c r="U162" s="15"/>
      <c r="V162" s="15"/>
      <c r="Z162" s="15"/>
      <c r="AA162" s="15"/>
      <c r="AB162" s="15"/>
      <c r="AF162" s="15"/>
      <c r="AG162" s="15"/>
      <c r="AH162" s="15"/>
    </row>
    <row r="163" spans="2:34" ht="14.25" customHeight="1">
      <c r="B163" s="15"/>
      <c r="C163" s="15"/>
      <c r="D163" s="15"/>
      <c r="H163" s="15"/>
      <c r="I163" s="15"/>
      <c r="J163" s="15"/>
      <c r="N163" s="15"/>
      <c r="O163" s="15"/>
      <c r="P163" s="15"/>
      <c r="T163" s="15"/>
      <c r="U163" s="15"/>
      <c r="V163" s="15"/>
      <c r="Z163" s="15"/>
      <c r="AA163" s="15"/>
      <c r="AB163" s="15"/>
      <c r="AF163" s="15"/>
      <c r="AG163" s="15"/>
      <c r="AH163" s="15"/>
    </row>
    <row r="164" spans="2:34" ht="14.25" customHeight="1">
      <c r="B164" s="15"/>
      <c r="C164" s="15"/>
      <c r="D164" s="15"/>
      <c r="H164" s="15"/>
      <c r="I164" s="15"/>
      <c r="J164" s="15"/>
      <c r="N164" s="15"/>
      <c r="O164" s="15"/>
      <c r="P164" s="15"/>
      <c r="T164" s="15"/>
      <c r="U164" s="15"/>
      <c r="V164" s="15"/>
      <c r="Z164" s="15"/>
      <c r="AA164" s="15"/>
      <c r="AB164" s="15"/>
      <c r="AF164" s="15"/>
      <c r="AG164" s="15"/>
      <c r="AH164" s="15"/>
    </row>
    <row r="165" spans="2:34" ht="14.25" customHeight="1">
      <c r="B165" s="15"/>
      <c r="C165" s="15"/>
      <c r="D165" s="15"/>
      <c r="H165" s="15"/>
      <c r="I165" s="15"/>
      <c r="J165" s="15"/>
      <c r="N165" s="15"/>
      <c r="O165" s="15"/>
      <c r="P165" s="15"/>
      <c r="T165" s="15"/>
      <c r="U165" s="15"/>
      <c r="V165" s="15"/>
      <c r="Z165" s="15"/>
      <c r="AA165" s="15"/>
      <c r="AB165" s="15"/>
      <c r="AF165" s="15"/>
      <c r="AG165" s="15"/>
      <c r="AH165" s="15"/>
    </row>
    <row r="166" spans="2:34" ht="14.25" customHeight="1">
      <c r="B166" s="15"/>
      <c r="C166" s="15"/>
      <c r="D166" s="15"/>
      <c r="H166" s="15"/>
      <c r="I166" s="15"/>
      <c r="J166" s="15"/>
      <c r="N166" s="15"/>
      <c r="O166" s="15"/>
      <c r="P166" s="15"/>
      <c r="T166" s="15"/>
      <c r="U166" s="15"/>
      <c r="V166" s="15"/>
      <c r="Z166" s="15"/>
      <c r="AA166" s="15"/>
      <c r="AB166" s="15"/>
      <c r="AF166" s="15"/>
      <c r="AG166" s="15"/>
      <c r="AH166" s="15"/>
    </row>
    <row r="167" spans="2:34" ht="14.25" customHeight="1">
      <c r="B167" s="15"/>
      <c r="C167" s="15"/>
      <c r="D167" s="15"/>
      <c r="H167" s="15"/>
      <c r="I167" s="15"/>
      <c r="J167" s="15"/>
      <c r="N167" s="15"/>
      <c r="O167" s="15"/>
      <c r="P167" s="15"/>
      <c r="T167" s="15"/>
      <c r="U167" s="15"/>
      <c r="V167" s="15"/>
      <c r="Z167" s="15"/>
      <c r="AA167" s="15"/>
      <c r="AB167" s="15"/>
      <c r="AF167" s="15"/>
      <c r="AG167" s="15"/>
      <c r="AH167" s="15"/>
    </row>
    <row r="168" spans="2:34" ht="14.25" customHeight="1">
      <c r="B168" s="15"/>
      <c r="C168" s="15"/>
      <c r="D168" s="15"/>
      <c r="H168" s="15"/>
      <c r="I168" s="15"/>
      <c r="J168" s="15"/>
      <c r="N168" s="15"/>
      <c r="O168" s="15"/>
      <c r="P168" s="15"/>
      <c r="T168" s="15"/>
      <c r="U168" s="15"/>
      <c r="V168" s="15"/>
      <c r="Z168" s="15"/>
      <c r="AA168" s="15"/>
      <c r="AB168" s="15"/>
      <c r="AF168" s="15"/>
      <c r="AG168" s="15"/>
      <c r="AH168" s="15"/>
    </row>
    <row r="169" spans="2:34" ht="14.25" customHeight="1">
      <c r="B169" s="15"/>
      <c r="C169" s="15"/>
      <c r="D169" s="15"/>
      <c r="H169" s="15"/>
      <c r="I169" s="15"/>
      <c r="J169" s="15"/>
      <c r="N169" s="15"/>
      <c r="O169" s="15"/>
      <c r="P169" s="15"/>
      <c r="T169" s="15"/>
      <c r="U169" s="15"/>
      <c r="V169" s="15"/>
      <c r="Z169" s="15"/>
      <c r="AA169" s="15"/>
      <c r="AB169" s="15"/>
      <c r="AF169" s="15"/>
      <c r="AG169" s="15"/>
      <c r="AH169" s="15"/>
    </row>
    <row r="170" spans="2:34" ht="14.25" customHeight="1">
      <c r="B170" s="15"/>
      <c r="C170" s="15"/>
      <c r="D170" s="15"/>
      <c r="H170" s="15"/>
      <c r="I170" s="15"/>
      <c r="J170" s="15"/>
      <c r="N170" s="15"/>
      <c r="O170" s="15"/>
      <c r="P170" s="15"/>
      <c r="T170" s="15"/>
      <c r="U170" s="15"/>
      <c r="V170" s="15"/>
      <c r="Z170" s="15"/>
      <c r="AA170" s="15"/>
      <c r="AB170" s="15"/>
      <c r="AF170" s="15"/>
      <c r="AG170" s="15"/>
      <c r="AH170" s="15"/>
    </row>
    <row r="171" spans="2:34" ht="14.25" customHeight="1">
      <c r="B171" s="15"/>
      <c r="C171" s="15"/>
      <c r="D171" s="15"/>
      <c r="H171" s="15"/>
      <c r="I171" s="15"/>
      <c r="J171" s="15"/>
      <c r="N171" s="15"/>
      <c r="O171" s="15"/>
      <c r="P171" s="15"/>
      <c r="T171" s="15"/>
      <c r="U171" s="15"/>
      <c r="V171" s="15"/>
      <c r="Z171" s="15"/>
      <c r="AA171" s="15"/>
      <c r="AB171" s="15"/>
      <c r="AF171" s="15"/>
      <c r="AG171" s="15"/>
      <c r="AH171" s="15"/>
    </row>
    <row r="172" spans="2:34" ht="14.25" customHeight="1">
      <c r="B172" s="15"/>
      <c r="C172" s="15"/>
      <c r="D172" s="15"/>
      <c r="H172" s="15"/>
      <c r="I172" s="15"/>
      <c r="J172" s="15"/>
      <c r="N172" s="15"/>
      <c r="O172" s="15"/>
      <c r="P172" s="15"/>
      <c r="T172" s="15"/>
      <c r="U172" s="15"/>
      <c r="V172" s="15"/>
      <c r="Z172" s="15"/>
      <c r="AA172" s="15"/>
      <c r="AB172" s="15"/>
      <c r="AF172" s="15"/>
      <c r="AG172" s="15"/>
      <c r="AH172" s="15"/>
    </row>
    <row r="173" spans="2:34" ht="14.25" customHeight="1">
      <c r="B173" s="15"/>
      <c r="C173" s="15"/>
      <c r="D173" s="15"/>
      <c r="H173" s="15"/>
      <c r="I173" s="15"/>
      <c r="J173" s="15"/>
      <c r="N173" s="15"/>
      <c r="O173" s="15"/>
      <c r="P173" s="15"/>
      <c r="T173" s="15"/>
      <c r="U173" s="15"/>
      <c r="V173" s="15"/>
      <c r="Z173" s="15"/>
      <c r="AA173" s="15"/>
      <c r="AB173" s="15"/>
      <c r="AF173" s="15"/>
      <c r="AG173" s="15"/>
      <c r="AH173" s="15"/>
    </row>
    <row r="174" spans="2:34" ht="14.25" customHeight="1">
      <c r="B174" s="15"/>
      <c r="C174" s="15"/>
      <c r="D174" s="15"/>
      <c r="H174" s="15"/>
      <c r="I174" s="15"/>
      <c r="J174" s="15"/>
      <c r="N174" s="15"/>
      <c r="O174" s="15"/>
      <c r="P174" s="15"/>
      <c r="T174" s="15"/>
      <c r="U174" s="15"/>
      <c r="V174" s="15"/>
      <c r="Z174" s="15"/>
      <c r="AA174" s="15"/>
      <c r="AB174" s="15"/>
      <c r="AF174" s="15"/>
      <c r="AG174" s="15"/>
      <c r="AH174" s="15"/>
    </row>
    <row r="175" spans="2:34" ht="14.25" customHeight="1">
      <c r="B175" s="15"/>
      <c r="C175" s="15"/>
      <c r="D175" s="15"/>
      <c r="H175" s="15"/>
      <c r="I175" s="15"/>
      <c r="J175" s="15"/>
      <c r="N175" s="15"/>
      <c r="O175" s="15"/>
      <c r="P175" s="15"/>
      <c r="T175" s="15"/>
      <c r="U175" s="15"/>
      <c r="V175" s="15"/>
      <c r="Z175" s="15"/>
      <c r="AA175" s="15"/>
      <c r="AB175" s="15"/>
      <c r="AF175" s="15"/>
      <c r="AG175" s="15"/>
      <c r="AH175" s="15"/>
    </row>
    <row r="176" spans="2:34" ht="14.25" customHeight="1">
      <c r="B176" s="15"/>
      <c r="C176" s="15"/>
      <c r="D176" s="15"/>
      <c r="H176" s="15"/>
      <c r="I176" s="15"/>
      <c r="J176" s="15"/>
      <c r="N176" s="15"/>
      <c r="O176" s="15"/>
      <c r="P176" s="15"/>
      <c r="T176" s="15"/>
      <c r="U176" s="15"/>
      <c r="V176" s="15"/>
      <c r="Z176" s="15"/>
      <c r="AA176" s="15"/>
      <c r="AB176" s="15"/>
      <c r="AF176" s="15"/>
      <c r="AG176" s="15"/>
      <c r="AH176" s="15"/>
    </row>
    <row r="177" spans="2:34" ht="14.25" customHeight="1">
      <c r="B177" s="15"/>
      <c r="C177" s="15"/>
      <c r="D177" s="15"/>
      <c r="H177" s="15"/>
      <c r="I177" s="15"/>
      <c r="J177" s="15"/>
      <c r="N177" s="15"/>
      <c r="O177" s="15"/>
      <c r="P177" s="15"/>
      <c r="T177" s="15"/>
      <c r="U177" s="15"/>
      <c r="V177" s="15"/>
      <c r="Z177" s="15"/>
      <c r="AA177" s="15"/>
      <c r="AB177" s="15"/>
      <c r="AF177" s="15"/>
      <c r="AG177" s="15"/>
      <c r="AH177" s="15"/>
    </row>
    <row r="178" spans="2:34" ht="14.25" customHeight="1">
      <c r="B178" s="15"/>
      <c r="C178" s="15"/>
      <c r="D178" s="15"/>
      <c r="H178" s="15"/>
      <c r="I178" s="15"/>
      <c r="J178" s="15"/>
      <c r="N178" s="15"/>
      <c r="O178" s="15"/>
      <c r="P178" s="15"/>
      <c r="T178" s="15"/>
      <c r="U178" s="15"/>
      <c r="V178" s="15"/>
      <c r="Z178" s="15"/>
      <c r="AA178" s="15"/>
      <c r="AB178" s="15"/>
      <c r="AF178" s="15"/>
      <c r="AG178" s="15"/>
      <c r="AH178" s="15"/>
    </row>
    <row r="179" spans="2:34" ht="14.25" customHeight="1">
      <c r="B179" s="15"/>
      <c r="C179" s="15"/>
      <c r="D179" s="15"/>
      <c r="H179" s="15"/>
      <c r="I179" s="15"/>
      <c r="J179" s="15"/>
      <c r="N179" s="15"/>
      <c r="O179" s="15"/>
      <c r="P179" s="15"/>
      <c r="T179" s="15"/>
      <c r="U179" s="15"/>
      <c r="V179" s="15"/>
      <c r="Z179" s="15"/>
      <c r="AA179" s="15"/>
      <c r="AB179" s="15"/>
      <c r="AF179" s="15"/>
      <c r="AG179" s="15"/>
      <c r="AH179" s="15"/>
    </row>
    <row r="180" spans="2:34" ht="14.25" customHeight="1">
      <c r="B180" s="15"/>
      <c r="C180" s="15"/>
      <c r="D180" s="15"/>
      <c r="H180" s="15"/>
      <c r="I180" s="15"/>
      <c r="J180" s="15"/>
      <c r="N180" s="15"/>
      <c r="O180" s="15"/>
      <c r="P180" s="15"/>
      <c r="T180" s="15"/>
      <c r="U180" s="15"/>
      <c r="V180" s="15"/>
      <c r="Z180" s="15"/>
      <c r="AA180" s="15"/>
      <c r="AB180" s="15"/>
      <c r="AF180" s="15"/>
      <c r="AG180" s="15"/>
      <c r="AH180" s="15"/>
    </row>
    <row r="181" spans="2:34" ht="14.25" customHeight="1">
      <c r="B181" s="15"/>
      <c r="C181" s="15"/>
      <c r="D181" s="15"/>
      <c r="H181" s="15"/>
      <c r="I181" s="15"/>
      <c r="J181" s="15"/>
      <c r="N181" s="15"/>
      <c r="O181" s="15"/>
      <c r="P181" s="15"/>
      <c r="T181" s="15"/>
      <c r="U181" s="15"/>
      <c r="V181" s="15"/>
      <c r="Z181" s="15"/>
      <c r="AA181" s="15"/>
      <c r="AB181" s="15"/>
      <c r="AF181" s="15"/>
      <c r="AG181" s="15"/>
      <c r="AH181" s="15"/>
    </row>
    <row r="182" spans="2:34" ht="14.25" customHeight="1">
      <c r="B182" s="15"/>
      <c r="C182" s="15"/>
      <c r="D182" s="15"/>
      <c r="H182" s="15"/>
      <c r="I182" s="15"/>
      <c r="J182" s="15"/>
      <c r="N182" s="15"/>
      <c r="O182" s="15"/>
      <c r="P182" s="15"/>
      <c r="T182" s="15"/>
      <c r="U182" s="15"/>
      <c r="V182" s="15"/>
      <c r="Z182" s="15"/>
      <c r="AA182" s="15"/>
      <c r="AB182" s="15"/>
      <c r="AF182" s="15"/>
      <c r="AG182" s="15"/>
      <c r="AH182" s="15"/>
    </row>
    <row r="183" spans="2:34" ht="14.25" customHeight="1">
      <c r="B183" s="15"/>
      <c r="C183" s="15"/>
      <c r="D183" s="15"/>
      <c r="H183" s="15"/>
      <c r="I183" s="15"/>
      <c r="J183" s="15"/>
      <c r="N183" s="15"/>
      <c r="O183" s="15"/>
      <c r="P183" s="15"/>
      <c r="T183" s="15"/>
      <c r="U183" s="15"/>
      <c r="V183" s="15"/>
      <c r="Z183" s="15"/>
      <c r="AA183" s="15"/>
      <c r="AB183" s="15"/>
      <c r="AF183" s="15"/>
      <c r="AG183" s="15"/>
      <c r="AH183" s="15"/>
    </row>
    <row r="184" spans="2:34" ht="14.25" customHeight="1">
      <c r="B184" s="15"/>
      <c r="C184" s="15"/>
      <c r="D184" s="15"/>
      <c r="H184" s="15"/>
      <c r="I184" s="15"/>
      <c r="J184" s="15"/>
      <c r="N184" s="15"/>
      <c r="O184" s="15"/>
      <c r="P184" s="15"/>
      <c r="T184" s="15"/>
      <c r="U184" s="15"/>
      <c r="V184" s="15"/>
      <c r="Z184" s="15"/>
      <c r="AA184" s="15"/>
      <c r="AB184" s="15"/>
      <c r="AF184" s="15"/>
      <c r="AG184" s="15"/>
      <c r="AH184" s="15"/>
    </row>
    <row r="185" spans="2:34" ht="14.25" customHeight="1">
      <c r="B185" s="15"/>
      <c r="C185" s="15"/>
      <c r="D185" s="15"/>
      <c r="H185" s="15"/>
      <c r="I185" s="15"/>
      <c r="J185" s="15"/>
      <c r="N185" s="15"/>
      <c r="O185" s="15"/>
      <c r="P185" s="15"/>
      <c r="T185" s="15"/>
      <c r="U185" s="15"/>
      <c r="V185" s="15"/>
      <c r="Z185" s="15"/>
      <c r="AA185" s="15"/>
      <c r="AB185" s="15"/>
      <c r="AF185" s="15"/>
      <c r="AG185" s="15"/>
      <c r="AH185" s="15"/>
    </row>
    <row r="186" spans="2:34" ht="14.25" customHeight="1">
      <c r="B186" s="15"/>
      <c r="C186" s="15"/>
      <c r="D186" s="15"/>
      <c r="H186" s="15"/>
      <c r="I186" s="15"/>
      <c r="J186" s="15"/>
      <c r="N186" s="15"/>
      <c r="O186" s="15"/>
      <c r="P186" s="15"/>
      <c r="T186" s="15"/>
      <c r="U186" s="15"/>
      <c r="V186" s="15"/>
      <c r="Z186" s="15"/>
      <c r="AA186" s="15"/>
      <c r="AB186" s="15"/>
      <c r="AF186" s="15"/>
      <c r="AG186" s="15"/>
      <c r="AH186" s="15"/>
    </row>
    <row r="187" spans="2:34" ht="14.25" customHeight="1">
      <c r="B187" s="15"/>
      <c r="C187" s="15"/>
      <c r="D187" s="15"/>
      <c r="H187" s="15"/>
      <c r="I187" s="15"/>
      <c r="J187" s="15"/>
      <c r="N187" s="15"/>
      <c r="O187" s="15"/>
      <c r="P187" s="15"/>
      <c r="T187" s="15"/>
      <c r="U187" s="15"/>
      <c r="V187" s="15"/>
      <c r="Z187" s="15"/>
      <c r="AA187" s="15"/>
      <c r="AB187" s="15"/>
      <c r="AF187" s="15"/>
      <c r="AG187" s="15"/>
      <c r="AH187" s="15"/>
    </row>
    <row r="188" spans="2:34" ht="14.25" customHeight="1">
      <c r="B188" s="15"/>
      <c r="C188" s="15"/>
      <c r="D188" s="15"/>
      <c r="H188" s="15"/>
      <c r="I188" s="15"/>
      <c r="J188" s="15"/>
      <c r="N188" s="15"/>
      <c r="O188" s="15"/>
      <c r="P188" s="15"/>
      <c r="T188" s="15"/>
      <c r="U188" s="15"/>
      <c r="V188" s="15"/>
      <c r="Z188" s="15"/>
      <c r="AA188" s="15"/>
      <c r="AB188" s="15"/>
      <c r="AF188" s="15"/>
      <c r="AG188" s="15"/>
      <c r="AH188" s="15"/>
    </row>
    <row r="189" spans="2:34" ht="14.25" customHeight="1">
      <c r="B189" s="15"/>
      <c r="C189" s="15"/>
      <c r="D189" s="15"/>
      <c r="H189" s="15"/>
      <c r="I189" s="15"/>
      <c r="J189" s="15"/>
      <c r="N189" s="15"/>
      <c r="O189" s="15"/>
      <c r="P189" s="15"/>
      <c r="T189" s="15"/>
      <c r="U189" s="15"/>
      <c r="V189" s="15"/>
      <c r="Z189" s="15"/>
      <c r="AA189" s="15"/>
      <c r="AB189" s="15"/>
      <c r="AF189" s="15"/>
      <c r="AG189" s="15"/>
      <c r="AH189" s="15"/>
    </row>
    <row r="190" spans="2:34" ht="14.25" customHeight="1">
      <c r="B190" s="15"/>
      <c r="C190" s="15"/>
      <c r="D190" s="15"/>
      <c r="H190" s="15"/>
      <c r="I190" s="15"/>
      <c r="J190" s="15"/>
      <c r="N190" s="15"/>
      <c r="O190" s="15"/>
      <c r="P190" s="15"/>
      <c r="T190" s="15"/>
      <c r="U190" s="15"/>
      <c r="V190" s="15"/>
      <c r="Z190" s="15"/>
      <c r="AA190" s="15"/>
      <c r="AB190" s="15"/>
      <c r="AF190" s="15"/>
      <c r="AG190" s="15"/>
      <c r="AH190" s="15"/>
    </row>
    <row r="191" spans="2:34" ht="14.25" customHeight="1">
      <c r="B191" s="15"/>
      <c r="C191" s="15"/>
      <c r="D191" s="15"/>
      <c r="H191" s="15"/>
      <c r="I191" s="15"/>
      <c r="J191" s="15"/>
      <c r="N191" s="15"/>
      <c r="O191" s="15"/>
      <c r="P191" s="15"/>
      <c r="T191" s="15"/>
      <c r="U191" s="15"/>
      <c r="V191" s="15"/>
      <c r="Z191" s="15"/>
      <c r="AA191" s="15"/>
      <c r="AB191" s="15"/>
      <c r="AF191" s="15"/>
      <c r="AG191" s="15"/>
      <c r="AH191" s="15"/>
    </row>
    <row r="192" spans="2:34" ht="14.25" customHeight="1">
      <c r="B192" s="15"/>
      <c r="C192" s="15"/>
      <c r="D192" s="15"/>
      <c r="H192" s="15"/>
      <c r="I192" s="15"/>
      <c r="J192" s="15"/>
      <c r="N192" s="15"/>
      <c r="O192" s="15"/>
      <c r="P192" s="15"/>
      <c r="T192" s="15"/>
      <c r="U192" s="15"/>
      <c r="V192" s="15"/>
      <c r="Z192" s="15"/>
      <c r="AA192" s="15"/>
      <c r="AB192" s="15"/>
      <c r="AF192" s="15"/>
      <c r="AG192" s="15"/>
      <c r="AH192" s="15"/>
    </row>
    <row r="193" spans="2:34" ht="14.25" customHeight="1">
      <c r="B193" s="15"/>
      <c r="C193" s="15"/>
      <c r="D193" s="15"/>
      <c r="H193" s="15"/>
      <c r="I193" s="15"/>
      <c r="J193" s="15"/>
      <c r="N193" s="15"/>
      <c r="O193" s="15"/>
      <c r="P193" s="15"/>
      <c r="T193" s="15"/>
      <c r="U193" s="15"/>
      <c r="V193" s="15"/>
      <c r="Z193" s="15"/>
      <c r="AA193" s="15"/>
      <c r="AB193" s="15"/>
      <c r="AF193" s="15"/>
      <c r="AG193" s="15"/>
      <c r="AH193" s="15"/>
    </row>
    <row r="194" spans="2:34" ht="14.25" customHeight="1">
      <c r="B194" s="15"/>
      <c r="C194" s="15"/>
      <c r="D194" s="15"/>
      <c r="H194" s="15"/>
      <c r="I194" s="15"/>
      <c r="J194" s="15"/>
      <c r="N194" s="15"/>
      <c r="O194" s="15"/>
      <c r="P194" s="15"/>
      <c r="T194" s="15"/>
      <c r="U194" s="15"/>
      <c r="V194" s="15"/>
      <c r="Z194" s="15"/>
      <c r="AA194" s="15"/>
      <c r="AB194" s="15"/>
      <c r="AF194" s="15"/>
      <c r="AG194" s="15"/>
      <c r="AH194" s="15"/>
    </row>
    <row r="195" spans="2:34" ht="14.25" customHeight="1">
      <c r="B195" s="15"/>
      <c r="C195" s="15"/>
      <c r="D195" s="15"/>
      <c r="H195" s="15"/>
      <c r="I195" s="15"/>
      <c r="J195" s="15"/>
      <c r="N195" s="15"/>
      <c r="O195" s="15"/>
      <c r="P195" s="15"/>
      <c r="T195" s="15"/>
      <c r="U195" s="15"/>
      <c r="V195" s="15"/>
      <c r="Z195" s="15"/>
      <c r="AA195" s="15"/>
      <c r="AB195" s="15"/>
      <c r="AF195" s="15"/>
      <c r="AG195" s="15"/>
      <c r="AH195" s="15"/>
    </row>
    <row r="196" spans="2:34" ht="14.25" customHeight="1">
      <c r="B196" s="15"/>
      <c r="C196" s="15"/>
      <c r="D196" s="15"/>
      <c r="H196" s="15"/>
      <c r="I196" s="15"/>
      <c r="J196" s="15"/>
      <c r="N196" s="15"/>
      <c r="O196" s="15"/>
      <c r="P196" s="15"/>
      <c r="T196" s="15"/>
      <c r="U196" s="15"/>
      <c r="V196" s="15"/>
      <c r="Z196" s="15"/>
      <c r="AA196" s="15"/>
      <c r="AB196" s="15"/>
      <c r="AF196" s="15"/>
      <c r="AG196" s="15"/>
      <c r="AH196" s="15"/>
    </row>
    <row r="197" spans="2:34" ht="14.25" customHeight="1">
      <c r="B197" s="15"/>
      <c r="C197" s="15"/>
      <c r="D197" s="15"/>
      <c r="H197" s="15"/>
      <c r="I197" s="15"/>
      <c r="J197" s="15"/>
      <c r="N197" s="15"/>
      <c r="O197" s="15"/>
      <c r="P197" s="15"/>
      <c r="T197" s="15"/>
      <c r="U197" s="15"/>
      <c r="V197" s="15"/>
      <c r="Z197" s="15"/>
      <c r="AA197" s="15"/>
      <c r="AB197" s="15"/>
      <c r="AF197" s="15"/>
      <c r="AG197" s="15"/>
      <c r="AH197" s="15"/>
    </row>
    <row r="198" spans="2:34" ht="14.25" customHeight="1">
      <c r="B198" s="15"/>
      <c r="C198" s="15"/>
      <c r="D198" s="15"/>
      <c r="H198" s="15"/>
      <c r="I198" s="15"/>
      <c r="J198" s="15"/>
      <c r="N198" s="15"/>
      <c r="O198" s="15"/>
      <c r="P198" s="15"/>
      <c r="T198" s="15"/>
      <c r="U198" s="15"/>
      <c r="V198" s="15"/>
      <c r="Z198" s="15"/>
      <c r="AA198" s="15"/>
      <c r="AB198" s="15"/>
      <c r="AF198" s="15"/>
      <c r="AG198" s="15"/>
      <c r="AH198" s="15"/>
    </row>
    <row r="199" spans="2:34" ht="14.25" customHeight="1">
      <c r="B199" s="15"/>
      <c r="C199" s="15"/>
      <c r="D199" s="15"/>
      <c r="H199" s="15"/>
      <c r="I199" s="15"/>
      <c r="J199" s="15"/>
      <c r="N199" s="15"/>
      <c r="O199" s="15"/>
      <c r="P199" s="15"/>
      <c r="T199" s="15"/>
      <c r="U199" s="15"/>
      <c r="V199" s="15"/>
      <c r="Z199" s="15"/>
      <c r="AA199" s="15"/>
      <c r="AB199" s="15"/>
      <c r="AF199" s="15"/>
      <c r="AG199" s="15"/>
      <c r="AH199" s="15"/>
    </row>
    <row r="200" spans="2:34" ht="14.25" customHeight="1">
      <c r="B200" s="15"/>
      <c r="C200" s="15"/>
      <c r="D200" s="15"/>
      <c r="H200" s="15"/>
      <c r="I200" s="15"/>
      <c r="J200" s="15"/>
      <c r="N200" s="15"/>
      <c r="O200" s="15"/>
      <c r="P200" s="15"/>
      <c r="T200" s="15"/>
      <c r="U200" s="15"/>
      <c r="V200" s="15"/>
      <c r="Z200" s="15"/>
      <c r="AA200" s="15"/>
      <c r="AB200" s="15"/>
      <c r="AF200" s="15"/>
      <c r="AG200" s="15"/>
      <c r="AH200" s="15"/>
    </row>
    <row r="201" spans="2:34" ht="14.25" customHeight="1">
      <c r="B201" s="15"/>
      <c r="C201" s="15"/>
      <c r="D201" s="15"/>
      <c r="H201" s="15"/>
      <c r="I201" s="15"/>
      <c r="J201" s="15"/>
      <c r="N201" s="15"/>
      <c r="O201" s="15"/>
      <c r="P201" s="15"/>
      <c r="T201" s="15"/>
      <c r="U201" s="15"/>
      <c r="V201" s="15"/>
      <c r="Z201" s="15"/>
      <c r="AA201" s="15"/>
      <c r="AB201" s="15"/>
      <c r="AF201" s="15"/>
      <c r="AG201" s="15"/>
      <c r="AH201" s="15"/>
    </row>
    <row r="202" spans="2:34" ht="14.25" customHeight="1">
      <c r="B202" s="15"/>
      <c r="C202" s="15"/>
      <c r="D202" s="15"/>
      <c r="H202" s="15"/>
      <c r="I202" s="15"/>
      <c r="J202" s="15"/>
      <c r="N202" s="15"/>
      <c r="O202" s="15"/>
      <c r="P202" s="15"/>
      <c r="T202" s="15"/>
      <c r="U202" s="15"/>
      <c r="V202" s="15"/>
      <c r="Z202" s="15"/>
      <c r="AA202" s="15"/>
      <c r="AB202" s="15"/>
      <c r="AF202" s="15"/>
      <c r="AG202" s="15"/>
      <c r="AH202" s="15"/>
    </row>
    <row r="203" spans="2:34" ht="14.25" customHeight="1">
      <c r="B203" s="15"/>
      <c r="C203" s="15"/>
      <c r="D203" s="15"/>
      <c r="H203" s="15"/>
      <c r="I203" s="15"/>
      <c r="J203" s="15"/>
      <c r="N203" s="15"/>
      <c r="O203" s="15"/>
      <c r="P203" s="15"/>
      <c r="T203" s="15"/>
      <c r="U203" s="15"/>
      <c r="V203" s="15"/>
      <c r="Z203" s="15"/>
      <c r="AA203" s="15"/>
      <c r="AB203" s="15"/>
      <c r="AF203" s="15"/>
      <c r="AG203" s="15"/>
      <c r="AH203" s="15"/>
    </row>
    <row r="204" spans="2:34" ht="14.25" customHeight="1">
      <c r="B204" s="15"/>
      <c r="C204" s="15"/>
      <c r="D204" s="15"/>
      <c r="H204" s="15"/>
      <c r="I204" s="15"/>
      <c r="J204" s="15"/>
      <c r="N204" s="15"/>
      <c r="O204" s="15"/>
      <c r="P204" s="15"/>
      <c r="T204" s="15"/>
      <c r="U204" s="15"/>
      <c r="V204" s="15"/>
      <c r="Z204" s="15"/>
      <c r="AA204" s="15"/>
      <c r="AB204" s="15"/>
      <c r="AF204" s="15"/>
      <c r="AG204" s="15"/>
      <c r="AH204" s="15"/>
    </row>
    <row r="205" spans="2:34" ht="14.25" customHeight="1">
      <c r="B205" s="15"/>
      <c r="C205" s="15"/>
      <c r="D205" s="15"/>
      <c r="H205" s="15"/>
      <c r="I205" s="15"/>
      <c r="J205" s="15"/>
      <c r="N205" s="15"/>
      <c r="O205" s="15"/>
      <c r="P205" s="15"/>
      <c r="T205" s="15"/>
      <c r="U205" s="15"/>
      <c r="V205" s="15"/>
      <c r="Z205" s="15"/>
      <c r="AA205" s="15"/>
      <c r="AB205" s="15"/>
      <c r="AF205" s="15"/>
      <c r="AG205" s="15"/>
      <c r="AH205" s="15"/>
    </row>
    <row r="206" spans="2:34" ht="14.25" customHeight="1">
      <c r="B206" s="15"/>
      <c r="C206" s="15"/>
      <c r="D206" s="15"/>
      <c r="H206" s="15"/>
      <c r="I206" s="15"/>
      <c r="J206" s="15"/>
      <c r="N206" s="15"/>
      <c r="O206" s="15"/>
      <c r="P206" s="15"/>
      <c r="T206" s="15"/>
      <c r="U206" s="15"/>
      <c r="V206" s="15"/>
      <c r="Z206" s="15"/>
      <c r="AA206" s="15"/>
      <c r="AB206" s="15"/>
      <c r="AF206" s="15"/>
      <c r="AG206" s="15"/>
      <c r="AH206" s="15"/>
    </row>
    <row r="207" spans="2:34" ht="14.25" customHeight="1">
      <c r="B207" s="15"/>
      <c r="C207" s="15"/>
      <c r="D207" s="15"/>
      <c r="H207" s="15"/>
      <c r="I207" s="15"/>
      <c r="J207" s="15"/>
      <c r="N207" s="15"/>
      <c r="O207" s="15"/>
      <c r="P207" s="15"/>
      <c r="T207" s="15"/>
      <c r="U207" s="15"/>
      <c r="V207" s="15"/>
      <c r="Z207" s="15"/>
      <c r="AA207" s="15"/>
      <c r="AB207" s="15"/>
      <c r="AF207" s="15"/>
      <c r="AG207" s="15"/>
      <c r="AH207" s="15"/>
    </row>
    <row r="208" spans="2:34" ht="14.25" customHeight="1">
      <c r="B208" s="15"/>
      <c r="C208" s="15"/>
      <c r="D208" s="15"/>
      <c r="H208" s="15"/>
      <c r="I208" s="15"/>
      <c r="J208" s="15"/>
      <c r="N208" s="15"/>
      <c r="O208" s="15"/>
      <c r="P208" s="15"/>
      <c r="T208" s="15"/>
      <c r="U208" s="15"/>
      <c r="V208" s="15"/>
      <c r="Z208" s="15"/>
      <c r="AA208" s="15"/>
      <c r="AB208" s="15"/>
      <c r="AF208" s="15"/>
      <c r="AG208" s="15"/>
      <c r="AH208" s="15"/>
    </row>
    <row r="209" spans="2:34" ht="14.25" customHeight="1">
      <c r="B209" s="15"/>
      <c r="C209" s="15"/>
      <c r="D209" s="15"/>
      <c r="H209" s="15"/>
      <c r="I209" s="15"/>
      <c r="J209" s="15"/>
      <c r="N209" s="15"/>
      <c r="O209" s="15"/>
      <c r="P209" s="15"/>
      <c r="T209" s="15"/>
      <c r="U209" s="15"/>
      <c r="V209" s="15"/>
      <c r="Z209" s="15"/>
      <c r="AA209" s="15"/>
      <c r="AB209" s="15"/>
      <c r="AF209" s="15"/>
      <c r="AG209" s="15"/>
      <c r="AH209" s="15"/>
    </row>
    <row r="210" spans="2:34" ht="14.25" customHeight="1">
      <c r="B210" s="15"/>
      <c r="C210" s="15"/>
      <c r="D210" s="15"/>
      <c r="H210" s="15"/>
      <c r="I210" s="15"/>
      <c r="J210" s="15"/>
      <c r="N210" s="15"/>
      <c r="O210" s="15"/>
      <c r="P210" s="15"/>
      <c r="T210" s="15"/>
      <c r="U210" s="15"/>
      <c r="V210" s="15"/>
      <c r="Z210" s="15"/>
      <c r="AA210" s="15"/>
      <c r="AB210" s="15"/>
      <c r="AF210" s="15"/>
      <c r="AG210" s="15"/>
      <c r="AH210" s="15"/>
    </row>
    <row r="211" spans="2:34" ht="14.25" customHeight="1">
      <c r="B211" s="15"/>
      <c r="C211" s="15"/>
      <c r="D211" s="15"/>
      <c r="H211" s="15"/>
      <c r="I211" s="15"/>
      <c r="J211" s="15"/>
      <c r="N211" s="15"/>
      <c r="O211" s="15"/>
      <c r="P211" s="15"/>
      <c r="T211" s="15"/>
      <c r="U211" s="15"/>
      <c r="V211" s="15"/>
      <c r="Z211" s="15"/>
      <c r="AA211" s="15"/>
      <c r="AB211" s="15"/>
      <c r="AF211" s="15"/>
      <c r="AG211" s="15"/>
      <c r="AH211" s="15"/>
    </row>
    <row r="212" spans="2:34" ht="14.25" customHeight="1">
      <c r="B212" s="15"/>
      <c r="C212" s="15"/>
      <c r="D212" s="15"/>
      <c r="H212" s="15"/>
      <c r="I212" s="15"/>
      <c r="J212" s="15"/>
      <c r="N212" s="15"/>
      <c r="O212" s="15"/>
      <c r="P212" s="15"/>
      <c r="T212" s="15"/>
      <c r="U212" s="15"/>
      <c r="V212" s="15"/>
      <c r="Z212" s="15"/>
      <c r="AA212" s="15"/>
      <c r="AB212" s="15"/>
      <c r="AF212" s="15"/>
      <c r="AG212" s="15"/>
      <c r="AH212" s="15"/>
    </row>
    <row r="213" spans="2:34" ht="14.25" customHeight="1">
      <c r="B213" s="15"/>
      <c r="C213" s="15"/>
      <c r="D213" s="15"/>
      <c r="H213" s="15"/>
      <c r="I213" s="15"/>
      <c r="J213" s="15"/>
      <c r="N213" s="15"/>
      <c r="O213" s="15"/>
      <c r="P213" s="15"/>
      <c r="T213" s="15"/>
      <c r="U213" s="15"/>
      <c r="V213" s="15"/>
      <c r="Z213" s="15"/>
      <c r="AA213" s="15"/>
      <c r="AB213" s="15"/>
      <c r="AF213" s="15"/>
      <c r="AG213" s="15"/>
      <c r="AH213" s="15"/>
    </row>
    <row r="214" spans="2:34" ht="14.25" customHeight="1">
      <c r="B214" s="15"/>
      <c r="C214" s="15"/>
      <c r="D214" s="15"/>
      <c r="H214" s="15"/>
      <c r="I214" s="15"/>
      <c r="J214" s="15"/>
      <c r="N214" s="15"/>
      <c r="O214" s="15"/>
      <c r="P214" s="15"/>
      <c r="T214" s="15"/>
      <c r="U214" s="15"/>
      <c r="V214" s="15"/>
      <c r="Z214" s="15"/>
      <c r="AA214" s="15"/>
      <c r="AB214" s="15"/>
      <c r="AF214" s="15"/>
      <c r="AG214" s="15"/>
      <c r="AH214" s="15"/>
    </row>
    <row r="215" spans="2:34" ht="14.25" customHeight="1">
      <c r="B215" s="15"/>
      <c r="C215" s="15"/>
      <c r="D215" s="15"/>
      <c r="H215" s="15"/>
      <c r="I215" s="15"/>
      <c r="J215" s="15"/>
      <c r="N215" s="15"/>
      <c r="O215" s="15"/>
      <c r="P215" s="15"/>
      <c r="T215" s="15"/>
      <c r="U215" s="15"/>
      <c r="V215" s="15"/>
      <c r="Z215" s="15"/>
      <c r="AA215" s="15"/>
      <c r="AB215" s="15"/>
      <c r="AF215" s="15"/>
      <c r="AG215" s="15"/>
      <c r="AH215" s="15"/>
    </row>
    <row r="216" spans="2:34" ht="14.25" customHeight="1">
      <c r="B216" s="15"/>
      <c r="C216" s="15"/>
      <c r="D216" s="15"/>
      <c r="H216" s="15"/>
      <c r="I216" s="15"/>
      <c r="J216" s="15"/>
      <c r="N216" s="15"/>
      <c r="O216" s="15"/>
      <c r="P216" s="15"/>
      <c r="T216" s="15"/>
      <c r="U216" s="15"/>
      <c r="V216" s="15"/>
      <c r="Z216" s="15"/>
      <c r="AA216" s="15"/>
      <c r="AB216" s="15"/>
      <c r="AF216" s="15"/>
      <c r="AG216" s="15"/>
      <c r="AH216" s="15"/>
    </row>
    <row r="217" spans="2:34" ht="14.25" customHeight="1">
      <c r="B217" s="15"/>
      <c r="C217" s="15"/>
      <c r="D217" s="15"/>
      <c r="H217" s="15"/>
      <c r="I217" s="15"/>
      <c r="J217" s="15"/>
      <c r="N217" s="15"/>
      <c r="O217" s="15"/>
      <c r="P217" s="15"/>
      <c r="T217" s="15"/>
      <c r="U217" s="15"/>
      <c r="V217" s="15"/>
      <c r="Z217" s="15"/>
      <c r="AA217" s="15"/>
      <c r="AB217" s="15"/>
      <c r="AF217" s="15"/>
      <c r="AG217" s="15"/>
      <c r="AH217" s="15"/>
    </row>
    <row r="218" spans="2:34" ht="14.25" customHeight="1">
      <c r="B218" s="15"/>
      <c r="C218" s="15"/>
      <c r="D218" s="15"/>
      <c r="H218" s="15"/>
      <c r="I218" s="15"/>
      <c r="J218" s="15"/>
      <c r="N218" s="15"/>
      <c r="O218" s="15"/>
      <c r="P218" s="15"/>
      <c r="T218" s="15"/>
      <c r="U218" s="15"/>
      <c r="V218" s="15"/>
      <c r="Z218" s="15"/>
      <c r="AA218" s="15"/>
      <c r="AB218" s="15"/>
      <c r="AF218" s="15"/>
      <c r="AG218" s="15"/>
      <c r="AH218" s="15"/>
    </row>
    <row r="219" spans="2:34" ht="14.25" customHeight="1">
      <c r="B219" s="15"/>
      <c r="C219" s="15"/>
      <c r="D219" s="15"/>
      <c r="H219" s="15"/>
      <c r="I219" s="15"/>
      <c r="J219" s="15"/>
      <c r="N219" s="15"/>
      <c r="O219" s="15"/>
      <c r="P219" s="15"/>
      <c r="T219" s="15"/>
      <c r="U219" s="15"/>
      <c r="V219" s="15"/>
      <c r="Z219" s="15"/>
      <c r="AA219" s="15"/>
      <c r="AB219" s="15"/>
      <c r="AF219" s="15"/>
      <c r="AG219" s="15"/>
      <c r="AH219" s="15"/>
    </row>
    <row r="220" spans="2:34" ht="14.25" customHeight="1">
      <c r="B220" s="15"/>
      <c r="C220" s="15"/>
      <c r="D220" s="15"/>
      <c r="H220" s="15"/>
      <c r="I220" s="15"/>
      <c r="J220" s="15"/>
      <c r="N220" s="15"/>
      <c r="O220" s="15"/>
      <c r="P220" s="15"/>
      <c r="T220" s="15"/>
      <c r="U220" s="15"/>
      <c r="V220" s="15"/>
      <c r="Z220" s="15"/>
      <c r="AA220" s="15"/>
      <c r="AB220" s="15"/>
      <c r="AF220" s="15"/>
      <c r="AG220" s="15"/>
      <c r="AH220" s="15"/>
    </row>
    <row r="221" spans="2:34" ht="14.25" customHeight="1">
      <c r="B221" s="15"/>
      <c r="C221" s="15"/>
      <c r="D221" s="15"/>
      <c r="H221" s="15"/>
      <c r="I221" s="15"/>
      <c r="J221" s="15"/>
      <c r="N221" s="15"/>
      <c r="O221" s="15"/>
      <c r="P221" s="15"/>
      <c r="T221" s="15"/>
      <c r="U221" s="15"/>
      <c r="V221" s="15"/>
      <c r="Z221" s="15"/>
      <c r="AA221" s="15"/>
      <c r="AB221" s="15"/>
      <c r="AF221" s="15"/>
      <c r="AG221" s="15"/>
      <c r="AH221" s="15"/>
    </row>
    <row r="222" spans="2:34" ht="14.25" customHeight="1">
      <c r="B222" s="15"/>
      <c r="C222" s="15"/>
      <c r="D222" s="15"/>
      <c r="H222" s="15"/>
      <c r="I222" s="15"/>
      <c r="J222" s="15"/>
      <c r="N222" s="15"/>
      <c r="O222" s="15"/>
      <c r="P222" s="15"/>
      <c r="T222" s="15"/>
      <c r="U222" s="15"/>
      <c r="V222" s="15"/>
      <c r="Z222" s="15"/>
      <c r="AA222" s="15"/>
      <c r="AB222" s="15"/>
      <c r="AF222" s="15"/>
      <c r="AG222" s="15"/>
      <c r="AH222" s="15"/>
    </row>
    <row r="223" spans="2:34" ht="14.25" customHeight="1">
      <c r="B223" s="15"/>
      <c r="C223" s="15"/>
      <c r="D223" s="15"/>
      <c r="H223" s="15"/>
      <c r="I223" s="15"/>
      <c r="J223" s="15"/>
      <c r="N223" s="15"/>
      <c r="O223" s="15"/>
      <c r="P223" s="15"/>
      <c r="T223" s="15"/>
      <c r="U223" s="15"/>
      <c r="V223" s="15"/>
      <c r="Z223" s="15"/>
      <c r="AA223" s="15"/>
      <c r="AB223" s="15"/>
      <c r="AF223" s="15"/>
      <c r="AG223" s="15"/>
      <c r="AH223" s="15"/>
    </row>
    <row r="224" spans="2:34" ht="14.25" customHeight="1">
      <c r="B224" s="15"/>
      <c r="C224" s="15"/>
      <c r="D224" s="15"/>
      <c r="H224" s="15"/>
      <c r="I224" s="15"/>
      <c r="J224" s="15"/>
      <c r="N224" s="15"/>
      <c r="O224" s="15"/>
      <c r="P224" s="15"/>
      <c r="T224" s="15"/>
      <c r="U224" s="15"/>
      <c r="V224" s="15"/>
      <c r="Z224" s="15"/>
      <c r="AA224" s="15"/>
      <c r="AB224" s="15"/>
      <c r="AF224" s="15"/>
      <c r="AG224" s="15"/>
      <c r="AH224" s="15"/>
    </row>
    <row r="225" spans="2:34" ht="14.25" customHeight="1">
      <c r="B225" s="15"/>
      <c r="C225" s="15"/>
      <c r="D225" s="15"/>
      <c r="H225" s="15"/>
      <c r="I225" s="15"/>
      <c r="J225" s="15"/>
      <c r="N225" s="15"/>
      <c r="O225" s="15"/>
      <c r="P225" s="15"/>
      <c r="T225" s="15"/>
      <c r="U225" s="15"/>
      <c r="V225" s="15"/>
      <c r="Z225" s="15"/>
      <c r="AA225" s="15"/>
      <c r="AB225" s="15"/>
      <c r="AF225" s="15"/>
      <c r="AG225" s="15"/>
      <c r="AH225" s="15"/>
    </row>
    <row r="226" spans="2:34" ht="14.25" customHeight="1">
      <c r="B226" s="15"/>
      <c r="C226" s="15"/>
      <c r="D226" s="15"/>
      <c r="H226" s="15"/>
      <c r="I226" s="15"/>
      <c r="J226" s="15"/>
      <c r="N226" s="15"/>
      <c r="O226" s="15"/>
      <c r="P226" s="15"/>
      <c r="T226" s="15"/>
      <c r="U226" s="15"/>
      <c r="V226" s="15"/>
      <c r="Z226" s="15"/>
      <c r="AA226" s="15"/>
      <c r="AB226" s="15"/>
      <c r="AF226" s="15"/>
      <c r="AG226" s="15"/>
      <c r="AH226" s="15"/>
    </row>
    <row r="227" spans="2:34" ht="14.25" customHeight="1">
      <c r="B227" s="15"/>
      <c r="C227" s="15"/>
      <c r="D227" s="15"/>
      <c r="H227" s="15"/>
      <c r="I227" s="15"/>
      <c r="J227" s="15"/>
      <c r="N227" s="15"/>
      <c r="O227" s="15"/>
      <c r="P227" s="15"/>
      <c r="T227" s="15"/>
      <c r="U227" s="15"/>
      <c r="V227" s="15"/>
      <c r="Z227" s="15"/>
      <c r="AA227" s="15"/>
      <c r="AB227" s="15"/>
      <c r="AF227" s="15"/>
      <c r="AG227" s="15"/>
      <c r="AH227" s="15"/>
    </row>
    <row r="228" spans="2:34" ht="14.25" customHeight="1">
      <c r="B228" s="15"/>
      <c r="C228" s="15"/>
      <c r="D228" s="15"/>
      <c r="H228" s="15"/>
      <c r="I228" s="15"/>
      <c r="J228" s="15"/>
      <c r="N228" s="15"/>
      <c r="O228" s="15"/>
      <c r="P228" s="15"/>
      <c r="T228" s="15"/>
      <c r="U228" s="15"/>
      <c r="V228" s="15"/>
      <c r="Z228" s="15"/>
      <c r="AA228" s="15"/>
      <c r="AB228" s="15"/>
      <c r="AF228" s="15"/>
      <c r="AG228" s="15"/>
      <c r="AH228" s="15"/>
    </row>
    <row r="229" spans="2:34" ht="14.25" customHeight="1">
      <c r="B229" s="15"/>
      <c r="C229" s="15"/>
      <c r="D229" s="15"/>
      <c r="H229" s="15"/>
      <c r="I229" s="15"/>
      <c r="J229" s="15"/>
      <c r="N229" s="15"/>
      <c r="O229" s="15"/>
      <c r="P229" s="15"/>
      <c r="T229" s="15"/>
      <c r="U229" s="15"/>
      <c r="V229" s="15"/>
      <c r="Z229" s="15"/>
      <c r="AA229" s="15"/>
      <c r="AB229" s="15"/>
      <c r="AF229" s="15"/>
      <c r="AG229" s="15"/>
      <c r="AH229" s="15"/>
    </row>
    <row r="230" spans="2:34" ht="14.25" customHeight="1">
      <c r="B230" s="15"/>
      <c r="C230" s="15"/>
      <c r="D230" s="15"/>
      <c r="H230" s="15"/>
      <c r="I230" s="15"/>
      <c r="J230" s="15"/>
      <c r="N230" s="15"/>
      <c r="O230" s="15"/>
      <c r="P230" s="15"/>
      <c r="T230" s="15"/>
      <c r="U230" s="15"/>
      <c r="V230" s="15"/>
      <c r="Z230" s="15"/>
      <c r="AA230" s="15"/>
      <c r="AB230" s="15"/>
      <c r="AF230" s="15"/>
      <c r="AG230" s="15"/>
      <c r="AH230" s="15"/>
    </row>
    <row r="231" spans="2:34" ht="14.25" customHeight="1">
      <c r="B231" s="15"/>
      <c r="C231" s="15"/>
      <c r="D231" s="15"/>
      <c r="H231" s="15"/>
      <c r="I231" s="15"/>
      <c r="J231" s="15"/>
      <c r="N231" s="15"/>
      <c r="O231" s="15"/>
      <c r="P231" s="15"/>
      <c r="T231" s="15"/>
      <c r="U231" s="15"/>
      <c r="V231" s="15"/>
      <c r="Z231" s="15"/>
      <c r="AA231" s="15"/>
      <c r="AB231" s="15"/>
      <c r="AF231" s="15"/>
      <c r="AG231" s="15"/>
      <c r="AH231" s="15"/>
    </row>
    <row r="232" spans="2:34" ht="14.25" customHeight="1">
      <c r="B232" s="15"/>
      <c r="C232" s="15"/>
      <c r="D232" s="15"/>
      <c r="H232" s="15"/>
      <c r="I232" s="15"/>
      <c r="J232" s="15"/>
      <c r="N232" s="15"/>
      <c r="O232" s="15"/>
      <c r="P232" s="15"/>
      <c r="T232" s="15"/>
      <c r="U232" s="15"/>
      <c r="V232" s="15"/>
      <c r="Z232" s="15"/>
      <c r="AA232" s="15"/>
      <c r="AB232" s="15"/>
      <c r="AF232" s="15"/>
      <c r="AG232" s="15"/>
      <c r="AH232" s="15"/>
    </row>
    <row r="233" spans="2:34" ht="14.25" customHeight="1">
      <c r="B233" s="15"/>
      <c r="C233" s="15"/>
      <c r="D233" s="15"/>
      <c r="H233" s="15"/>
      <c r="I233" s="15"/>
      <c r="J233" s="15"/>
      <c r="N233" s="15"/>
      <c r="O233" s="15"/>
      <c r="P233" s="15"/>
      <c r="T233" s="15"/>
      <c r="U233" s="15"/>
      <c r="V233" s="15"/>
      <c r="Z233" s="15"/>
      <c r="AA233" s="15"/>
      <c r="AB233" s="15"/>
      <c r="AF233" s="15"/>
      <c r="AG233" s="15"/>
      <c r="AH233" s="15"/>
    </row>
    <row r="234" spans="2:34" ht="14.25" customHeight="1">
      <c r="B234" s="15"/>
      <c r="C234" s="15"/>
      <c r="D234" s="15"/>
      <c r="H234" s="15"/>
      <c r="I234" s="15"/>
      <c r="J234" s="15"/>
      <c r="N234" s="15"/>
      <c r="O234" s="15"/>
      <c r="P234" s="15"/>
      <c r="T234" s="15"/>
      <c r="U234" s="15"/>
      <c r="V234" s="15"/>
      <c r="Z234" s="15"/>
      <c r="AA234" s="15"/>
      <c r="AB234" s="15"/>
      <c r="AF234" s="15"/>
      <c r="AG234" s="15"/>
      <c r="AH234" s="15"/>
    </row>
    <row r="235" spans="2:34" ht="14.25" customHeight="1">
      <c r="B235" s="15"/>
      <c r="C235" s="15"/>
      <c r="D235" s="15"/>
      <c r="H235" s="15"/>
      <c r="I235" s="15"/>
      <c r="J235" s="15"/>
      <c r="N235" s="15"/>
      <c r="O235" s="15"/>
      <c r="P235" s="15"/>
      <c r="T235" s="15"/>
      <c r="U235" s="15"/>
      <c r="V235" s="15"/>
      <c r="Z235" s="15"/>
      <c r="AA235" s="15"/>
      <c r="AB235" s="15"/>
      <c r="AF235" s="15"/>
      <c r="AG235" s="15"/>
      <c r="AH235" s="15"/>
    </row>
    <row r="236" spans="2:34" ht="14.25" customHeight="1">
      <c r="B236" s="15"/>
      <c r="C236" s="15"/>
      <c r="D236" s="15"/>
      <c r="H236" s="15"/>
      <c r="I236" s="15"/>
      <c r="J236" s="15"/>
      <c r="N236" s="15"/>
      <c r="O236" s="15"/>
      <c r="P236" s="15"/>
      <c r="T236" s="15"/>
      <c r="U236" s="15"/>
      <c r="V236" s="15"/>
      <c r="Z236" s="15"/>
      <c r="AA236" s="15"/>
      <c r="AB236" s="15"/>
      <c r="AF236" s="15"/>
      <c r="AG236" s="15"/>
      <c r="AH236" s="15"/>
    </row>
    <row r="237" spans="2:34" ht="14.25" customHeight="1">
      <c r="B237" s="15"/>
      <c r="C237" s="15"/>
      <c r="D237" s="15"/>
      <c r="H237" s="15"/>
      <c r="I237" s="15"/>
      <c r="J237" s="15"/>
      <c r="N237" s="15"/>
      <c r="O237" s="15"/>
      <c r="P237" s="15"/>
      <c r="T237" s="15"/>
      <c r="U237" s="15"/>
      <c r="V237" s="15"/>
      <c r="Z237" s="15"/>
      <c r="AA237" s="15"/>
      <c r="AB237" s="15"/>
      <c r="AF237" s="15"/>
      <c r="AG237" s="15"/>
      <c r="AH237" s="15"/>
    </row>
    <row r="238" spans="2:34" ht="14.25" customHeight="1">
      <c r="B238" s="15"/>
      <c r="C238" s="15"/>
      <c r="D238" s="15"/>
      <c r="H238" s="15"/>
      <c r="I238" s="15"/>
      <c r="J238" s="15"/>
      <c r="N238" s="15"/>
      <c r="O238" s="15"/>
      <c r="P238" s="15"/>
      <c r="T238" s="15"/>
      <c r="U238" s="15"/>
      <c r="V238" s="15"/>
      <c r="Z238" s="15"/>
      <c r="AA238" s="15"/>
      <c r="AB238" s="15"/>
      <c r="AF238" s="15"/>
      <c r="AG238" s="15"/>
      <c r="AH238" s="15"/>
    </row>
    <row r="239" spans="2:34" ht="14.25" customHeight="1">
      <c r="B239" s="15"/>
      <c r="C239" s="15"/>
      <c r="D239" s="15"/>
      <c r="H239" s="15"/>
      <c r="I239" s="15"/>
      <c r="J239" s="15"/>
      <c r="N239" s="15"/>
      <c r="O239" s="15"/>
      <c r="P239" s="15"/>
      <c r="T239" s="15"/>
      <c r="U239" s="15"/>
      <c r="V239" s="15"/>
      <c r="Z239" s="15"/>
      <c r="AA239" s="15"/>
      <c r="AB239" s="15"/>
      <c r="AF239" s="15"/>
      <c r="AG239" s="15"/>
      <c r="AH239" s="15"/>
    </row>
    <row r="240" spans="2:34" ht="14.25" customHeight="1">
      <c r="B240" s="15"/>
      <c r="C240" s="15"/>
      <c r="D240" s="15"/>
      <c r="H240" s="15"/>
      <c r="I240" s="15"/>
      <c r="J240" s="15"/>
      <c r="N240" s="15"/>
      <c r="O240" s="15"/>
      <c r="P240" s="15"/>
      <c r="T240" s="15"/>
      <c r="U240" s="15"/>
      <c r="V240" s="15"/>
      <c r="Z240" s="15"/>
      <c r="AA240" s="15"/>
      <c r="AB240" s="15"/>
      <c r="AF240" s="15"/>
      <c r="AG240" s="15"/>
      <c r="AH240" s="15"/>
    </row>
    <row r="241" spans="2:34" ht="14.25" customHeight="1">
      <c r="B241" s="15"/>
      <c r="C241" s="15"/>
      <c r="D241" s="15"/>
      <c r="H241" s="15"/>
      <c r="I241" s="15"/>
      <c r="J241" s="15"/>
      <c r="N241" s="15"/>
      <c r="O241" s="15"/>
      <c r="P241" s="15"/>
      <c r="T241" s="15"/>
      <c r="U241" s="15"/>
      <c r="V241" s="15"/>
      <c r="Z241" s="15"/>
      <c r="AA241" s="15"/>
      <c r="AB241" s="15"/>
      <c r="AF241" s="15"/>
      <c r="AG241" s="15"/>
      <c r="AH241" s="15"/>
    </row>
    <row r="242" spans="2:34" ht="14.25" customHeight="1">
      <c r="B242" s="15"/>
      <c r="C242" s="15"/>
      <c r="D242" s="15"/>
      <c r="H242" s="15"/>
      <c r="I242" s="15"/>
      <c r="J242" s="15"/>
      <c r="N242" s="15"/>
      <c r="O242" s="15"/>
      <c r="P242" s="15"/>
      <c r="T242" s="15"/>
      <c r="U242" s="15"/>
      <c r="V242" s="15"/>
      <c r="Z242" s="15"/>
      <c r="AA242" s="15"/>
      <c r="AB242" s="15"/>
      <c r="AF242" s="15"/>
      <c r="AG242" s="15"/>
      <c r="AH242" s="15"/>
    </row>
    <row r="243" spans="2:34" ht="14.25" customHeight="1">
      <c r="B243" s="15"/>
      <c r="C243" s="15"/>
      <c r="D243" s="15"/>
      <c r="H243" s="15"/>
      <c r="I243" s="15"/>
      <c r="J243" s="15"/>
      <c r="N243" s="15"/>
      <c r="O243" s="15"/>
      <c r="P243" s="15"/>
      <c r="T243" s="15"/>
      <c r="U243" s="15"/>
      <c r="V243" s="15"/>
      <c r="Z243" s="15"/>
      <c r="AA243" s="15"/>
      <c r="AB243" s="15"/>
      <c r="AF243" s="15"/>
      <c r="AG243" s="15"/>
      <c r="AH243" s="15"/>
    </row>
    <row r="244" spans="2:34" ht="14.25" customHeight="1">
      <c r="B244" s="15"/>
      <c r="C244" s="15"/>
      <c r="D244" s="15"/>
      <c r="H244" s="15"/>
      <c r="I244" s="15"/>
      <c r="J244" s="15"/>
      <c r="N244" s="15"/>
      <c r="O244" s="15"/>
      <c r="P244" s="15"/>
      <c r="T244" s="15"/>
      <c r="U244" s="15"/>
      <c r="V244" s="15"/>
      <c r="Z244" s="15"/>
      <c r="AA244" s="15"/>
      <c r="AB244" s="15"/>
      <c r="AF244" s="15"/>
      <c r="AG244" s="15"/>
      <c r="AH244" s="15"/>
    </row>
    <row r="245" spans="2:34" ht="14.25" customHeight="1">
      <c r="B245" s="15"/>
      <c r="C245" s="15"/>
      <c r="D245" s="15"/>
      <c r="H245" s="15"/>
      <c r="I245" s="15"/>
      <c r="J245" s="15"/>
      <c r="N245" s="15"/>
      <c r="O245" s="15"/>
      <c r="P245" s="15"/>
      <c r="T245" s="15"/>
      <c r="U245" s="15"/>
      <c r="V245" s="15"/>
      <c r="Z245" s="15"/>
      <c r="AA245" s="15"/>
      <c r="AB245" s="15"/>
      <c r="AF245" s="15"/>
      <c r="AG245" s="15"/>
      <c r="AH245" s="15"/>
    </row>
    <row r="246" spans="2:34" ht="14.25" customHeight="1">
      <c r="B246" s="15"/>
      <c r="C246" s="15"/>
      <c r="D246" s="15"/>
      <c r="H246" s="15"/>
      <c r="I246" s="15"/>
      <c r="J246" s="15"/>
      <c r="N246" s="15"/>
      <c r="O246" s="15"/>
      <c r="P246" s="15"/>
      <c r="T246" s="15"/>
      <c r="U246" s="15"/>
      <c r="V246" s="15"/>
      <c r="Z246" s="15"/>
      <c r="AA246" s="15"/>
      <c r="AB246" s="15"/>
      <c r="AF246" s="15"/>
      <c r="AG246" s="15"/>
      <c r="AH246" s="15"/>
    </row>
    <row r="247" spans="2:34" ht="14.25" customHeight="1">
      <c r="B247" s="15"/>
      <c r="C247" s="15"/>
      <c r="D247" s="15"/>
      <c r="H247" s="15"/>
      <c r="I247" s="15"/>
      <c r="J247" s="15"/>
      <c r="N247" s="15"/>
      <c r="O247" s="15"/>
      <c r="P247" s="15"/>
      <c r="T247" s="15"/>
      <c r="U247" s="15"/>
      <c r="V247" s="15"/>
      <c r="Z247" s="15"/>
      <c r="AA247" s="15"/>
      <c r="AB247" s="15"/>
      <c r="AF247" s="15"/>
      <c r="AG247" s="15"/>
      <c r="AH247" s="15"/>
    </row>
    <row r="248" spans="2:34" ht="14.25" customHeight="1">
      <c r="B248" s="15"/>
      <c r="C248" s="15"/>
      <c r="D248" s="15"/>
      <c r="H248" s="15"/>
      <c r="I248" s="15"/>
      <c r="J248" s="15"/>
      <c r="N248" s="15"/>
      <c r="O248" s="15"/>
      <c r="P248" s="15"/>
      <c r="T248" s="15"/>
      <c r="U248" s="15"/>
      <c r="V248" s="15"/>
      <c r="Z248" s="15"/>
      <c r="AA248" s="15"/>
      <c r="AB248" s="15"/>
      <c r="AF248" s="15"/>
      <c r="AG248" s="15"/>
      <c r="AH248" s="15"/>
    </row>
    <row r="249" spans="2:34" ht="14.25" customHeight="1">
      <c r="B249" s="15"/>
      <c r="C249" s="15"/>
      <c r="D249" s="15"/>
      <c r="H249" s="15"/>
      <c r="I249" s="15"/>
      <c r="J249" s="15"/>
      <c r="N249" s="15"/>
      <c r="O249" s="15"/>
      <c r="P249" s="15"/>
      <c r="T249" s="15"/>
      <c r="U249" s="15"/>
      <c r="V249" s="15"/>
      <c r="Z249" s="15"/>
      <c r="AA249" s="15"/>
      <c r="AB249" s="15"/>
      <c r="AF249" s="15"/>
      <c r="AG249" s="15"/>
      <c r="AH249" s="15"/>
    </row>
    <row r="250" spans="2:34" ht="14.25" customHeight="1">
      <c r="B250" s="15"/>
      <c r="C250" s="15"/>
      <c r="D250" s="15"/>
      <c r="H250" s="15"/>
      <c r="I250" s="15"/>
      <c r="J250" s="15"/>
      <c r="N250" s="15"/>
      <c r="O250" s="15"/>
      <c r="P250" s="15"/>
      <c r="T250" s="15"/>
      <c r="U250" s="15"/>
      <c r="V250" s="15"/>
      <c r="Z250" s="15"/>
      <c r="AA250" s="15"/>
      <c r="AB250" s="15"/>
      <c r="AF250" s="15"/>
      <c r="AG250" s="15"/>
      <c r="AH250" s="15"/>
    </row>
    <row r="251" spans="2:34" ht="14.25" customHeight="1">
      <c r="B251" s="15"/>
      <c r="C251" s="15"/>
      <c r="D251" s="15"/>
      <c r="H251" s="15"/>
      <c r="I251" s="15"/>
      <c r="J251" s="15"/>
      <c r="N251" s="15"/>
      <c r="O251" s="15"/>
      <c r="P251" s="15"/>
      <c r="T251" s="15"/>
      <c r="U251" s="15"/>
      <c r="V251" s="15"/>
      <c r="Z251" s="15"/>
      <c r="AA251" s="15"/>
      <c r="AB251" s="15"/>
      <c r="AF251" s="15"/>
      <c r="AG251" s="15"/>
      <c r="AH251" s="15"/>
    </row>
    <row r="252" spans="2:34" ht="14.25" customHeight="1">
      <c r="B252" s="15"/>
      <c r="C252" s="15"/>
      <c r="D252" s="15"/>
      <c r="H252" s="15"/>
      <c r="I252" s="15"/>
      <c r="J252" s="15"/>
      <c r="N252" s="15"/>
      <c r="O252" s="15"/>
      <c r="P252" s="15"/>
      <c r="T252" s="15"/>
      <c r="U252" s="15"/>
      <c r="V252" s="15"/>
      <c r="Z252" s="15"/>
      <c r="AA252" s="15"/>
      <c r="AB252" s="15"/>
      <c r="AF252" s="15"/>
      <c r="AG252" s="15"/>
      <c r="AH252" s="15"/>
    </row>
    <row r="253" spans="2:34" ht="14.25" customHeight="1">
      <c r="B253" s="15"/>
      <c r="C253" s="15"/>
      <c r="D253" s="15"/>
      <c r="H253" s="15"/>
      <c r="I253" s="15"/>
      <c r="J253" s="15"/>
      <c r="N253" s="15"/>
      <c r="O253" s="15"/>
      <c r="P253" s="15"/>
      <c r="T253" s="15"/>
      <c r="U253" s="15"/>
      <c r="V253" s="15"/>
      <c r="Z253" s="15"/>
      <c r="AA253" s="15"/>
      <c r="AB253" s="15"/>
      <c r="AF253" s="15"/>
      <c r="AG253" s="15"/>
      <c r="AH253" s="15"/>
    </row>
    <row r="254" spans="2:34" ht="14.25" customHeight="1">
      <c r="B254" s="15"/>
      <c r="C254" s="15"/>
      <c r="D254" s="15"/>
      <c r="H254" s="15"/>
      <c r="I254" s="15"/>
      <c r="J254" s="15"/>
      <c r="N254" s="15"/>
      <c r="O254" s="15"/>
      <c r="P254" s="15"/>
      <c r="T254" s="15"/>
      <c r="U254" s="15"/>
      <c r="V254" s="15"/>
      <c r="Z254" s="15"/>
      <c r="AA254" s="15"/>
      <c r="AB254" s="15"/>
      <c r="AF254" s="15"/>
      <c r="AG254" s="15"/>
      <c r="AH254" s="15"/>
    </row>
    <row r="255" spans="2:34" ht="14.25" customHeight="1">
      <c r="B255" s="15"/>
      <c r="C255" s="15"/>
      <c r="D255" s="15"/>
      <c r="H255" s="15"/>
      <c r="I255" s="15"/>
      <c r="J255" s="15"/>
      <c r="N255" s="15"/>
      <c r="O255" s="15"/>
      <c r="P255" s="15"/>
      <c r="T255" s="15"/>
      <c r="U255" s="15"/>
      <c r="V255" s="15"/>
      <c r="Z255" s="15"/>
      <c r="AA255" s="15"/>
      <c r="AB255" s="15"/>
      <c r="AF255" s="15"/>
      <c r="AG255" s="15"/>
      <c r="AH255" s="15"/>
    </row>
    <row r="256" spans="2:34" ht="14.25" customHeight="1">
      <c r="B256" s="15"/>
      <c r="C256" s="15"/>
      <c r="D256" s="15"/>
      <c r="H256" s="15"/>
      <c r="I256" s="15"/>
      <c r="J256" s="15"/>
      <c r="N256" s="15"/>
      <c r="O256" s="15"/>
      <c r="P256" s="15"/>
      <c r="T256" s="15"/>
      <c r="U256" s="15"/>
      <c r="V256" s="15"/>
      <c r="Z256" s="15"/>
      <c r="AA256" s="15"/>
      <c r="AB256" s="15"/>
      <c r="AF256" s="15"/>
      <c r="AG256" s="15"/>
      <c r="AH256" s="15"/>
    </row>
    <row r="257" spans="2:34" ht="14.25" customHeight="1">
      <c r="B257" s="15"/>
      <c r="C257" s="15"/>
      <c r="D257" s="15"/>
      <c r="H257" s="15"/>
      <c r="I257" s="15"/>
      <c r="J257" s="15"/>
      <c r="N257" s="15"/>
      <c r="O257" s="15"/>
      <c r="P257" s="15"/>
      <c r="T257" s="15"/>
      <c r="U257" s="15"/>
      <c r="V257" s="15"/>
      <c r="Z257" s="15"/>
      <c r="AA257" s="15"/>
      <c r="AB257" s="15"/>
      <c r="AF257" s="15"/>
      <c r="AG257" s="15"/>
      <c r="AH257" s="15"/>
    </row>
    <row r="258" spans="2:34" ht="14.25" customHeight="1">
      <c r="B258" s="15"/>
      <c r="C258" s="15"/>
      <c r="D258" s="15"/>
      <c r="H258" s="15"/>
      <c r="I258" s="15"/>
      <c r="J258" s="15"/>
      <c r="N258" s="15"/>
      <c r="O258" s="15"/>
      <c r="P258" s="15"/>
      <c r="T258" s="15"/>
      <c r="U258" s="15"/>
      <c r="V258" s="15"/>
      <c r="Z258" s="15"/>
      <c r="AA258" s="15"/>
      <c r="AB258" s="15"/>
      <c r="AF258" s="15"/>
      <c r="AG258" s="15"/>
      <c r="AH258" s="15"/>
    </row>
    <row r="259" spans="2:34" ht="14.25" customHeight="1">
      <c r="B259" s="15"/>
      <c r="C259" s="15"/>
      <c r="D259" s="15"/>
      <c r="H259" s="15"/>
      <c r="I259" s="15"/>
      <c r="J259" s="15"/>
      <c r="N259" s="15"/>
      <c r="O259" s="15"/>
      <c r="P259" s="15"/>
      <c r="T259" s="15"/>
      <c r="U259" s="15"/>
      <c r="V259" s="15"/>
      <c r="Z259" s="15"/>
      <c r="AA259" s="15"/>
      <c r="AB259" s="15"/>
      <c r="AF259" s="15"/>
      <c r="AG259" s="15"/>
      <c r="AH259" s="15"/>
    </row>
    <row r="260" spans="2:34" ht="14.25" customHeight="1">
      <c r="B260" s="15"/>
      <c r="C260" s="15"/>
      <c r="D260" s="15"/>
      <c r="H260" s="15"/>
      <c r="I260" s="15"/>
      <c r="J260" s="15"/>
      <c r="N260" s="15"/>
      <c r="O260" s="15"/>
      <c r="P260" s="15"/>
      <c r="T260" s="15"/>
      <c r="U260" s="15"/>
      <c r="V260" s="15"/>
      <c r="Z260" s="15"/>
      <c r="AA260" s="15"/>
      <c r="AB260" s="15"/>
      <c r="AF260" s="15"/>
      <c r="AG260" s="15"/>
      <c r="AH260" s="15"/>
    </row>
    <row r="261" spans="2:34" ht="14.25" customHeight="1">
      <c r="B261" s="15"/>
      <c r="C261" s="15"/>
      <c r="D261" s="15"/>
      <c r="H261" s="15"/>
      <c r="I261" s="15"/>
      <c r="J261" s="15"/>
      <c r="N261" s="15"/>
      <c r="O261" s="15"/>
      <c r="P261" s="15"/>
      <c r="T261" s="15"/>
      <c r="U261" s="15"/>
      <c r="V261" s="15"/>
      <c r="Z261" s="15"/>
      <c r="AA261" s="15"/>
      <c r="AB261" s="15"/>
      <c r="AF261" s="15"/>
      <c r="AG261" s="15"/>
      <c r="AH261" s="15"/>
    </row>
    <row r="262" spans="2:34" ht="14.25" customHeight="1">
      <c r="B262" s="15"/>
      <c r="C262" s="15"/>
      <c r="D262" s="15"/>
      <c r="H262" s="15"/>
      <c r="I262" s="15"/>
      <c r="J262" s="15"/>
      <c r="N262" s="15"/>
      <c r="O262" s="15"/>
      <c r="P262" s="15"/>
      <c r="T262" s="15"/>
      <c r="U262" s="15"/>
      <c r="V262" s="15"/>
      <c r="Z262" s="15"/>
      <c r="AA262" s="15"/>
      <c r="AB262" s="15"/>
      <c r="AF262" s="15"/>
      <c r="AG262" s="15"/>
      <c r="AH262" s="15"/>
    </row>
    <row r="263" spans="2:34" ht="14.25" customHeight="1">
      <c r="B263" s="15"/>
      <c r="C263" s="15"/>
      <c r="D263" s="15"/>
      <c r="H263" s="15"/>
      <c r="I263" s="15"/>
      <c r="J263" s="15"/>
      <c r="N263" s="15"/>
      <c r="O263" s="15"/>
      <c r="P263" s="15"/>
      <c r="T263" s="15"/>
      <c r="U263" s="15"/>
      <c r="V263" s="15"/>
      <c r="Z263" s="15"/>
      <c r="AA263" s="15"/>
      <c r="AB263" s="15"/>
      <c r="AF263" s="15"/>
      <c r="AG263" s="15"/>
      <c r="AH263" s="15"/>
    </row>
    <row r="264" spans="2:34" ht="14.25" customHeight="1">
      <c r="B264" s="15"/>
      <c r="C264" s="15"/>
      <c r="D264" s="15"/>
      <c r="H264" s="15"/>
      <c r="I264" s="15"/>
      <c r="J264" s="15"/>
      <c r="N264" s="15"/>
      <c r="O264" s="15"/>
      <c r="P264" s="15"/>
      <c r="T264" s="15"/>
      <c r="U264" s="15"/>
      <c r="V264" s="15"/>
      <c r="Z264" s="15"/>
      <c r="AA264" s="15"/>
      <c r="AB264" s="15"/>
      <c r="AF264" s="15"/>
      <c r="AG264" s="15"/>
      <c r="AH264" s="15"/>
    </row>
    <row r="265" spans="2:34" ht="14.25" customHeight="1">
      <c r="B265" s="15"/>
      <c r="C265" s="15"/>
      <c r="D265" s="15"/>
      <c r="H265" s="15"/>
      <c r="I265" s="15"/>
      <c r="J265" s="15"/>
      <c r="N265" s="15"/>
      <c r="O265" s="15"/>
      <c r="P265" s="15"/>
      <c r="T265" s="15"/>
      <c r="U265" s="15"/>
      <c r="V265" s="15"/>
      <c r="Z265" s="15"/>
      <c r="AA265" s="15"/>
      <c r="AB265" s="15"/>
      <c r="AF265" s="15"/>
      <c r="AG265" s="15"/>
      <c r="AH265" s="15"/>
    </row>
    <row r="266" spans="2:34" ht="14.25" customHeight="1">
      <c r="B266" s="15"/>
      <c r="C266" s="15"/>
      <c r="D266" s="15"/>
      <c r="H266" s="15"/>
      <c r="I266" s="15"/>
      <c r="J266" s="15"/>
      <c r="N266" s="15"/>
      <c r="O266" s="15"/>
      <c r="P266" s="15"/>
      <c r="T266" s="15"/>
      <c r="U266" s="15"/>
      <c r="V266" s="15"/>
      <c r="Z266" s="15"/>
      <c r="AA266" s="15"/>
      <c r="AB266" s="15"/>
      <c r="AF266" s="15"/>
      <c r="AG266" s="15"/>
      <c r="AH266" s="15"/>
    </row>
    <row r="267" spans="2:34" ht="14.25" customHeight="1">
      <c r="B267" s="15"/>
      <c r="C267" s="15"/>
      <c r="D267" s="15"/>
      <c r="H267" s="15"/>
      <c r="I267" s="15"/>
      <c r="J267" s="15"/>
      <c r="N267" s="15"/>
      <c r="O267" s="15"/>
      <c r="P267" s="15"/>
      <c r="T267" s="15"/>
      <c r="U267" s="15"/>
      <c r="V267" s="15"/>
      <c r="Z267" s="15"/>
      <c r="AA267" s="15"/>
      <c r="AB267" s="15"/>
      <c r="AF267" s="15"/>
      <c r="AG267" s="15"/>
      <c r="AH267" s="15"/>
    </row>
    <row r="268" spans="2:34" ht="14.25" customHeight="1">
      <c r="B268" s="15"/>
      <c r="C268" s="15"/>
      <c r="D268" s="15"/>
      <c r="H268" s="15"/>
      <c r="I268" s="15"/>
      <c r="J268" s="15"/>
      <c r="N268" s="15"/>
      <c r="O268" s="15"/>
      <c r="P268" s="15"/>
      <c r="T268" s="15"/>
      <c r="U268" s="15"/>
      <c r="V268" s="15"/>
      <c r="Z268" s="15"/>
      <c r="AA268" s="15"/>
      <c r="AB268" s="15"/>
      <c r="AF268" s="15"/>
      <c r="AG268" s="15"/>
      <c r="AH268" s="15"/>
    </row>
    <row r="269" spans="2:34" ht="14.25" customHeight="1">
      <c r="B269" s="15"/>
      <c r="C269" s="15"/>
      <c r="D269" s="15"/>
      <c r="H269" s="15"/>
      <c r="I269" s="15"/>
      <c r="J269" s="15"/>
      <c r="N269" s="15"/>
      <c r="O269" s="15"/>
      <c r="P269" s="15"/>
      <c r="T269" s="15"/>
      <c r="U269" s="15"/>
      <c r="V269" s="15"/>
      <c r="Z269" s="15"/>
      <c r="AA269" s="15"/>
      <c r="AB269" s="15"/>
      <c r="AF269" s="15"/>
      <c r="AG269" s="15"/>
      <c r="AH269" s="15"/>
    </row>
    <row r="270" spans="2:34" ht="14.25" customHeight="1">
      <c r="B270" s="15"/>
      <c r="C270" s="15"/>
      <c r="D270" s="15"/>
      <c r="H270" s="15"/>
      <c r="I270" s="15"/>
      <c r="J270" s="15"/>
      <c r="N270" s="15"/>
      <c r="O270" s="15"/>
      <c r="P270" s="15"/>
      <c r="T270" s="15"/>
      <c r="U270" s="15"/>
      <c r="V270" s="15"/>
      <c r="Z270" s="15"/>
      <c r="AA270" s="15"/>
      <c r="AB270" s="15"/>
      <c r="AF270" s="15"/>
      <c r="AG270" s="15"/>
      <c r="AH270" s="15"/>
    </row>
    <row r="271" spans="2:34" ht="14.25" customHeight="1">
      <c r="B271" s="15"/>
      <c r="C271" s="15"/>
      <c r="D271" s="15"/>
      <c r="H271" s="15"/>
      <c r="I271" s="15"/>
      <c r="J271" s="15"/>
      <c r="N271" s="15"/>
      <c r="O271" s="15"/>
      <c r="P271" s="15"/>
      <c r="T271" s="15"/>
      <c r="U271" s="15"/>
      <c r="V271" s="15"/>
      <c r="Z271" s="15"/>
      <c r="AA271" s="15"/>
      <c r="AB271" s="15"/>
      <c r="AF271" s="15"/>
      <c r="AG271" s="15"/>
      <c r="AH271" s="15"/>
    </row>
    <row r="272" spans="2:34" ht="14.25" customHeight="1">
      <c r="B272" s="15"/>
      <c r="C272" s="15"/>
      <c r="D272" s="15"/>
      <c r="H272" s="15"/>
      <c r="I272" s="15"/>
      <c r="J272" s="15"/>
      <c r="N272" s="15"/>
      <c r="O272" s="15"/>
      <c r="P272" s="15"/>
      <c r="T272" s="15"/>
      <c r="U272" s="15"/>
      <c r="V272" s="15"/>
      <c r="Z272" s="15"/>
      <c r="AA272" s="15"/>
      <c r="AB272" s="15"/>
      <c r="AF272" s="15"/>
      <c r="AG272" s="15"/>
      <c r="AH272" s="15"/>
    </row>
    <row r="273" spans="2:34" ht="14.25" customHeight="1">
      <c r="B273" s="15"/>
      <c r="C273" s="15"/>
      <c r="D273" s="15"/>
      <c r="H273" s="15"/>
      <c r="I273" s="15"/>
      <c r="J273" s="15"/>
      <c r="N273" s="15"/>
      <c r="O273" s="15"/>
      <c r="P273" s="15"/>
      <c r="T273" s="15"/>
      <c r="U273" s="15"/>
      <c r="V273" s="15"/>
      <c r="Z273" s="15"/>
      <c r="AA273" s="15"/>
      <c r="AB273" s="15"/>
      <c r="AF273" s="15"/>
      <c r="AG273" s="15"/>
      <c r="AH273" s="15"/>
    </row>
    <row r="274" spans="2:34" ht="14.25" customHeight="1">
      <c r="B274" s="15"/>
      <c r="C274" s="15"/>
      <c r="D274" s="15"/>
      <c r="H274" s="15"/>
      <c r="I274" s="15"/>
      <c r="J274" s="15"/>
      <c r="N274" s="15"/>
      <c r="O274" s="15"/>
      <c r="P274" s="15"/>
      <c r="T274" s="15"/>
      <c r="U274" s="15"/>
      <c r="V274" s="15"/>
      <c r="Z274" s="15"/>
      <c r="AA274" s="15"/>
      <c r="AB274" s="15"/>
      <c r="AF274" s="15"/>
      <c r="AG274" s="15"/>
      <c r="AH274" s="15"/>
    </row>
    <row r="275" spans="2:34" ht="14.25" customHeight="1">
      <c r="B275" s="15"/>
      <c r="C275" s="15"/>
      <c r="D275" s="15"/>
      <c r="H275" s="15"/>
      <c r="I275" s="15"/>
      <c r="J275" s="15"/>
      <c r="N275" s="15"/>
      <c r="O275" s="15"/>
      <c r="P275" s="15"/>
      <c r="T275" s="15"/>
      <c r="U275" s="15"/>
      <c r="V275" s="15"/>
      <c r="Z275" s="15"/>
      <c r="AA275" s="15"/>
      <c r="AB275" s="15"/>
      <c r="AF275" s="15"/>
      <c r="AG275" s="15"/>
      <c r="AH275" s="15"/>
    </row>
    <row r="276" spans="2:34" ht="14.25" customHeight="1">
      <c r="B276" s="15"/>
      <c r="C276" s="15"/>
      <c r="D276" s="15"/>
      <c r="H276" s="15"/>
      <c r="I276" s="15"/>
      <c r="J276" s="15"/>
      <c r="N276" s="15"/>
      <c r="O276" s="15"/>
      <c r="P276" s="15"/>
      <c r="T276" s="15"/>
      <c r="U276" s="15"/>
      <c r="V276" s="15"/>
      <c r="Z276" s="15"/>
      <c r="AA276" s="15"/>
      <c r="AB276" s="15"/>
      <c r="AF276" s="15"/>
      <c r="AG276" s="15"/>
      <c r="AH276" s="15"/>
    </row>
    <row r="277" spans="2:34" ht="14.25" customHeight="1">
      <c r="B277" s="15"/>
      <c r="C277" s="15"/>
      <c r="D277" s="15"/>
      <c r="H277" s="15"/>
      <c r="I277" s="15"/>
      <c r="J277" s="15"/>
      <c r="N277" s="15"/>
      <c r="O277" s="15"/>
      <c r="P277" s="15"/>
      <c r="T277" s="15"/>
      <c r="U277" s="15"/>
      <c r="V277" s="15"/>
      <c r="Z277" s="15"/>
      <c r="AA277" s="15"/>
      <c r="AB277" s="15"/>
      <c r="AF277" s="15"/>
      <c r="AG277" s="15"/>
      <c r="AH277" s="15"/>
    </row>
    <row r="278" spans="2:34" ht="14.25" customHeight="1">
      <c r="B278" s="15"/>
      <c r="C278" s="15"/>
      <c r="D278" s="15"/>
      <c r="H278" s="15"/>
      <c r="I278" s="15"/>
      <c r="J278" s="15"/>
      <c r="N278" s="15"/>
      <c r="O278" s="15"/>
      <c r="P278" s="15"/>
      <c r="T278" s="15"/>
      <c r="U278" s="15"/>
      <c r="V278" s="15"/>
      <c r="Z278" s="15"/>
      <c r="AA278" s="15"/>
      <c r="AB278" s="15"/>
      <c r="AF278" s="15"/>
      <c r="AG278" s="15"/>
      <c r="AH278" s="15"/>
    </row>
    <row r="279" spans="2:34" ht="14.25" customHeight="1">
      <c r="B279" s="15"/>
      <c r="C279" s="15"/>
      <c r="D279" s="15"/>
      <c r="H279" s="15"/>
      <c r="I279" s="15"/>
      <c r="J279" s="15"/>
      <c r="N279" s="15"/>
      <c r="O279" s="15"/>
      <c r="P279" s="15"/>
      <c r="T279" s="15"/>
      <c r="U279" s="15"/>
      <c r="V279" s="15"/>
      <c r="Z279" s="15"/>
      <c r="AA279" s="15"/>
      <c r="AB279" s="15"/>
      <c r="AF279" s="15"/>
      <c r="AG279" s="15"/>
      <c r="AH279" s="15"/>
    </row>
    <row r="280" spans="2:34" ht="14.25" customHeight="1">
      <c r="B280" s="15"/>
      <c r="C280" s="15"/>
      <c r="D280" s="15"/>
      <c r="H280" s="15"/>
      <c r="I280" s="15"/>
      <c r="J280" s="15"/>
      <c r="N280" s="15"/>
      <c r="O280" s="15"/>
      <c r="P280" s="15"/>
      <c r="T280" s="15"/>
      <c r="U280" s="15"/>
      <c r="V280" s="15"/>
      <c r="Z280" s="15"/>
      <c r="AA280" s="15"/>
      <c r="AB280" s="15"/>
      <c r="AF280" s="15"/>
      <c r="AG280" s="15"/>
      <c r="AH280" s="15"/>
    </row>
    <row r="281" spans="2:34" ht="14.25" customHeight="1">
      <c r="B281" s="15"/>
      <c r="C281" s="15"/>
      <c r="D281" s="15"/>
      <c r="H281" s="15"/>
      <c r="I281" s="15"/>
      <c r="J281" s="15"/>
      <c r="N281" s="15"/>
      <c r="O281" s="15"/>
      <c r="P281" s="15"/>
      <c r="T281" s="15"/>
      <c r="U281" s="15"/>
      <c r="V281" s="15"/>
      <c r="Z281" s="15"/>
      <c r="AA281" s="15"/>
      <c r="AB281" s="15"/>
      <c r="AF281" s="15"/>
      <c r="AG281" s="15"/>
      <c r="AH281" s="15"/>
    </row>
    <row r="282" spans="2:34" ht="14.25" customHeight="1">
      <c r="B282" s="15"/>
      <c r="C282" s="15"/>
      <c r="D282" s="15"/>
      <c r="H282" s="15"/>
      <c r="I282" s="15"/>
      <c r="J282" s="15"/>
      <c r="N282" s="15"/>
      <c r="O282" s="15"/>
      <c r="P282" s="15"/>
      <c r="T282" s="15"/>
      <c r="U282" s="15"/>
      <c r="V282" s="15"/>
      <c r="Z282" s="15"/>
      <c r="AA282" s="15"/>
      <c r="AB282" s="15"/>
      <c r="AF282" s="15"/>
      <c r="AG282" s="15"/>
      <c r="AH282" s="15"/>
    </row>
    <row r="283" spans="2:34" ht="14.25" customHeight="1">
      <c r="B283" s="15"/>
      <c r="C283" s="15"/>
      <c r="D283" s="15"/>
      <c r="H283" s="15"/>
      <c r="I283" s="15"/>
      <c r="J283" s="15"/>
      <c r="N283" s="15"/>
      <c r="O283" s="15"/>
      <c r="P283" s="15"/>
      <c r="T283" s="15"/>
      <c r="U283" s="15"/>
      <c r="V283" s="15"/>
      <c r="Z283" s="15"/>
      <c r="AA283" s="15"/>
      <c r="AB283" s="15"/>
      <c r="AF283" s="15"/>
      <c r="AG283" s="15"/>
      <c r="AH283" s="15"/>
    </row>
    <row r="284" spans="2:34" ht="14.25" customHeight="1">
      <c r="B284" s="15"/>
      <c r="C284" s="15"/>
      <c r="D284" s="15"/>
      <c r="H284" s="15"/>
      <c r="I284" s="15"/>
      <c r="J284" s="15"/>
      <c r="N284" s="15"/>
      <c r="O284" s="15"/>
      <c r="P284" s="15"/>
      <c r="T284" s="15"/>
      <c r="U284" s="15"/>
      <c r="V284" s="15"/>
      <c r="Z284" s="15"/>
      <c r="AA284" s="15"/>
      <c r="AB284" s="15"/>
      <c r="AF284" s="15"/>
      <c r="AG284" s="15"/>
      <c r="AH284" s="15"/>
    </row>
    <row r="285" spans="2:34" ht="14.25" customHeight="1">
      <c r="B285" s="15"/>
      <c r="C285" s="15"/>
      <c r="D285" s="15"/>
      <c r="H285" s="15"/>
      <c r="I285" s="15"/>
      <c r="J285" s="15"/>
      <c r="N285" s="15"/>
      <c r="O285" s="15"/>
      <c r="P285" s="15"/>
      <c r="T285" s="15"/>
      <c r="U285" s="15"/>
      <c r="V285" s="15"/>
      <c r="Z285" s="15"/>
      <c r="AA285" s="15"/>
      <c r="AB285" s="15"/>
      <c r="AF285" s="15"/>
      <c r="AG285" s="15"/>
      <c r="AH285" s="15"/>
    </row>
    <row r="286" spans="2:34" ht="14.25" customHeight="1">
      <c r="B286" s="15"/>
      <c r="C286" s="15"/>
      <c r="D286" s="15"/>
      <c r="H286" s="15"/>
      <c r="I286" s="15"/>
      <c r="J286" s="15"/>
      <c r="N286" s="15"/>
      <c r="O286" s="15"/>
      <c r="P286" s="15"/>
      <c r="T286" s="15"/>
      <c r="U286" s="15"/>
      <c r="V286" s="15"/>
      <c r="Z286" s="15"/>
      <c r="AA286" s="15"/>
      <c r="AB286" s="15"/>
      <c r="AF286" s="15"/>
      <c r="AG286" s="15"/>
      <c r="AH286" s="15"/>
    </row>
    <row r="287" spans="2:34" ht="14.25" customHeight="1">
      <c r="B287" s="15"/>
      <c r="C287" s="15"/>
      <c r="D287" s="15"/>
      <c r="H287" s="15"/>
      <c r="I287" s="15"/>
      <c r="J287" s="15"/>
      <c r="N287" s="15"/>
      <c r="O287" s="15"/>
      <c r="P287" s="15"/>
      <c r="T287" s="15"/>
      <c r="U287" s="15"/>
      <c r="V287" s="15"/>
      <c r="Z287" s="15"/>
      <c r="AA287" s="15"/>
      <c r="AB287" s="15"/>
      <c r="AF287" s="15"/>
      <c r="AG287" s="15"/>
      <c r="AH287" s="15"/>
    </row>
    <row r="288" spans="2:34" ht="14.25" customHeight="1">
      <c r="B288" s="15"/>
      <c r="C288" s="15"/>
      <c r="D288" s="15"/>
      <c r="H288" s="15"/>
      <c r="I288" s="15"/>
      <c r="J288" s="15"/>
      <c r="N288" s="15"/>
      <c r="O288" s="15"/>
      <c r="P288" s="15"/>
      <c r="T288" s="15"/>
      <c r="U288" s="15"/>
      <c r="V288" s="15"/>
      <c r="Z288" s="15"/>
      <c r="AA288" s="15"/>
      <c r="AB288" s="15"/>
      <c r="AF288" s="15"/>
      <c r="AG288" s="15"/>
      <c r="AH288" s="15"/>
    </row>
    <row r="289" spans="2:34" ht="14.25" customHeight="1">
      <c r="B289" s="15"/>
      <c r="C289" s="15"/>
      <c r="D289" s="15"/>
      <c r="H289" s="15"/>
      <c r="I289" s="15"/>
      <c r="J289" s="15"/>
      <c r="N289" s="15"/>
      <c r="O289" s="15"/>
      <c r="P289" s="15"/>
      <c r="T289" s="15"/>
      <c r="U289" s="15"/>
      <c r="V289" s="15"/>
      <c r="Z289" s="15"/>
      <c r="AA289" s="15"/>
      <c r="AB289" s="15"/>
      <c r="AF289" s="15"/>
      <c r="AG289" s="15"/>
      <c r="AH289" s="15"/>
    </row>
    <row r="290" spans="2:34" ht="14.25" customHeight="1">
      <c r="B290" s="15"/>
      <c r="C290" s="15"/>
      <c r="D290" s="15"/>
      <c r="H290" s="15"/>
      <c r="I290" s="15"/>
      <c r="J290" s="15"/>
      <c r="N290" s="15"/>
      <c r="O290" s="15"/>
      <c r="P290" s="15"/>
      <c r="T290" s="15"/>
      <c r="U290" s="15"/>
      <c r="V290" s="15"/>
      <c r="Z290" s="15"/>
      <c r="AA290" s="15"/>
      <c r="AB290" s="15"/>
      <c r="AF290" s="15"/>
      <c r="AG290" s="15"/>
      <c r="AH290" s="15"/>
    </row>
    <row r="291" spans="2:34" ht="14.25" customHeight="1">
      <c r="B291" s="15"/>
      <c r="C291" s="15"/>
      <c r="D291" s="15"/>
      <c r="H291" s="15"/>
      <c r="I291" s="15"/>
      <c r="J291" s="15"/>
      <c r="N291" s="15"/>
      <c r="O291" s="15"/>
      <c r="P291" s="15"/>
      <c r="T291" s="15"/>
      <c r="U291" s="15"/>
      <c r="V291" s="15"/>
      <c r="Z291" s="15"/>
      <c r="AA291" s="15"/>
      <c r="AB291" s="15"/>
      <c r="AF291" s="15"/>
      <c r="AG291" s="15"/>
      <c r="AH291" s="15"/>
    </row>
    <row r="292" spans="2:34" ht="14.25" customHeight="1">
      <c r="B292" s="15"/>
      <c r="C292" s="15"/>
      <c r="D292" s="15"/>
      <c r="H292" s="15"/>
      <c r="I292" s="15"/>
      <c r="J292" s="15"/>
      <c r="N292" s="15"/>
      <c r="O292" s="15"/>
      <c r="P292" s="15"/>
      <c r="T292" s="15"/>
      <c r="U292" s="15"/>
      <c r="V292" s="15"/>
      <c r="Z292" s="15"/>
      <c r="AA292" s="15"/>
      <c r="AB292" s="15"/>
      <c r="AF292" s="15"/>
      <c r="AG292" s="15"/>
      <c r="AH292" s="15"/>
    </row>
    <row r="293" spans="2:34" ht="14.25" customHeight="1">
      <c r="B293" s="15"/>
      <c r="C293" s="15"/>
      <c r="D293" s="15"/>
      <c r="H293" s="15"/>
      <c r="I293" s="15"/>
      <c r="J293" s="15"/>
      <c r="N293" s="15"/>
      <c r="O293" s="15"/>
      <c r="P293" s="15"/>
      <c r="T293" s="15"/>
      <c r="U293" s="15"/>
      <c r="V293" s="15"/>
      <c r="Z293" s="15"/>
      <c r="AA293" s="15"/>
      <c r="AB293" s="15"/>
      <c r="AF293" s="15"/>
      <c r="AG293" s="15"/>
      <c r="AH293" s="15"/>
    </row>
    <row r="294" spans="2:34" ht="14.25" customHeight="1">
      <c r="B294" s="15"/>
      <c r="C294" s="15"/>
      <c r="D294" s="15"/>
      <c r="H294" s="15"/>
      <c r="I294" s="15"/>
      <c r="J294" s="15"/>
      <c r="N294" s="15"/>
      <c r="O294" s="15"/>
      <c r="P294" s="15"/>
      <c r="T294" s="15"/>
      <c r="U294" s="15"/>
      <c r="V294" s="15"/>
      <c r="Z294" s="15"/>
      <c r="AA294" s="15"/>
      <c r="AB294" s="15"/>
      <c r="AF294" s="15"/>
      <c r="AG294" s="15"/>
      <c r="AH294" s="15"/>
    </row>
    <row r="295" spans="2:34" ht="14.25" customHeight="1">
      <c r="B295" s="15"/>
      <c r="C295" s="15"/>
      <c r="D295" s="15"/>
      <c r="H295" s="15"/>
      <c r="I295" s="15"/>
      <c r="J295" s="15"/>
      <c r="N295" s="15"/>
      <c r="O295" s="15"/>
      <c r="P295" s="15"/>
      <c r="T295" s="15"/>
      <c r="U295" s="15"/>
      <c r="V295" s="15"/>
      <c r="Z295" s="15"/>
      <c r="AA295" s="15"/>
      <c r="AB295" s="15"/>
      <c r="AF295" s="15"/>
      <c r="AG295" s="15"/>
      <c r="AH295" s="15"/>
    </row>
    <row r="296" spans="2:34" ht="14.25" customHeight="1">
      <c r="B296" s="15"/>
      <c r="C296" s="15"/>
      <c r="D296" s="15"/>
      <c r="H296" s="15"/>
      <c r="I296" s="15"/>
      <c r="J296" s="15"/>
      <c r="N296" s="15"/>
      <c r="O296" s="15"/>
      <c r="P296" s="15"/>
      <c r="T296" s="15"/>
      <c r="U296" s="15"/>
      <c r="V296" s="15"/>
      <c r="Z296" s="15"/>
      <c r="AA296" s="15"/>
      <c r="AB296" s="15"/>
      <c r="AF296" s="15"/>
      <c r="AG296" s="15"/>
      <c r="AH296" s="15"/>
    </row>
    <row r="297" spans="2:34" ht="14.25" customHeight="1">
      <c r="B297" s="15"/>
      <c r="C297" s="15"/>
      <c r="D297" s="15"/>
      <c r="H297" s="15"/>
      <c r="I297" s="15"/>
      <c r="J297" s="15"/>
      <c r="N297" s="15"/>
      <c r="O297" s="15"/>
      <c r="P297" s="15"/>
      <c r="T297" s="15"/>
      <c r="U297" s="15"/>
      <c r="V297" s="15"/>
      <c r="Z297" s="15"/>
      <c r="AA297" s="15"/>
      <c r="AB297" s="15"/>
      <c r="AF297" s="15"/>
      <c r="AG297" s="15"/>
      <c r="AH297" s="15"/>
    </row>
    <row r="298" spans="2:34" ht="14.25" customHeight="1">
      <c r="B298" s="15"/>
      <c r="C298" s="15"/>
      <c r="D298" s="15"/>
      <c r="H298" s="15"/>
      <c r="I298" s="15"/>
      <c r="J298" s="15"/>
      <c r="N298" s="15"/>
      <c r="O298" s="15"/>
      <c r="P298" s="15"/>
      <c r="T298" s="15"/>
      <c r="U298" s="15"/>
      <c r="V298" s="15"/>
      <c r="Z298" s="15"/>
      <c r="AA298" s="15"/>
      <c r="AB298" s="15"/>
      <c r="AF298" s="15"/>
      <c r="AG298" s="15"/>
      <c r="AH298" s="15"/>
    </row>
    <row r="299" spans="2:34" ht="14.25" customHeight="1">
      <c r="B299" s="15"/>
      <c r="C299" s="15"/>
      <c r="D299" s="15"/>
      <c r="H299" s="15"/>
      <c r="I299" s="15"/>
      <c r="J299" s="15"/>
      <c r="N299" s="15"/>
      <c r="O299" s="15"/>
      <c r="P299" s="15"/>
      <c r="T299" s="15"/>
      <c r="U299" s="15"/>
      <c r="V299" s="15"/>
      <c r="Z299" s="15"/>
      <c r="AA299" s="15"/>
      <c r="AB299" s="15"/>
      <c r="AF299" s="15"/>
      <c r="AG299" s="15"/>
      <c r="AH299" s="15"/>
    </row>
    <row r="300" spans="2:34" ht="14.25" customHeight="1">
      <c r="B300" s="15"/>
      <c r="C300" s="15"/>
      <c r="D300" s="15"/>
      <c r="H300" s="15"/>
      <c r="I300" s="15"/>
      <c r="J300" s="15"/>
      <c r="N300" s="15"/>
      <c r="O300" s="15"/>
      <c r="P300" s="15"/>
      <c r="T300" s="15"/>
      <c r="U300" s="15"/>
      <c r="V300" s="15"/>
      <c r="Z300" s="15"/>
      <c r="AA300" s="15"/>
      <c r="AB300" s="15"/>
      <c r="AF300" s="15"/>
      <c r="AG300" s="15"/>
      <c r="AH300" s="15"/>
    </row>
    <row r="301" spans="2:34" ht="14.25" customHeight="1">
      <c r="B301" s="15"/>
      <c r="C301" s="15"/>
      <c r="D301" s="15"/>
      <c r="H301" s="15"/>
      <c r="I301" s="15"/>
      <c r="J301" s="15"/>
      <c r="N301" s="15"/>
      <c r="O301" s="15"/>
      <c r="P301" s="15"/>
      <c r="T301" s="15"/>
      <c r="U301" s="15"/>
      <c r="V301" s="15"/>
      <c r="Z301" s="15"/>
      <c r="AA301" s="15"/>
      <c r="AB301" s="15"/>
      <c r="AF301" s="15"/>
      <c r="AG301" s="15"/>
      <c r="AH301" s="15"/>
    </row>
    <row r="302" spans="2:34" ht="14.25" customHeight="1">
      <c r="B302" s="15"/>
      <c r="C302" s="15"/>
      <c r="D302" s="15"/>
      <c r="H302" s="15"/>
      <c r="I302" s="15"/>
      <c r="J302" s="15"/>
      <c r="N302" s="15"/>
      <c r="O302" s="15"/>
      <c r="P302" s="15"/>
      <c r="T302" s="15"/>
      <c r="U302" s="15"/>
      <c r="V302" s="15"/>
      <c r="Z302" s="15"/>
      <c r="AA302" s="15"/>
      <c r="AB302" s="15"/>
      <c r="AF302" s="15"/>
      <c r="AG302" s="15"/>
      <c r="AH302" s="15"/>
    </row>
    <row r="303" spans="2:34" ht="14.25" customHeight="1">
      <c r="B303" s="15"/>
      <c r="C303" s="15"/>
      <c r="D303" s="15"/>
      <c r="H303" s="15"/>
      <c r="I303" s="15"/>
      <c r="J303" s="15"/>
      <c r="N303" s="15"/>
      <c r="O303" s="15"/>
      <c r="P303" s="15"/>
      <c r="T303" s="15"/>
      <c r="U303" s="15"/>
      <c r="V303" s="15"/>
      <c r="Z303" s="15"/>
      <c r="AA303" s="15"/>
      <c r="AB303" s="15"/>
      <c r="AF303" s="15"/>
      <c r="AG303" s="15"/>
      <c r="AH303" s="15"/>
    </row>
    <row r="304" spans="2:34" ht="14.25" customHeight="1">
      <c r="B304" s="15"/>
      <c r="C304" s="15"/>
      <c r="D304" s="15"/>
      <c r="H304" s="15"/>
      <c r="I304" s="15"/>
      <c r="J304" s="15"/>
      <c r="N304" s="15"/>
      <c r="O304" s="15"/>
      <c r="P304" s="15"/>
      <c r="T304" s="15"/>
      <c r="U304" s="15"/>
      <c r="V304" s="15"/>
      <c r="Z304" s="15"/>
      <c r="AA304" s="15"/>
      <c r="AB304" s="15"/>
      <c r="AF304" s="15"/>
      <c r="AG304" s="15"/>
      <c r="AH304" s="15"/>
    </row>
    <row r="305" spans="2:34" ht="14.25" customHeight="1">
      <c r="B305" s="15"/>
      <c r="C305" s="15"/>
      <c r="D305" s="15"/>
      <c r="H305" s="15"/>
      <c r="I305" s="15"/>
      <c r="J305" s="15"/>
      <c r="N305" s="15"/>
      <c r="O305" s="15"/>
      <c r="P305" s="15"/>
      <c r="T305" s="15"/>
      <c r="U305" s="15"/>
      <c r="V305" s="15"/>
      <c r="Z305" s="15"/>
      <c r="AA305" s="15"/>
      <c r="AB305" s="15"/>
      <c r="AF305" s="15"/>
      <c r="AG305" s="15"/>
      <c r="AH305" s="15"/>
    </row>
    <row r="306" spans="2:34" ht="14.25" customHeight="1">
      <c r="B306" s="15"/>
      <c r="C306" s="15"/>
      <c r="D306" s="15"/>
      <c r="H306" s="15"/>
      <c r="I306" s="15"/>
      <c r="J306" s="15"/>
      <c r="N306" s="15"/>
      <c r="O306" s="15"/>
      <c r="P306" s="15"/>
      <c r="T306" s="15"/>
      <c r="U306" s="15"/>
      <c r="V306" s="15"/>
      <c r="Z306" s="15"/>
      <c r="AA306" s="15"/>
      <c r="AB306" s="15"/>
      <c r="AF306" s="15"/>
      <c r="AG306" s="15"/>
      <c r="AH306" s="15"/>
    </row>
    <row r="307" spans="2:34" ht="14.25" customHeight="1">
      <c r="B307" s="15"/>
      <c r="C307" s="15"/>
      <c r="D307" s="15"/>
      <c r="H307" s="15"/>
      <c r="I307" s="15"/>
      <c r="J307" s="15"/>
      <c r="N307" s="15"/>
      <c r="O307" s="15"/>
      <c r="P307" s="15"/>
      <c r="T307" s="15"/>
      <c r="U307" s="15"/>
      <c r="V307" s="15"/>
      <c r="Z307" s="15"/>
      <c r="AA307" s="15"/>
      <c r="AB307" s="15"/>
      <c r="AF307" s="15"/>
      <c r="AG307" s="15"/>
      <c r="AH307" s="15"/>
    </row>
    <row r="308" spans="2:34" ht="14.25" customHeight="1">
      <c r="B308" s="15"/>
      <c r="C308" s="15"/>
      <c r="D308" s="15"/>
      <c r="H308" s="15"/>
      <c r="I308" s="15"/>
      <c r="J308" s="15"/>
      <c r="N308" s="15"/>
      <c r="O308" s="15"/>
      <c r="P308" s="15"/>
      <c r="T308" s="15"/>
      <c r="U308" s="15"/>
      <c r="V308" s="15"/>
      <c r="Z308" s="15"/>
      <c r="AA308" s="15"/>
      <c r="AB308" s="15"/>
      <c r="AF308" s="15"/>
      <c r="AG308" s="15"/>
      <c r="AH308" s="15"/>
    </row>
    <row r="309" spans="2:34" ht="14.25" customHeight="1">
      <c r="B309" s="15"/>
      <c r="C309" s="15"/>
      <c r="D309" s="15"/>
      <c r="H309" s="15"/>
      <c r="I309" s="15"/>
      <c r="J309" s="15"/>
      <c r="N309" s="15"/>
      <c r="O309" s="15"/>
      <c r="P309" s="15"/>
      <c r="T309" s="15"/>
      <c r="U309" s="15"/>
      <c r="V309" s="15"/>
      <c r="Z309" s="15"/>
      <c r="AA309" s="15"/>
      <c r="AB309" s="15"/>
      <c r="AF309" s="15"/>
      <c r="AG309" s="15"/>
      <c r="AH309" s="15"/>
    </row>
    <row r="310" spans="2:34" ht="14.25" customHeight="1">
      <c r="B310" s="15"/>
      <c r="C310" s="15"/>
      <c r="D310" s="15"/>
      <c r="H310" s="15"/>
      <c r="I310" s="15"/>
      <c r="J310" s="15"/>
      <c r="N310" s="15"/>
      <c r="O310" s="15"/>
      <c r="P310" s="15"/>
      <c r="T310" s="15"/>
      <c r="U310" s="15"/>
      <c r="V310" s="15"/>
      <c r="Z310" s="15"/>
      <c r="AA310" s="15"/>
      <c r="AB310" s="15"/>
      <c r="AF310" s="15"/>
      <c r="AG310" s="15"/>
      <c r="AH310" s="15"/>
    </row>
    <row r="311" spans="2:34" ht="14.25" customHeight="1">
      <c r="B311" s="15"/>
      <c r="C311" s="15"/>
      <c r="D311" s="15"/>
      <c r="H311" s="15"/>
      <c r="I311" s="15"/>
      <c r="J311" s="15"/>
      <c r="N311" s="15"/>
      <c r="O311" s="15"/>
      <c r="P311" s="15"/>
      <c r="T311" s="15"/>
      <c r="U311" s="15"/>
      <c r="V311" s="15"/>
      <c r="Z311" s="15"/>
      <c r="AA311" s="15"/>
      <c r="AB311" s="15"/>
      <c r="AF311" s="15"/>
      <c r="AG311" s="15"/>
      <c r="AH311" s="15"/>
    </row>
    <row r="312" spans="2:34" ht="14.25" customHeight="1">
      <c r="B312" s="15"/>
      <c r="C312" s="15"/>
      <c r="D312" s="15"/>
      <c r="H312" s="15"/>
      <c r="I312" s="15"/>
      <c r="J312" s="15"/>
      <c r="N312" s="15"/>
      <c r="O312" s="15"/>
      <c r="P312" s="15"/>
      <c r="T312" s="15"/>
      <c r="U312" s="15"/>
      <c r="V312" s="15"/>
      <c r="Z312" s="15"/>
      <c r="AA312" s="15"/>
      <c r="AB312" s="15"/>
      <c r="AF312" s="15"/>
      <c r="AG312" s="15"/>
      <c r="AH312" s="15"/>
    </row>
    <row r="313" spans="2:34" ht="14.25" customHeight="1">
      <c r="B313" s="15"/>
      <c r="C313" s="15"/>
      <c r="D313" s="15"/>
      <c r="H313" s="15"/>
      <c r="I313" s="15"/>
      <c r="J313" s="15"/>
      <c r="N313" s="15"/>
      <c r="O313" s="15"/>
      <c r="P313" s="15"/>
      <c r="T313" s="15"/>
      <c r="U313" s="15"/>
      <c r="V313" s="15"/>
      <c r="Z313" s="15"/>
      <c r="AA313" s="15"/>
      <c r="AB313" s="15"/>
      <c r="AF313" s="15"/>
      <c r="AG313" s="15"/>
      <c r="AH313" s="15"/>
    </row>
    <row r="314" spans="2:34" ht="14.25" customHeight="1">
      <c r="B314" s="15"/>
      <c r="C314" s="15"/>
      <c r="D314" s="15"/>
      <c r="H314" s="15"/>
      <c r="I314" s="15"/>
      <c r="J314" s="15"/>
      <c r="N314" s="15"/>
      <c r="O314" s="15"/>
      <c r="P314" s="15"/>
      <c r="T314" s="15"/>
      <c r="U314" s="15"/>
      <c r="V314" s="15"/>
      <c r="Z314" s="15"/>
      <c r="AA314" s="15"/>
      <c r="AB314" s="15"/>
      <c r="AF314" s="15"/>
      <c r="AG314" s="15"/>
      <c r="AH314" s="15"/>
    </row>
    <row r="315" spans="2:34" ht="14.25" customHeight="1">
      <c r="B315" s="15"/>
      <c r="C315" s="15"/>
      <c r="D315" s="15"/>
      <c r="H315" s="15"/>
      <c r="I315" s="15"/>
      <c r="J315" s="15"/>
      <c r="N315" s="15"/>
      <c r="O315" s="15"/>
      <c r="P315" s="15"/>
      <c r="T315" s="15"/>
      <c r="U315" s="15"/>
      <c r="V315" s="15"/>
      <c r="Z315" s="15"/>
      <c r="AA315" s="15"/>
      <c r="AB315" s="15"/>
      <c r="AF315" s="15"/>
      <c r="AG315" s="15"/>
      <c r="AH315" s="15"/>
    </row>
    <row r="316" spans="2:34" ht="14.25" customHeight="1">
      <c r="B316" s="15"/>
      <c r="C316" s="15"/>
      <c r="D316" s="15"/>
      <c r="H316" s="15"/>
      <c r="I316" s="15"/>
      <c r="J316" s="15"/>
      <c r="N316" s="15"/>
      <c r="O316" s="15"/>
      <c r="P316" s="15"/>
      <c r="T316" s="15"/>
      <c r="U316" s="15"/>
      <c r="V316" s="15"/>
      <c r="Z316" s="15"/>
      <c r="AA316" s="15"/>
      <c r="AB316" s="15"/>
      <c r="AF316" s="15"/>
      <c r="AG316" s="15"/>
      <c r="AH316" s="15"/>
    </row>
    <row r="317" spans="2:34" ht="14.25" customHeight="1">
      <c r="B317" s="15"/>
      <c r="C317" s="15"/>
      <c r="D317" s="15"/>
      <c r="H317" s="15"/>
      <c r="I317" s="15"/>
      <c r="J317" s="15"/>
      <c r="N317" s="15"/>
      <c r="O317" s="15"/>
      <c r="P317" s="15"/>
      <c r="T317" s="15"/>
      <c r="U317" s="15"/>
      <c r="V317" s="15"/>
      <c r="Z317" s="15"/>
      <c r="AA317" s="15"/>
      <c r="AB317" s="15"/>
      <c r="AF317" s="15"/>
      <c r="AG317" s="15"/>
      <c r="AH317" s="15"/>
    </row>
    <row r="318" spans="2:34" ht="14.25" customHeight="1">
      <c r="B318" s="15"/>
      <c r="C318" s="15"/>
      <c r="D318" s="15"/>
      <c r="H318" s="15"/>
      <c r="I318" s="15"/>
      <c r="J318" s="15"/>
      <c r="N318" s="15"/>
      <c r="O318" s="15"/>
      <c r="P318" s="15"/>
      <c r="T318" s="15"/>
      <c r="U318" s="15"/>
      <c r="V318" s="15"/>
      <c r="Z318" s="15"/>
      <c r="AA318" s="15"/>
      <c r="AB318" s="15"/>
      <c r="AF318" s="15"/>
      <c r="AG318" s="15"/>
      <c r="AH318" s="15"/>
    </row>
    <row r="319" spans="2:34" ht="14.25" customHeight="1">
      <c r="B319" s="15"/>
      <c r="C319" s="15"/>
      <c r="D319" s="15"/>
      <c r="H319" s="15"/>
      <c r="I319" s="15"/>
      <c r="J319" s="15"/>
      <c r="N319" s="15"/>
      <c r="O319" s="15"/>
      <c r="P319" s="15"/>
      <c r="T319" s="15"/>
      <c r="U319" s="15"/>
      <c r="V319" s="15"/>
      <c r="Z319" s="15"/>
      <c r="AA319" s="15"/>
      <c r="AB319" s="15"/>
      <c r="AF319" s="15"/>
      <c r="AG319" s="15"/>
      <c r="AH319" s="15"/>
    </row>
    <row r="320" spans="2:34" ht="14.25" customHeight="1">
      <c r="B320" s="15"/>
      <c r="C320" s="15"/>
      <c r="D320" s="15"/>
      <c r="H320" s="15"/>
      <c r="I320" s="15"/>
      <c r="J320" s="15"/>
      <c r="N320" s="15"/>
      <c r="O320" s="15"/>
      <c r="P320" s="15"/>
      <c r="T320" s="15"/>
      <c r="U320" s="15"/>
      <c r="V320" s="15"/>
      <c r="Z320" s="15"/>
      <c r="AA320" s="15"/>
      <c r="AB320" s="15"/>
      <c r="AF320" s="15"/>
      <c r="AG320" s="15"/>
      <c r="AH320" s="15"/>
    </row>
    <row r="321" spans="2:34" ht="14.25" customHeight="1">
      <c r="B321" s="15"/>
      <c r="C321" s="15"/>
      <c r="D321" s="15"/>
      <c r="H321" s="15"/>
      <c r="I321" s="15"/>
      <c r="J321" s="15"/>
      <c r="N321" s="15"/>
      <c r="O321" s="15"/>
      <c r="P321" s="15"/>
      <c r="T321" s="15"/>
      <c r="U321" s="15"/>
      <c r="V321" s="15"/>
      <c r="Z321" s="15"/>
      <c r="AA321" s="15"/>
      <c r="AB321" s="15"/>
      <c r="AF321" s="15"/>
      <c r="AG321" s="15"/>
      <c r="AH321" s="15"/>
    </row>
    <row r="322" spans="2:34" ht="14.25" customHeight="1">
      <c r="B322" s="15"/>
      <c r="C322" s="15"/>
      <c r="D322" s="15"/>
      <c r="H322" s="15"/>
      <c r="I322" s="15"/>
      <c r="J322" s="15"/>
      <c r="N322" s="15"/>
      <c r="O322" s="15"/>
      <c r="P322" s="15"/>
      <c r="T322" s="15"/>
      <c r="U322" s="15"/>
      <c r="V322" s="15"/>
      <c r="Z322" s="15"/>
      <c r="AA322" s="15"/>
      <c r="AB322" s="15"/>
      <c r="AF322" s="15"/>
      <c r="AG322" s="15"/>
      <c r="AH322" s="15"/>
    </row>
    <row r="323" spans="2:34" ht="14.25" customHeight="1">
      <c r="B323" s="15"/>
      <c r="C323" s="15"/>
      <c r="D323" s="15"/>
      <c r="H323" s="15"/>
      <c r="I323" s="15"/>
      <c r="J323" s="15"/>
      <c r="N323" s="15"/>
      <c r="O323" s="15"/>
      <c r="P323" s="15"/>
      <c r="T323" s="15"/>
      <c r="U323" s="15"/>
      <c r="V323" s="15"/>
      <c r="Z323" s="15"/>
      <c r="AA323" s="15"/>
      <c r="AB323" s="15"/>
      <c r="AF323" s="15"/>
      <c r="AG323" s="15"/>
      <c r="AH323" s="15"/>
    </row>
    <row r="324" spans="2:34" ht="14.25" customHeight="1">
      <c r="B324" s="15"/>
      <c r="C324" s="15"/>
      <c r="D324" s="15"/>
      <c r="H324" s="15"/>
      <c r="I324" s="15"/>
      <c r="J324" s="15"/>
      <c r="N324" s="15"/>
      <c r="O324" s="15"/>
      <c r="P324" s="15"/>
      <c r="T324" s="15"/>
      <c r="U324" s="15"/>
      <c r="V324" s="15"/>
      <c r="Z324" s="15"/>
      <c r="AA324" s="15"/>
      <c r="AB324" s="15"/>
      <c r="AF324" s="15"/>
      <c r="AG324" s="15"/>
      <c r="AH324" s="15"/>
    </row>
    <row r="325" spans="2:34" ht="14.25" customHeight="1">
      <c r="B325" s="15"/>
      <c r="C325" s="15"/>
      <c r="D325" s="15"/>
      <c r="H325" s="15"/>
      <c r="I325" s="15"/>
      <c r="J325" s="15"/>
      <c r="N325" s="15"/>
      <c r="O325" s="15"/>
      <c r="P325" s="15"/>
      <c r="T325" s="15"/>
      <c r="U325" s="15"/>
      <c r="V325" s="15"/>
      <c r="Z325" s="15"/>
      <c r="AA325" s="15"/>
      <c r="AB325" s="15"/>
      <c r="AF325" s="15"/>
      <c r="AG325" s="15"/>
      <c r="AH325" s="15"/>
    </row>
    <row r="326" spans="2:34" ht="14.25" customHeight="1">
      <c r="B326" s="15"/>
      <c r="C326" s="15"/>
      <c r="D326" s="15"/>
      <c r="H326" s="15"/>
      <c r="I326" s="15"/>
      <c r="J326" s="15"/>
      <c r="N326" s="15"/>
      <c r="O326" s="15"/>
      <c r="P326" s="15"/>
      <c r="T326" s="15"/>
      <c r="U326" s="15"/>
      <c r="V326" s="15"/>
      <c r="Z326" s="15"/>
      <c r="AA326" s="15"/>
      <c r="AB326" s="15"/>
      <c r="AF326" s="15"/>
      <c r="AG326" s="15"/>
      <c r="AH326" s="15"/>
    </row>
    <row r="327" spans="2:34" ht="14.25" customHeight="1">
      <c r="B327" s="15"/>
      <c r="C327" s="15"/>
      <c r="D327" s="15"/>
      <c r="H327" s="15"/>
      <c r="I327" s="15"/>
      <c r="J327" s="15"/>
      <c r="N327" s="15"/>
      <c r="O327" s="15"/>
      <c r="P327" s="15"/>
      <c r="T327" s="15"/>
      <c r="U327" s="15"/>
      <c r="V327" s="15"/>
      <c r="Z327" s="15"/>
      <c r="AA327" s="15"/>
      <c r="AB327" s="15"/>
      <c r="AF327" s="15"/>
      <c r="AG327" s="15"/>
      <c r="AH327" s="15"/>
    </row>
    <row r="328" spans="2:34" ht="14.25" customHeight="1">
      <c r="B328" s="15"/>
      <c r="C328" s="15"/>
      <c r="D328" s="15"/>
      <c r="H328" s="15"/>
      <c r="I328" s="15"/>
      <c r="J328" s="15"/>
      <c r="N328" s="15"/>
      <c r="O328" s="15"/>
      <c r="P328" s="15"/>
      <c r="T328" s="15"/>
      <c r="U328" s="15"/>
      <c r="V328" s="15"/>
      <c r="Z328" s="15"/>
      <c r="AA328" s="15"/>
      <c r="AB328" s="15"/>
      <c r="AF328" s="15"/>
      <c r="AG328" s="15"/>
      <c r="AH328" s="15"/>
    </row>
    <row r="329" spans="2:34" ht="14.25" customHeight="1">
      <c r="B329" s="15"/>
      <c r="C329" s="15"/>
      <c r="D329" s="15"/>
      <c r="H329" s="15"/>
      <c r="I329" s="15"/>
      <c r="J329" s="15"/>
      <c r="N329" s="15"/>
      <c r="O329" s="15"/>
      <c r="P329" s="15"/>
      <c r="T329" s="15"/>
      <c r="U329" s="15"/>
      <c r="V329" s="15"/>
      <c r="Z329" s="15"/>
      <c r="AA329" s="15"/>
      <c r="AB329" s="15"/>
      <c r="AF329" s="15"/>
      <c r="AG329" s="15"/>
      <c r="AH329" s="15"/>
    </row>
    <row r="330" spans="2:34" ht="14.25" customHeight="1">
      <c r="B330" s="15"/>
      <c r="C330" s="15"/>
      <c r="D330" s="15"/>
      <c r="H330" s="15"/>
      <c r="I330" s="15"/>
      <c r="J330" s="15"/>
      <c r="N330" s="15"/>
      <c r="O330" s="15"/>
      <c r="P330" s="15"/>
      <c r="T330" s="15"/>
      <c r="U330" s="15"/>
      <c r="V330" s="15"/>
      <c r="Z330" s="15"/>
      <c r="AA330" s="15"/>
      <c r="AB330" s="15"/>
      <c r="AF330" s="15"/>
      <c r="AG330" s="15"/>
      <c r="AH330" s="15"/>
    </row>
    <row r="331" spans="2:34" ht="14.25" customHeight="1">
      <c r="B331" s="15"/>
      <c r="C331" s="15"/>
      <c r="D331" s="15"/>
      <c r="H331" s="15"/>
      <c r="I331" s="15"/>
      <c r="J331" s="15"/>
      <c r="N331" s="15"/>
      <c r="O331" s="15"/>
      <c r="P331" s="15"/>
      <c r="T331" s="15"/>
      <c r="U331" s="15"/>
      <c r="V331" s="15"/>
      <c r="Z331" s="15"/>
      <c r="AA331" s="15"/>
      <c r="AB331" s="15"/>
      <c r="AF331" s="15"/>
      <c r="AG331" s="15"/>
      <c r="AH331" s="15"/>
    </row>
    <row r="332" spans="2:34" ht="14.25" customHeight="1">
      <c r="B332" s="15"/>
      <c r="C332" s="15"/>
      <c r="D332" s="15"/>
      <c r="H332" s="15"/>
      <c r="I332" s="15"/>
      <c r="J332" s="15"/>
      <c r="N332" s="15"/>
      <c r="O332" s="15"/>
      <c r="P332" s="15"/>
      <c r="T332" s="15"/>
      <c r="U332" s="15"/>
      <c r="V332" s="15"/>
      <c r="Z332" s="15"/>
      <c r="AA332" s="15"/>
      <c r="AB332" s="15"/>
      <c r="AF332" s="15"/>
      <c r="AG332" s="15"/>
      <c r="AH332" s="15"/>
    </row>
    <row r="333" spans="2:34" ht="14.25" customHeight="1">
      <c r="B333" s="15"/>
      <c r="C333" s="15"/>
      <c r="D333" s="15"/>
      <c r="H333" s="15"/>
      <c r="I333" s="15"/>
      <c r="J333" s="15"/>
      <c r="N333" s="15"/>
      <c r="O333" s="15"/>
      <c r="P333" s="15"/>
      <c r="T333" s="15"/>
      <c r="U333" s="15"/>
      <c r="V333" s="15"/>
      <c r="Z333" s="15"/>
      <c r="AA333" s="15"/>
      <c r="AB333" s="15"/>
      <c r="AF333" s="15"/>
      <c r="AG333" s="15"/>
      <c r="AH333" s="15"/>
    </row>
    <row r="334" spans="2:34" ht="14.25" customHeight="1">
      <c r="B334" s="15"/>
      <c r="C334" s="15"/>
      <c r="D334" s="15"/>
      <c r="H334" s="15"/>
      <c r="I334" s="15"/>
      <c r="J334" s="15"/>
      <c r="N334" s="15"/>
      <c r="O334" s="15"/>
      <c r="P334" s="15"/>
      <c r="T334" s="15"/>
      <c r="U334" s="15"/>
      <c r="V334" s="15"/>
      <c r="Z334" s="15"/>
      <c r="AA334" s="15"/>
      <c r="AB334" s="15"/>
      <c r="AF334" s="15"/>
      <c r="AG334" s="15"/>
      <c r="AH334" s="15"/>
    </row>
    <row r="335" spans="2:34" ht="14.25" customHeight="1">
      <c r="B335" s="15"/>
      <c r="C335" s="15"/>
      <c r="D335" s="15"/>
      <c r="H335" s="15"/>
      <c r="I335" s="15"/>
      <c r="J335" s="15"/>
      <c r="N335" s="15"/>
      <c r="O335" s="15"/>
      <c r="P335" s="15"/>
      <c r="T335" s="15"/>
      <c r="U335" s="15"/>
      <c r="V335" s="15"/>
      <c r="Z335" s="15"/>
      <c r="AA335" s="15"/>
      <c r="AB335" s="15"/>
      <c r="AF335" s="15"/>
      <c r="AG335" s="15"/>
      <c r="AH335" s="15"/>
    </row>
    <row r="336" spans="2:34" ht="14.25" customHeight="1">
      <c r="B336" s="15"/>
      <c r="C336" s="15"/>
      <c r="D336" s="15"/>
      <c r="H336" s="15"/>
      <c r="I336" s="15"/>
      <c r="J336" s="15"/>
      <c r="N336" s="15"/>
      <c r="O336" s="15"/>
      <c r="P336" s="15"/>
      <c r="T336" s="15"/>
      <c r="U336" s="15"/>
      <c r="V336" s="15"/>
      <c r="Z336" s="15"/>
      <c r="AA336" s="15"/>
      <c r="AB336" s="15"/>
      <c r="AF336" s="15"/>
      <c r="AG336" s="15"/>
      <c r="AH336" s="15"/>
    </row>
    <row r="337" spans="2:34" ht="14.25" customHeight="1">
      <c r="B337" s="15"/>
      <c r="C337" s="15"/>
      <c r="D337" s="15"/>
      <c r="H337" s="15"/>
      <c r="I337" s="15"/>
      <c r="J337" s="15"/>
      <c r="N337" s="15"/>
      <c r="O337" s="15"/>
      <c r="P337" s="15"/>
      <c r="T337" s="15"/>
      <c r="U337" s="15"/>
      <c r="V337" s="15"/>
      <c r="Z337" s="15"/>
      <c r="AA337" s="15"/>
      <c r="AB337" s="15"/>
      <c r="AF337" s="15"/>
      <c r="AG337" s="15"/>
      <c r="AH337" s="15"/>
    </row>
    <row r="338" spans="2:34" ht="14.25" customHeight="1">
      <c r="B338" s="15"/>
      <c r="C338" s="15"/>
      <c r="D338" s="15"/>
      <c r="H338" s="15"/>
      <c r="I338" s="15"/>
      <c r="J338" s="15"/>
      <c r="N338" s="15"/>
      <c r="O338" s="15"/>
      <c r="P338" s="15"/>
      <c r="T338" s="15"/>
      <c r="U338" s="15"/>
      <c r="V338" s="15"/>
      <c r="Z338" s="15"/>
      <c r="AA338" s="15"/>
      <c r="AB338" s="15"/>
      <c r="AF338" s="15"/>
      <c r="AG338" s="15"/>
      <c r="AH338" s="15"/>
    </row>
    <row r="339" spans="2:34" ht="14.25" customHeight="1">
      <c r="B339" s="15"/>
      <c r="C339" s="15"/>
      <c r="D339" s="15"/>
      <c r="H339" s="15"/>
      <c r="I339" s="15"/>
      <c r="J339" s="15"/>
      <c r="N339" s="15"/>
      <c r="O339" s="15"/>
      <c r="P339" s="15"/>
      <c r="T339" s="15"/>
      <c r="U339" s="15"/>
      <c r="V339" s="15"/>
      <c r="Z339" s="15"/>
      <c r="AA339" s="15"/>
      <c r="AB339" s="15"/>
      <c r="AF339" s="15"/>
      <c r="AG339" s="15"/>
      <c r="AH339" s="15"/>
    </row>
    <row r="340" spans="2:34" ht="14.25" customHeight="1">
      <c r="B340" s="15"/>
      <c r="C340" s="15"/>
      <c r="D340" s="15"/>
      <c r="H340" s="15"/>
      <c r="I340" s="15"/>
      <c r="J340" s="15"/>
      <c r="N340" s="15"/>
      <c r="O340" s="15"/>
      <c r="P340" s="15"/>
      <c r="T340" s="15"/>
      <c r="U340" s="15"/>
      <c r="V340" s="15"/>
      <c r="Z340" s="15"/>
      <c r="AA340" s="15"/>
      <c r="AB340" s="15"/>
      <c r="AF340" s="15"/>
      <c r="AG340" s="15"/>
      <c r="AH340" s="15"/>
    </row>
    <row r="341" spans="2:34" ht="14.25" customHeight="1">
      <c r="B341" s="15"/>
      <c r="C341" s="15"/>
      <c r="D341" s="15"/>
      <c r="H341" s="15"/>
      <c r="I341" s="15"/>
      <c r="J341" s="15"/>
      <c r="N341" s="15"/>
      <c r="O341" s="15"/>
      <c r="P341" s="15"/>
      <c r="T341" s="15"/>
      <c r="U341" s="15"/>
      <c r="V341" s="15"/>
      <c r="Z341" s="15"/>
      <c r="AA341" s="15"/>
      <c r="AB341" s="15"/>
      <c r="AF341" s="15"/>
      <c r="AG341" s="15"/>
      <c r="AH341" s="15"/>
    </row>
    <row r="342" spans="2:34" ht="14.25" customHeight="1">
      <c r="B342" s="15"/>
      <c r="C342" s="15"/>
      <c r="D342" s="15"/>
      <c r="H342" s="15"/>
      <c r="I342" s="15"/>
      <c r="J342" s="15"/>
      <c r="N342" s="15"/>
      <c r="O342" s="15"/>
      <c r="P342" s="15"/>
      <c r="T342" s="15"/>
      <c r="U342" s="15"/>
      <c r="V342" s="15"/>
      <c r="Z342" s="15"/>
      <c r="AA342" s="15"/>
      <c r="AB342" s="15"/>
      <c r="AF342" s="15"/>
      <c r="AG342" s="15"/>
      <c r="AH342" s="15"/>
    </row>
    <row r="343" spans="2:34" ht="14.25" customHeight="1">
      <c r="B343" s="15"/>
      <c r="C343" s="15"/>
      <c r="D343" s="15"/>
      <c r="H343" s="15"/>
      <c r="I343" s="15"/>
      <c r="J343" s="15"/>
      <c r="N343" s="15"/>
      <c r="O343" s="15"/>
      <c r="P343" s="15"/>
      <c r="T343" s="15"/>
      <c r="U343" s="15"/>
      <c r="V343" s="15"/>
      <c r="Z343" s="15"/>
      <c r="AA343" s="15"/>
      <c r="AB343" s="15"/>
      <c r="AF343" s="15"/>
      <c r="AG343" s="15"/>
      <c r="AH343" s="15"/>
    </row>
    <row r="344" spans="2:34" ht="14.25" customHeight="1">
      <c r="B344" s="15"/>
      <c r="C344" s="15"/>
      <c r="D344" s="15"/>
      <c r="H344" s="15"/>
      <c r="I344" s="15"/>
      <c r="J344" s="15"/>
      <c r="N344" s="15"/>
      <c r="O344" s="15"/>
      <c r="P344" s="15"/>
      <c r="T344" s="15"/>
      <c r="U344" s="15"/>
      <c r="V344" s="15"/>
      <c r="Z344" s="15"/>
      <c r="AA344" s="15"/>
      <c r="AB344" s="15"/>
      <c r="AF344" s="15"/>
      <c r="AG344" s="15"/>
      <c r="AH344" s="15"/>
    </row>
    <row r="345" spans="2:34" ht="14.25" customHeight="1">
      <c r="B345" s="15"/>
      <c r="C345" s="15"/>
      <c r="D345" s="15"/>
      <c r="H345" s="15"/>
      <c r="I345" s="15"/>
      <c r="J345" s="15"/>
      <c r="N345" s="15"/>
      <c r="O345" s="15"/>
      <c r="P345" s="15"/>
      <c r="T345" s="15"/>
      <c r="U345" s="15"/>
      <c r="V345" s="15"/>
      <c r="Z345" s="15"/>
      <c r="AA345" s="15"/>
      <c r="AB345" s="15"/>
      <c r="AF345" s="15"/>
      <c r="AG345" s="15"/>
      <c r="AH345" s="15"/>
    </row>
    <row r="346" spans="2:34" ht="14.25" customHeight="1">
      <c r="B346" s="15"/>
      <c r="C346" s="15"/>
      <c r="D346" s="15"/>
      <c r="H346" s="15"/>
      <c r="I346" s="15"/>
      <c r="J346" s="15"/>
      <c r="N346" s="15"/>
      <c r="O346" s="15"/>
      <c r="P346" s="15"/>
      <c r="T346" s="15"/>
      <c r="U346" s="15"/>
      <c r="V346" s="15"/>
      <c r="Z346" s="15"/>
      <c r="AA346" s="15"/>
      <c r="AB346" s="15"/>
      <c r="AF346" s="15"/>
      <c r="AG346" s="15"/>
      <c r="AH346" s="15"/>
    </row>
    <row r="347" spans="2:34" ht="14.25" customHeight="1">
      <c r="B347" s="15"/>
      <c r="C347" s="15"/>
      <c r="D347" s="15"/>
      <c r="H347" s="15"/>
      <c r="I347" s="15"/>
      <c r="J347" s="15"/>
      <c r="N347" s="15"/>
      <c r="O347" s="15"/>
      <c r="P347" s="15"/>
      <c r="T347" s="15"/>
      <c r="U347" s="15"/>
      <c r="V347" s="15"/>
      <c r="Z347" s="15"/>
      <c r="AA347" s="15"/>
      <c r="AB347" s="15"/>
      <c r="AF347" s="15"/>
      <c r="AG347" s="15"/>
      <c r="AH347" s="15"/>
    </row>
    <row r="348" spans="2:34" ht="14.25" customHeight="1">
      <c r="B348" s="15"/>
      <c r="C348" s="15"/>
      <c r="D348" s="15"/>
      <c r="H348" s="15"/>
      <c r="I348" s="15"/>
      <c r="J348" s="15"/>
      <c r="N348" s="15"/>
      <c r="O348" s="15"/>
      <c r="P348" s="15"/>
      <c r="T348" s="15"/>
      <c r="U348" s="15"/>
      <c r="V348" s="15"/>
      <c r="Z348" s="15"/>
      <c r="AA348" s="15"/>
      <c r="AB348" s="15"/>
      <c r="AF348" s="15"/>
      <c r="AG348" s="15"/>
      <c r="AH348" s="15"/>
    </row>
    <row r="349" spans="2:34" ht="14.25" customHeight="1">
      <c r="B349" s="15"/>
      <c r="C349" s="15"/>
      <c r="D349" s="15"/>
      <c r="H349" s="15"/>
      <c r="I349" s="15"/>
      <c r="J349" s="15"/>
      <c r="N349" s="15"/>
      <c r="O349" s="15"/>
      <c r="P349" s="15"/>
      <c r="T349" s="15"/>
      <c r="U349" s="15"/>
      <c r="V349" s="15"/>
      <c r="Z349" s="15"/>
      <c r="AA349" s="15"/>
      <c r="AB349" s="15"/>
      <c r="AF349" s="15"/>
      <c r="AG349" s="15"/>
      <c r="AH349" s="15"/>
    </row>
    <row r="350" spans="2:34" ht="14.25" customHeight="1">
      <c r="B350" s="15"/>
      <c r="C350" s="15"/>
      <c r="D350" s="15"/>
      <c r="H350" s="15"/>
      <c r="I350" s="15"/>
      <c r="J350" s="15"/>
      <c r="N350" s="15"/>
      <c r="O350" s="15"/>
      <c r="P350" s="15"/>
      <c r="T350" s="15"/>
      <c r="U350" s="15"/>
      <c r="V350" s="15"/>
      <c r="Z350" s="15"/>
      <c r="AA350" s="15"/>
      <c r="AB350" s="15"/>
      <c r="AF350" s="15"/>
      <c r="AG350" s="15"/>
      <c r="AH350" s="15"/>
    </row>
    <row r="351" spans="2:34" ht="14.25" customHeight="1">
      <c r="B351" s="15"/>
      <c r="C351" s="15"/>
      <c r="D351" s="15"/>
      <c r="H351" s="15"/>
      <c r="I351" s="15"/>
      <c r="J351" s="15"/>
      <c r="N351" s="15"/>
      <c r="O351" s="15"/>
      <c r="P351" s="15"/>
      <c r="T351" s="15"/>
      <c r="U351" s="15"/>
      <c r="V351" s="15"/>
      <c r="Z351" s="15"/>
      <c r="AA351" s="15"/>
      <c r="AB351" s="15"/>
      <c r="AF351" s="15"/>
      <c r="AG351" s="15"/>
      <c r="AH351" s="15"/>
    </row>
    <row r="352" spans="2:34" ht="14.25" customHeight="1">
      <c r="B352" s="15"/>
      <c r="C352" s="15"/>
      <c r="D352" s="15"/>
      <c r="H352" s="15"/>
      <c r="I352" s="15"/>
      <c r="J352" s="15"/>
      <c r="N352" s="15"/>
      <c r="O352" s="15"/>
      <c r="P352" s="15"/>
      <c r="T352" s="15"/>
      <c r="U352" s="15"/>
      <c r="V352" s="15"/>
      <c r="Z352" s="15"/>
      <c r="AA352" s="15"/>
      <c r="AB352" s="15"/>
      <c r="AF352" s="15"/>
      <c r="AG352" s="15"/>
      <c r="AH352" s="15"/>
    </row>
    <row r="353" spans="2:34" ht="14.25" customHeight="1">
      <c r="B353" s="15"/>
      <c r="C353" s="15"/>
      <c r="D353" s="15"/>
      <c r="H353" s="15"/>
      <c r="I353" s="15"/>
      <c r="J353" s="15"/>
      <c r="N353" s="15"/>
      <c r="O353" s="15"/>
      <c r="P353" s="15"/>
      <c r="T353" s="15"/>
      <c r="U353" s="15"/>
      <c r="V353" s="15"/>
      <c r="Z353" s="15"/>
      <c r="AA353" s="15"/>
      <c r="AB353" s="15"/>
      <c r="AF353" s="15"/>
      <c r="AG353" s="15"/>
      <c r="AH353" s="15"/>
    </row>
    <row r="354" spans="2:34" ht="14.25" customHeight="1">
      <c r="B354" s="15"/>
      <c r="C354" s="15"/>
      <c r="D354" s="15"/>
      <c r="H354" s="15"/>
      <c r="I354" s="15"/>
      <c r="J354" s="15"/>
      <c r="N354" s="15"/>
      <c r="O354" s="15"/>
      <c r="P354" s="15"/>
      <c r="T354" s="15"/>
      <c r="U354" s="15"/>
      <c r="V354" s="15"/>
      <c r="Z354" s="15"/>
      <c r="AA354" s="15"/>
      <c r="AB354" s="15"/>
      <c r="AF354" s="15"/>
      <c r="AG354" s="15"/>
      <c r="AH354" s="15"/>
    </row>
    <row r="355" spans="2:34" ht="14.25" customHeight="1">
      <c r="B355" s="15"/>
      <c r="C355" s="15"/>
      <c r="D355" s="15"/>
      <c r="H355" s="15"/>
      <c r="I355" s="15"/>
      <c r="J355" s="15"/>
      <c r="N355" s="15"/>
      <c r="O355" s="15"/>
      <c r="P355" s="15"/>
      <c r="T355" s="15"/>
      <c r="U355" s="15"/>
      <c r="V355" s="15"/>
      <c r="Z355" s="15"/>
      <c r="AA355" s="15"/>
      <c r="AB355" s="15"/>
      <c r="AF355" s="15"/>
      <c r="AG355" s="15"/>
      <c r="AH355" s="15"/>
    </row>
    <row r="356" spans="2:34" ht="14.25" customHeight="1">
      <c r="B356" s="15"/>
      <c r="C356" s="15"/>
      <c r="D356" s="15"/>
      <c r="H356" s="15"/>
      <c r="I356" s="15"/>
      <c r="J356" s="15"/>
      <c r="N356" s="15"/>
      <c r="O356" s="15"/>
      <c r="P356" s="15"/>
      <c r="T356" s="15"/>
      <c r="U356" s="15"/>
      <c r="V356" s="15"/>
      <c r="Z356" s="15"/>
      <c r="AA356" s="15"/>
      <c r="AB356" s="15"/>
      <c r="AF356" s="15"/>
      <c r="AG356" s="15"/>
      <c r="AH356" s="15"/>
    </row>
    <row r="357" spans="2:34" ht="14.25" customHeight="1">
      <c r="B357" s="15"/>
      <c r="C357" s="15"/>
      <c r="D357" s="15"/>
      <c r="H357" s="15"/>
      <c r="I357" s="15"/>
      <c r="J357" s="15"/>
      <c r="N357" s="15"/>
      <c r="O357" s="15"/>
      <c r="P357" s="15"/>
      <c r="T357" s="15"/>
      <c r="U357" s="15"/>
      <c r="V357" s="15"/>
      <c r="Z357" s="15"/>
      <c r="AA357" s="15"/>
      <c r="AB357" s="15"/>
      <c r="AF357" s="15"/>
      <c r="AG357" s="15"/>
      <c r="AH357" s="15"/>
    </row>
    <row r="358" spans="2:34" ht="14.25" customHeight="1">
      <c r="B358" s="15"/>
      <c r="C358" s="15"/>
      <c r="D358" s="15"/>
      <c r="H358" s="15"/>
      <c r="I358" s="15"/>
      <c r="J358" s="15"/>
      <c r="N358" s="15"/>
      <c r="O358" s="15"/>
      <c r="P358" s="15"/>
      <c r="T358" s="15"/>
      <c r="U358" s="15"/>
      <c r="V358" s="15"/>
      <c r="Z358" s="15"/>
      <c r="AA358" s="15"/>
      <c r="AB358" s="15"/>
      <c r="AF358" s="15"/>
      <c r="AG358" s="15"/>
      <c r="AH358" s="15"/>
    </row>
    <row r="359" spans="2:34" ht="14.25" customHeight="1">
      <c r="B359" s="15"/>
      <c r="C359" s="15"/>
      <c r="D359" s="15"/>
      <c r="H359" s="15"/>
      <c r="I359" s="15"/>
      <c r="J359" s="15"/>
      <c r="N359" s="15"/>
      <c r="O359" s="15"/>
      <c r="P359" s="15"/>
      <c r="T359" s="15"/>
      <c r="U359" s="15"/>
      <c r="V359" s="15"/>
      <c r="Z359" s="15"/>
      <c r="AA359" s="15"/>
      <c r="AB359" s="15"/>
      <c r="AF359" s="15"/>
      <c r="AG359" s="15"/>
      <c r="AH359" s="15"/>
    </row>
    <row r="360" spans="2:34" ht="14.25" customHeight="1">
      <c r="B360" s="15"/>
      <c r="C360" s="15"/>
      <c r="D360" s="15"/>
      <c r="H360" s="15"/>
      <c r="I360" s="15"/>
      <c r="J360" s="15"/>
      <c r="N360" s="15"/>
      <c r="O360" s="15"/>
      <c r="P360" s="15"/>
      <c r="T360" s="15"/>
      <c r="U360" s="15"/>
      <c r="V360" s="15"/>
      <c r="Z360" s="15"/>
      <c r="AA360" s="15"/>
      <c r="AB360" s="15"/>
      <c r="AF360" s="15"/>
      <c r="AG360" s="15"/>
      <c r="AH360" s="15"/>
    </row>
    <row r="361" spans="2:34" ht="14.25" customHeight="1">
      <c r="B361" s="15"/>
      <c r="C361" s="15"/>
      <c r="D361" s="15"/>
      <c r="H361" s="15"/>
      <c r="I361" s="15"/>
      <c r="J361" s="15"/>
      <c r="N361" s="15"/>
      <c r="O361" s="15"/>
      <c r="P361" s="15"/>
      <c r="T361" s="15"/>
      <c r="U361" s="15"/>
      <c r="V361" s="15"/>
      <c r="Z361" s="15"/>
      <c r="AA361" s="15"/>
      <c r="AB361" s="15"/>
      <c r="AF361" s="15"/>
      <c r="AG361" s="15"/>
      <c r="AH361" s="15"/>
    </row>
    <row r="362" spans="2:34" ht="14.25" customHeight="1">
      <c r="B362" s="15"/>
      <c r="C362" s="15"/>
      <c r="D362" s="15"/>
      <c r="H362" s="15"/>
      <c r="I362" s="15"/>
      <c r="J362" s="15"/>
      <c r="N362" s="15"/>
      <c r="O362" s="15"/>
      <c r="P362" s="15"/>
      <c r="T362" s="15"/>
      <c r="U362" s="15"/>
      <c r="V362" s="15"/>
      <c r="Z362" s="15"/>
      <c r="AA362" s="15"/>
      <c r="AB362" s="15"/>
      <c r="AF362" s="15"/>
      <c r="AG362" s="15"/>
      <c r="AH362" s="15"/>
    </row>
    <row r="363" spans="2:34" ht="14.25" customHeight="1">
      <c r="B363" s="15"/>
      <c r="C363" s="15"/>
      <c r="D363" s="15"/>
      <c r="H363" s="15"/>
      <c r="I363" s="15"/>
      <c r="J363" s="15"/>
      <c r="N363" s="15"/>
      <c r="O363" s="15"/>
      <c r="P363" s="15"/>
      <c r="T363" s="15"/>
      <c r="U363" s="15"/>
      <c r="V363" s="15"/>
      <c r="Z363" s="15"/>
      <c r="AA363" s="15"/>
      <c r="AB363" s="15"/>
      <c r="AF363" s="15"/>
      <c r="AG363" s="15"/>
      <c r="AH363" s="15"/>
    </row>
    <row r="364" spans="2:34" ht="14.25" customHeight="1">
      <c r="B364" s="15"/>
      <c r="C364" s="15"/>
      <c r="D364" s="15"/>
      <c r="H364" s="15"/>
      <c r="I364" s="15"/>
      <c r="J364" s="15"/>
      <c r="N364" s="15"/>
      <c r="O364" s="15"/>
      <c r="P364" s="15"/>
      <c r="T364" s="15"/>
      <c r="U364" s="15"/>
      <c r="V364" s="15"/>
      <c r="Z364" s="15"/>
      <c r="AA364" s="15"/>
      <c r="AB364" s="15"/>
      <c r="AF364" s="15"/>
      <c r="AG364" s="15"/>
      <c r="AH364" s="15"/>
    </row>
    <row r="365" spans="2:34" ht="14.25" customHeight="1">
      <c r="B365" s="15"/>
      <c r="C365" s="15"/>
      <c r="D365" s="15"/>
      <c r="H365" s="15"/>
      <c r="I365" s="15"/>
      <c r="J365" s="15"/>
      <c r="N365" s="15"/>
      <c r="O365" s="15"/>
      <c r="P365" s="15"/>
      <c r="T365" s="15"/>
      <c r="U365" s="15"/>
      <c r="V365" s="15"/>
      <c r="Z365" s="15"/>
      <c r="AA365" s="15"/>
      <c r="AB365" s="15"/>
      <c r="AF365" s="15"/>
      <c r="AG365" s="15"/>
      <c r="AH365" s="15"/>
    </row>
    <row r="366" spans="2:34" ht="14.25" customHeight="1">
      <c r="B366" s="15"/>
      <c r="C366" s="15"/>
      <c r="D366" s="15"/>
      <c r="H366" s="15"/>
      <c r="I366" s="15"/>
      <c r="J366" s="15"/>
      <c r="N366" s="15"/>
      <c r="O366" s="15"/>
      <c r="P366" s="15"/>
      <c r="T366" s="15"/>
      <c r="U366" s="15"/>
      <c r="V366" s="15"/>
      <c r="Z366" s="15"/>
      <c r="AA366" s="15"/>
      <c r="AB366" s="15"/>
      <c r="AF366" s="15"/>
      <c r="AG366" s="15"/>
      <c r="AH366" s="15"/>
    </row>
    <row r="367" spans="2:34" ht="14.25" customHeight="1">
      <c r="B367" s="15"/>
      <c r="C367" s="15"/>
      <c r="D367" s="15"/>
      <c r="H367" s="15"/>
      <c r="I367" s="15"/>
      <c r="J367" s="15"/>
      <c r="N367" s="15"/>
      <c r="O367" s="15"/>
      <c r="P367" s="15"/>
      <c r="T367" s="15"/>
      <c r="U367" s="15"/>
      <c r="V367" s="15"/>
      <c r="Z367" s="15"/>
      <c r="AA367" s="15"/>
      <c r="AB367" s="15"/>
      <c r="AF367" s="15"/>
      <c r="AG367" s="15"/>
      <c r="AH367" s="15"/>
    </row>
    <row r="368" spans="2:34" ht="14.25" customHeight="1">
      <c r="B368" s="15"/>
      <c r="C368" s="15"/>
      <c r="D368" s="15"/>
      <c r="H368" s="15"/>
      <c r="I368" s="15"/>
      <c r="J368" s="15"/>
      <c r="N368" s="15"/>
      <c r="O368" s="15"/>
      <c r="P368" s="15"/>
      <c r="T368" s="15"/>
      <c r="U368" s="15"/>
      <c r="V368" s="15"/>
      <c r="Z368" s="15"/>
      <c r="AA368" s="15"/>
      <c r="AB368" s="15"/>
      <c r="AF368" s="15"/>
      <c r="AG368" s="15"/>
      <c r="AH368" s="15"/>
    </row>
    <row r="369" spans="2:34" ht="14.25" customHeight="1">
      <c r="B369" s="15"/>
      <c r="C369" s="15"/>
      <c r="D369" s="15"/>
      <c r="H369" s="15"/>
      <c r="I369" s="15"/>
      <c r="J369" s="15"/>
      <c r="N369" s="15"/>
      <c r="O369" s="15"/>
      <c r="P369" s="15"/>
      <c r="T369" s="15"/>
      <c r="U369" s="15"/>
      <c r="V369" s="15"/>
      <c r="Z369" s="15"/>
      <c r="AA369" s="15"/>
      <c r="AB369" s="15"/>
      <c r="AF369" s="15"/>
      <c r="AG369" s="15"/>
      <c r="AH369" s="15"/>
    </row>
    <row r="370" spans="2:34" ht="14.25" customHeight="1">
      <c r="B370" s="15"/>
      <c r="C370" s="15"/>
      <c r="D370" s="15"/>
      <c r="H370" s="15"/>
      <c r="I370" s="15"/>
      <c r="J370" s="15"/>
      <c r="N370" s="15"/>
      <c r="O370" s="15"/>
      <c r="P370" s="15"/>
      <c r="T370" s="15"/>
      <c r="U370" s="15"/>
      <c r="V370" s="15"/>
      <c r="Z370" s="15"/>
      <c r="AA370" s="15"/>
      <c r="AB370" s="15"/>
      <c r="AF370" s="15"/>
      <c r="AG370" s="15"/>
      <c r="AH370" s="15"/>
    </row>
    <row r="371" spans="2:34" ht="14.25" customHeight="1">
      <c r="B371" s="15"/>
      <c r="C371" s="15"/>
      <c r="D371" s="15"/>
      <c r="H371" s="15"/>
      <c r="I371" s="15"/>
      <c r="J371" s="15"/>
      <c r="N371" s="15"/>
      <c r="O371" s="15"/>
      <c r="P371" s="15"/>
      <c r="T371" s="15"/>
      <c r="U371" s="15"/>
      <c r="V371" s="15"/>
      <c r="Z371" s="15"/>
      <c r="AA371" s="15"/>
      <c r="AB371" s="15"/>
      <c r="AF371" s="15"/>
      <c r="AG371" s="15"/>
      <c r="AH371" s="15"/>
    </row>
    <row r="372" spans="2:34" ht="14.25" customHeight="1">
      <c r="B372" s="15"/>
      <c r="C372" s="15"/>
      <c r="D372" s="15"/>
      <c r="H372" s="15"/>
      <c r="I372" s="15"/>
      <c r="J372" s="15"/>
      <c r="N372" s="15"/>
      <c r="O372" s="15"/>
      <c r="P372" s="15"/>
      <c r="T372" s="15"/>
      <c r="U372" s="15"/>
      <c r="V372" s="15"/>
      <c r="Z372" s="15"/>
      <c r="AA372" s="15"/>
      <c r="AB372" s="15"/>
      <c r="AF372" s="15"/>
      <c r="AG372" s="15"/>
      <c r="AH372" s="15"/>
    </row>
    <row r="373" spans="2:34" ht="14.25" customHeight="1">
      <c r="B373" s="15"/>
      <c r="C373" s="15"/>
      <c r="D373" s="15"/>
      <c r="H373" s="15"/>
      <c r="I373" s="15"/>
      <c r="J373" s="15"/>
      <c r="N373" s="15"/>
      <c r="O373" s="15"/>
      <c r="P373" s="15"/>
      <c r="T373" s="15"/>
      <c r="U373" s="15"/>
      <c r="V373" s="15"/>
      <c r="Z373" s="15"/>
      <c r="AA373" s="15"/>
      <c r="AB373" s="15"/>
      <c r="AF373" s="15"/>
      <c r="AG373" s="15"/>
      <c r="AH373" s="15"/>
    </row>
    <row r="374" spans="2:34" ht="14.25" customHeight="1">
      <c r="B374" s="15"/>
      <c r="C374" s="15"/>
      <c r="D374" s="15"/>
      <c r="H374" s="15"/>
      <c r="I374" s="15"/>
      <c r="J374" s="15"/>
      <c r="N374" s="15"/>
      <c r="O374" s="15"/>
      <c r="P374" s="15"/>
      <c r="T374" s="15"/>
      <c r="U374" s="15"/>
      <c r="V374" s="15"/>
      <c r="Z374" s="15"/>
      <c r="AA374" s="15"/>
      <c r="AB374" s="15"/>
      <c r="AF374" s="15"/>
      <c r="AG374" s="15"/>
      <c r="AH374" s="15"/>
    </row>
    <row r="375" spans="2:34" ht="14.25" customHeight="1">
      <c r="B375" s="15"/>
      <c r="C375" s="15"/>
      <c r="D375" s="15"/>
      <c r="H375" s="15"/>
      <c r="I375" s="15"/>
      <c r="J375" s="15"/>
      <c r="N375" s="15"/>
      <c r="O375" s="15"/>
      <c r="P375" s="15"/>
      <c r="T375" s="15"/>
      <c r="U375" s="15"/>
      <c r="V375" s="15"/>
      <c r="Z375" s="15"/>
      <c r="AA375" s="15"/>
      <c r="AB375" s="15"/>
      <c r="AF375" s="15"/>
      <c r="AG375" s="15"/>
      <c r="AH375" s="15"/>
    </row>
    <row r="376" spans="2:34" ht="14.25" customHeight="1">
      <c r="B376" s="15"/>
      <c r="C376" s="15"/>
      <c r="D376" s="15"/>
      <c r="H376" s="15"/>
      <c r="I376" s="15"/>
      <c r="J376" s="15"/>
      <c r="N376" s="15"/>
      <c r="O376" s="15"/>
      <c r="P376" s="15"/>
      <c r="T376" s="15"/>
      <c r="U376" s="15"/>
      <c r="V376" s="15"/>
      <c r="Z376" s="15"/>
      <c r="AA376" s="15"/>
      <c r="AB376" s="15"/>
      <c r="AF376" s="15"/>
      <c r="AG376" s="15"/>
      <c r="AH376" s="15"/>
    </row>
    <row r="377" spans="2:34" ht="14.25" customHeight="1">
      <c r="B377" s="15"/>
      <c r="C377" s="15"/>
      <c r="D377" s="15"/>
      <c r="H377" s="15"/>
      <c r="I377" s="15"/>
      <c r="J377" s="15"/>
      <c r="N377" s="15"/>
      <c r="O377" s="15"/>
      <c r="P377" s="15"/>
      <c r="T377" s="15"/>
      <c r="U377" s="15"/>
      <c r="V377" s="15"/>
      <c r="Z377" s="15"/>
      <c r="AA377" s="15"/>
      <c r="AB377" s="15"/>
      <c r="AF377" s="15"/>
      <c r="AG377" s="15"/>
      <c r="AH377" s="15"/>
    </row>
    <row r="378" spans="2:34" ht="14.25" customHeight="1">
      <c r="B378" s="15"/>
      <c r="C378" s="15"/>
      <c r="D378" s="15"/>
      <c r="H378" s="15"/>
      <c r="I378" s="15"/>
      <c r="J378" s="15"/>
      <c r="N378" s="15"/>
      <c r="O378" s="15"/>
      <c r="P378" s="15"/>
      <c r="T378" s="15"/>
      <c r="U378" s="15"/>
      <c r="V378" s="15"/>
      <c r="Z378" s="15"/>
      <c r="AA378" s="15"/>
      <c r="AB378" s="15"/>
      <c r="AF378" s="15"/>
      <c r="AG378" s="15"/>
      <c r="AH378" s="15"/>
    </row>
    <row r="379" spans="2:34" ht="14.25" customHeight="1">
      <c r="B379" s="15"/>
      <c r="C379" s="15"/>
      <c r="D379" s="15"/>
      <c r="H379" s="15"/>
      <c r="I379" s="15"/>
      <c r="J379" s="15"/>
      <c r="N379" s="15"/>
      <c r="O379" s="15"/>
      <c r="P379" s="15"/>
      <c r="T379" s="15"/>
      <c r="U379" s="15"/>
      <c r="V379" s="15"/>
      <c r="Z379" s="15"/>
      <c r="AA379" s="15"/>
      <c r="AB379" s="15"/>
      <c r="AF379" s="15"/>
      <c r="AG379" s="15"/>
      <c r="AH379" s="15"/>
    </row>
    <row r="380" spans="2:34" ht="14.25" customHeight="1">
      <c r="B380" s="15"/>
      <c r="C380" s="15"/>
      <c r="D380" s="15"/>
      <c r="H380" s="15"/>
      <c r="I380" s="15"/>
      <c r="J380" s="15"/>
      <c r="N380" s="15"/>
      <c r="O380" s="15"/>
      <c r="P380" s="15"/>
      <c r="T380" s="15"/>
      <c r="U380" s="15"/>
      <c r="V380" s="15"/>
      <c r="Z380" s="15"/>
      <c r="AA380" s="15"/>
      <c r="AB380" s="15"/>
      <c r="AF380" s="15"/>
      <c r="AG380" s="15"/>
      <c r="AH380" s="15"/>
    </row>
    <row r="381" spans="2:34" ht="14.25" customHeight="1">
      <c r="B381" s="15"/>
      <c r="C381" s="15"/>
      <c r="D381" s="15"/>
      <c r="H381" s="15"/>
      <c r="I381" s="15"/>
      <c r="J381" s="15"/>
      <c r="N381" s="15"/>
      <c r="O381" s="15"/>
      <c r="P381" s="15"/>
      <c r="T381" s="15"/>
      <c r="U381" s="15"/>
      <c r="V381" s="15"/>
      <c r="Z381" s="15"/>
      <c r="AA381" s="15"/>
      <c r="AB381" s="15"/>
      <c r="AF381" s="15"/>
      <c r="AG381" s="15"/>
      <c r="AH381" s="15"/>
    </row>
    <row r="382" spans="2:34" ht="14.25" customHeight="1">
      <c r="B382" s="15"/>
      <c r="C382" s="15"/>
      <c r="D382" s="15"/>
      <c r="H382" s="15"/>
      <c r="I382" s="15"/>
      <c r="J382" s="15"/>
      <c r="N382" s="15"/>
      <c r="O382" s="15"/>
      <c r="P382" s="15"/>
      <c r="T382" s="15"/>
      <c r="U382" s="15"/>
      <c r="V382" s="15"/>
      <c r="Z382" s="15"/>
      <c r="AA382" s="15"/>
      <c r="AB382" s="15"/>
      <c r="AF382" s="15"/>
      <c r="AG382" s="15"/>
      <c r="AH382" s="15"/>
    </row>
    <row r="383" spans="2:34" ht="14.25" customHeight="1">
      <c r="B383" s="15"/>
      <c r="C383" s="15"/>
      <c r="D383" s="15"/>
      <c r="H383" s="15"/>
      <c r="I383" s="15"/>
      <c r="J383" s="15"/>
      <c r="N383" s="15"/>
      <c r="O383" s="15"/>
      <c r="P383" s="15"/>
      <c r="T383" s="15"/>
      <c r="U383" s="15"/>
      <c r="V383" s="15"/>
      <c r="Z383" s="15"/>
      <c r="AA383" s="15"/>
      <c r="AB383" s="15"/>
      <c r="AF383" s="15"/>
      <c r="AG383" s="15"/>
      <c r="AH383" s="15"/>
    </row>
    <row r="384" spans="2:34" ht="14.25" customHeight="1">
      <c r="B384" s="15"/>
      <c r="C384" s="15"/>
      <c r="D384" s="15"/>
      <c r="H384" s="15"/>
      <c r="I384" s="15"/>
      <c r="J384" s="15"/>
      <c r="N384" s="15"/>
      <c r="O384" s="15"/>
      <c r="P384" s="15"/>
      <c r="T384" s="15"/>
      <c r="U384" s="15"/>
      <c r="V384" s="15"/>
      <c r="Z384" s="15"/>
      <c r="AA384" s="15"/>
      <c r="AB384" s="15"/>
      <c r="AF384" s="15"/>
      <c r="AG384" s="15"/>
      <c r="AH384" s="15"/>
    </row>
    <row r="385" spans="2:34" ht="14.25" customHeight="1">
      <c r="B385" s="15"/>
      <c r="C385" s="15"/>
      <c r="D385" s="15"/>
      <c r="H385" s="15"/>
      <c r="I385" s="15"/>
      <c r="J385" s="15"/>
      <c r="N385" s="15"/>
      <c r="O385" s="15"/>
      <c r="P385" s="15"/>
      <c r="T385" s="15"/>
      <c r="U385" s="15"/>
      <c r="V385" s="15"/>
      <c r="Z385" s="15"/>
      <c r="AA385" s="15"/>
      <c r="AB385" s="15"/>
      <c r="AF385" s="15"/>
      <c r="AG385" s="15"/>
      <c r="AH385" s="15"/>
    </row>
    <row r="386" spans="2:34" ht="14.25" customHeight="1">
      <c r="B386" s="15"/>
      <c r="C386" s="15"/>
      <c r="D386" s="15"/>
      <c r="H386" s="15"/>
      <c r="I386" s="15"/>
      <c r="J386" s="15"/>
      <c r="N386" s="15"/>
      <c r="O386" s="15"/>
      <c r="P386" s="15"/>
      <c r="T386" s="15"/>
      <c r="U386" s="15"/>
      <c r="V386" s="15"/>
      <c r="Z386" s="15"/>
      <c r="AA386" s="15"/>
      <c r="AB386" s="15"/>
      <c r="AF386" s="15"/>
      <c r="AG386" s="15"/>
      <c r="AH386" s="15"/>
    </row>
    <row r="387" spans="2:34" ht="14.25" customHeight="1">
      <c r="B387" s="15"/>
      <c r="C387" s="15"/>
      <c r="D387" s="15"/>
      <c r="H387" s="15"/>
      <c r="I387" s="15"/>
      <c r="J387" s="15"/>
      <c r="N387" s="15"/>
      <c r="O387" s="15"/>
      <c r="P387" s="15"/>
      <c r="T387" s="15"/>
      <c r="U387" s="15"/>
      <c r="V387" s="15"/>
      <c r="Z387" s="15"/>
      <c r="AA387" s="15"/>
      <c r="AB387" s="15"/>
      <c r="AF387" s="15"/>
      <c r="AG387" s="15"/>
      <c r="AH387" s="15"/>
    </row>
    <row r="388" spans="2:34" ht="14.25" customHeight="1">
      <c r="B388" s="15"/>
      <c r="C388" s="15"/>
      <c r="D388" s="15"/>
      <c r="H388" s="15"/>
      <c r="I388" s="15"/>
      <c r="J388" s="15"/>
      <c r="N388" s="15"/>
      <c r="O388" s="15"/>
      <c r="P388" s="15"/>
      <c r="T388" s="15"/>
      <c r="U388" s="15"/>
      <c r="V388" s="15"/>
      <c r="Z388" s="15"/>
      <c r="AA388" s="15"/>
      <c r="AB388" s="15"/>
      <c r="AF388" s="15"/>
      <c r="AG388" s="15"/>
      <c r="AH388" s="15"/>
    </row>
    <row r="389" spans="2:34" ht="14.25" customHeight="1">
      <c r="B389" s="15"/>
      <c r="C389" s="15"/>
      <c r="D389" s="15"/>
      <c r="H389" s="15"/>
      <c r="I389" s="15"/>
      <c r="J389" s="15"/>
      <c r="N389" s="15"/>
      <c r="O389" s="15"/>
      <c r="P389" s="15"/>
      <c r="T389" s="15"/>
      <c r="U389" s="15"/>
      <c r="V389" s="15"/>
      <c r="Z389" s="15"/>
      <c r="AA389" s="15"/>
      <c r="AB389" s="15"/>
      <c r="AF389" s="15"/>
      <c r="AG389" s="15"/>
      <c r="AH389" s="15"/>
    </row>
    <row r="390" spans="2:34" ht="14.25" customHeight="1">
      <c r="B390" s="15"/>
      <c r="C390" s="15"/>
      <c r="D390" s="15"/>
      <c r="H390" s="15"/>
      <c r="I390" s="15"/>
      <c r="J390" s="15"/>
      <c r="N390" s="15"/>
      <c r="O390" s="15"/>
      <c r="P390" s="15"/>
      <c r="T390" s="15"/>
      <c r="U390" s="15"/>
      <c r="V390" s="15"/>
      <c r="Z390" s="15"/>
      <c r="AA390" s="15"/>
      <c r="AB390" s="15"/>
      <c r="AF390" s="15"/>
      <c r="AG390" s="15"/>
      <c r="AH390" s="15"/>
    </row>
    <row r="391" spans="2:34" ht="14.25" customHeight="1">
      <c r="B391" s="15"/>
      <c r="C391" s="15"/>
      <c r="D391" s="15"/>
      <c r="H391" s="15"/>
      <c r="I391" s="15"/>
      <c r="J391" s="15"/>
      <c r="N391" s="15"/>
      <c r="O391" s="15"/>
      <c r="P391" s="15"/>
      <c r="T391" s="15"/>
      <c r="U391" s="15"/>
      <c r="V391" s="15"/>
      <c r="Z391" s="15"/>
      <c r="AA391" s="15"/>
      <c r="AB391" s="15"/>
      <c r="AF391" s="15"/>
      <c r="AG391" s="15"/>
      <c r="AH391" s="15"/>
    </row>
    <row r="392" spans="2:34" ht="14.25" customHeight="1">
      <c r="B392" s="15"/>
      <c r="C392" s="15"/>
      <c r="D392" s="15"/>
      <c r="H392" s="15"/>
      <c r="I392" s="15"/>
      <c r="J392" s="15"/>
      <c r="N392" s="15"/>
      <c r="O392" s="15"/>
      <c r="P392" s="15"/>
      <c r="T392" s="15"/>
      <c r="U392" s="15"/>
      <c r="V392" s="15"/>
      <c r="Z392" s="15"/>
      <c r="AA392" s="15"/>
      <c r="AB392" s="15"/>
      <c r="AF392" s="15"/>
      <c r="AG392" s="15"/>
      <c r="AH392" s="15"/>
    </row>
    <row r="393" spans="2:34" ht="14.25" customHeight="1">
      <c r="B393" s="15"/>
      <c r="C393" s="15"/>
      <c r="D393" s="15"/>
      <c r="H393" s="15"/>
      <c r="I393" s="15"/>
      <c r="J393" s="15"/>
      <c r="N393" s="15"/>
      <c r="O393" s="15"/>
      <c r="P393" s="15"/>
      <c r="T393" s="15"/>
      <c r="U393" s="15"/>
      <c r="V393" s="15"/>
      <c r="Z393" s="15"/>
      <c r="AA393" s="15"/>
      <c r="AB393" s="15"/>
      <c r="AF393" s="15"/>
      <c r="AG393" s="15"/>
      <c r="AH393" s="15"/>
    </row>
    <row r="394" spans="2:34" ht="14.25" customHeight="1">
      <c r="B394" s="15"/>
      <c r="C394" s="15"/>
      <c r="D394" s="15"/>
      <c r="H394" s="15"/>
      <c r="I394" s="15"/>
      <c r="J394" s="15"/>
      <c r="N394" s="15"/>
      <c r="O394" s="15"/>
      <c r="P394" s="15"/>
      <c r="T394" s="15"/>
      <c r="U394" s="15"/>
      <c r="V394" s="15"/>
      <c r="Z394" s="15"/>
      <c r="AA394" s="15"/>
      <c r="AB394" s="15"/>
      <c r="AF394" s="15"/>
      <c r="AG394" s="15"/>
      <c r="AH394" s="15"/>
    </row>
    <row r="395" spans="2:34" ht="14.25" customHeight="1">
      <c r="B395" s="15"/>
      <c r="C395" s="15"/>
      <c r="D395" s="15"/>
      <c r="H395" s="15"/>
      <c r="I395" s="15"/>
      <c r="J395" s="15"/>
      <c r="N395" s="15"/>
      <c r="O395" s="15"/>
      <c r="P395" s="15"/>
      <c r="T395" s="15"/>
      <c r="U395" s="15"/>
      <c r="V395" s="15"/>
      <c r="Z395" s="15"/>
      <c r="AA395" s="15"/>
      <c r="AB395" s="15"/>
      <c r="AF395" s="15"/>
      <c r="AG395" s="15"/>
      <c r="AH395" s="15"/>
    </row>
    <row r="396" spans="2:34" ht="14.25" customHeight="1">
      <c r="B396" s="15"/>
      <c r="C396" s="15"/>
      <c r="D396" s="15"/>
      <c r="H396" s="15"/>
      <c r="I396" s="15"/>
      <c r="J396" s="15"/>
      <c r="N396" s="15"/>
      <c r="O396" s="15"/>
      <c r="P396" s="15"/>
      <c r="T396" s="15"/>
      <c r="U396" s="15"/>
      <c r="V396" s="15"/>
      <c r="Z396" s="15"/>
      <c r="AA396" s="15"/>
      <c r="AB396" s="15"/>
      <c r="AF396" s="15"/>
      <c r="AG396" s="15"/>
      <c r="AH396" s="15"/>
    </row>
    <row r="397" spans="2:34" ht="14.25" customHeight="1">
      <c r="B397" s="15"/>
      <c r="C397" s="15"/>
      <c r="D397" s="15"/>
      <c r="H397" s="15"/>
      <c r="I397" s="15"/>
      <c r="J397" s="15"/>
      <c r="N397" s="15"/>
      <c r="O397" s="15"/>
      <c r="P397" s="15"/>
      <c r="T397" s="15"/>
      <c r="U397" s="15"/>
      <c r="V397" s="15"/>
      <c r="Z397" s="15"/>
      <c r="AA397" s="15"/>
      <c r="AB397" s="15"/>
      <c r="AF397" s="15"/>
      <c r="AG397" s="15"/>
      <c r="AH397" s="15"/>
    </row>
    <row r="398" spans="2:34" ht="14.25" customHeight="1">
      <c r="B398" s="15"/>
      <c r="C398" s="15"/>
      <c r="D398" s="15"/>
      <c r="H398" s="15"/>
      <c r="I398" s="15"/>
      <c r="J398" s="15"/>
      <c r="N398" s="15"/>
      <c r="O398" s="15"/>
      <c r="P398" s="15"/>
      <c r="T398" s="15"/>
      <c r="U398" s="15"/>
      <c r="V398" s="15"/>
      <c r="Z398" s="15"/>
      <c r="AA398" s="15"/>
      <c r="AB398" s="15"/>
      <c r="AF398" s="15"/>
      <c r="AG398" s="15"/>
      <c r="AH398" s="15"/>
    </row>
    <row r="399" spans="2:34" ht="14.25" customHeight="1">
      <c r="B399" s="15"/>
      <c r="C399" s="15"/>
      <c r="D399" s="15"/>
      <c r="H399" s="15"/>
      <c r="I399" s="15"/>
      <c r="J399" s="15"/>
      <c r="N399" s="15"/>
      <c r="O399" s="15"/>
      <c r="P399" s="15"/>
      <c r="T399" s="15"/>
      <c r="U399" s="15"/>
      <c r="V399" s="15"/>
      <c r="Z399" s="15"/>
      <c r="AA399" s="15"/>
      <c r="AB399" s="15"/>
      <c r="AF399" s="15"/>
      <c r="AG399" s="15"/>
      <c r="AH399" s="15"/>
    </row>
    <row r="400" spans="2:34" ht="14.25" customHeight="1">
      <c r="B400" s="15"/>
      <c r="C400" s="15"/>
      <c r="D400" s="15"/>
      <c r="H400" s="15"/>
      <c r="I400" s="15"/>
      <c r="J400" s="15"/>
      <c r="N400" s="15"/>
      <c r="O400" s="15"/>
      <c r="P400" s="15"/>
      <c r="T400" s="15"/>
      <c r="U400" s="15"/>
      <c r="V400" s="15"/>
      <c r="Z400" s="15"/>
      <c r="AA400" s="15"/>
      <c r="AB400" s="15"/>
      <c r="AF400" s="15"/>
      <c r="AG400" s="15"/>
      <c r="AH400" s="15"/>
    </row>
    <row r="401" spans="2:34" ht="14.25" customHeight="1">
      <c r="B401" s="15"/>
      <c r="C401" s="15"/>
      <c r="D401" s="15"/>
      <c r="H401" s="15"/>
      <c r="I401" s="15"/>
      <c r="J401" s="15"/>
      <c r="N401" s="15"/>
      <c r="O401" s="15"/>
      <c r="P401" s="15"/>
      <c r="T401" s="15"/>
      <c r="U401" s="15"/>
      <c r="V401" s="15"/>
      <c r="Z401" s="15"/>
      <c r="AA401" s="15"/>
      <c r="AB401" s="15"/>
      <c r="AF401" s="15"/>
      <c r="AG401" s="15"/>
      <c r="AH401" s="15"/>
    </row>
    <row r="402" spans="2:34" ht="14.25" customHeight="1">
      <c r="B402" s="15"/>
      <c r="C402" s="15"/>
      <c r="D402" s="15"/>
      <c r="H402" s="15"/>
      <c r="I402" s="15"/>
      <c r="J402" s="15"/>
      <c r="N402" s="15"/>
      <c r="O402" s="15"/>
      <c r="P402" s="15"/>
      <c r="T402" s="15"/>
      <c r="U402" s="15"/>
      <c r="V402" s="15"/>
      <c r="Z402" s="15"/>
      <c r="AA402" s="15"/>
      <c r="AB402" s="15"/>
      <c r="AF402" s="15"/>
      <c r="AG402" s="15"/>
      <c r="AH402" s="15"/>
    </row>
    <row r="403" spans="2:34" ht="14.25" customHeight="1">
      <c r="B403" s="15"/>
      <c r="C403" s="15"/>
      <c r="D403" s="15"/>
      <c r="H403" s="15"/>
      <c r="I403" s="15"/>
      <c r="J403" s="15"/>
      <c r="N403" s="15"/>
      <c r="O403" s="15"/>
      <c r="P403" s="15"/>
      <c r="T403" s="15"/>
      <c r="U403" s="15"/>
      <c r="V403" s="15"/>
      <c r="Z403" s="15"/>
      <c r="AA403" s="15"/>
      <c r="AB403" s="15"/>
      <c r="AF403" s="15"/>
      <c r="AG403" s="15"/>
      <c r="AH403" s="15"/>
    </row>
    <row r="404" spans="2:34" ht="14.25" customHeight="1">
      <c r="B404" s="15"/>
      <c r="C404" s="15"/>
      <c r="D404" s="15"/>
      <c r="H404" s="15"/>
      <c r="I404" s="15"/>
      <c r="J404" s="15"/>
      <c r="N404" s="15"/>
      <c r="O404" s="15"/>
      <c r="P404" s="15"/>
      <c r="T404" s="15"/>
      <c r="U404" s="15"/>
      <c r="V404" s="15"/>
      <c r="Z404" s="15"/>
      <c r="AA404" s="15"/>
      <c r="AB404" s="15"/>
      <c r="AF404" s="15"/>
      <c r="AG404" s="15"/>
      <c r="AH404" s="15"/>
    </row>
    <row r="405" spans="2:34" ht="14.25" customHeight="1">
      <c r="B405" s="15"/>
      <c r="C405" s="15"/>
      <c r="D405" s="15"/>
      <c r="H405" s="15"/>
      <c r="I405" s="15"/>
      <c r="J405" s="15"/>
      <c r="N405" s="15"/>
      <c r="O405" s="15"/>
      <c r="P405" s="15"/>
      <c r="T405" s="15"/>
      <c r="U405" s="15"/>
      <c r="V405" s="15"/>
      <c r="Z405" s="15"/>
      <c r="AA405" s="15"/>
      <c r="AB405" s="15"/>
      <c r="AF405" s="15"/>
      <c r="AG405" s="15"/>
      <c r="AH405" s="15"/>
    </row>
    <row r="406" spans="2:34" ht="14.25" customHeight="1">
      <c r="B406" s="15"/>
      <c r="C406" s="15"/>
      <c r="D406" s="15"/>
      <c r="H406" s="15"/>
      <c r="I406" s="15"/>
      <c r="J406" s="15"/>
      <c r="N406" s="15"/>
      <c r="O406" s="15"/>
      <c r="P406" s="15"/>
      <c r="T406" s="15"/>
      <c r="U406" s="15"/>
      <c r="V406" s="15"/>
      <c r="Z406" s="15"/>
      <c r="AA406" s="15"/>
      <c r="AB406" s="15"/>
      <c r="AF406" s="15"/>
      <c r="AG406" s="15"/>
      <c r="AH406" s="15"/>
    </row>
    <row r="407" spans="2:34" ht="14.25" customHeight="1">
      <c r="B407" s="15"/>
      <c r="C407" s="15"/>
      <c r="D407" s="15"/>
      <c r="H407" s="15"/>
      <c r="I407" s="15"/>
      <c r="J407" s="15"/>
      <c r="N407" s="15"/>
      <c r="O407" s="15"/>
      <c r="P407" s="15"/>
      <c r="T407" s="15"/>
      <c r="U407" s="15"/>
      <c r="V407" s="15"/>
      <c r="Z407" s="15"/>
      <c r="AA407" s="15"/>
      <c r="AB407" s="15"/>
      <c r="AF407" s="15"/>
      <c r="AG407" s="15"/>
      <c r="AH407" s="15"/>
    </row>
    <row r="408" spans="2:34" ht="14.25" customHeight="1">
      <c r="B408" s="15"/>
      <c r="C408" s="15"/>
      <c r="D408" s="15"/>
      <c r="H408" s="15"/>
      <c r="I408" s="15"/>
      <c r="J408" s="15"/>
      <c r="N408" s="15"/>
      <c r="O408" s="15"/>
      <c r="P408" s="15"/>
      <c r="T408" s="15"/>
      <c r="U408" s="15"/>
      <c r="V408" s="15"/>
      <c r="Z408" s="15"/>
      <c r="AA408" s="15"/>
      <c r="AB408" s="15"/>
      <c r="AF408" s="15"/>
      <c r="AG408" s="15"/>
      <c r="AH408" s="15"/>
    </row>
    <row r="409" spans="2:34" ht="14.25" customHeight="1">
      <c r="B409" s="15"/>
      <c r="C409" s="15"/>
      <c r="D409" s="15"/>
      <c r="H409" s="15"/>
      <c r="I409" s="15"/>
      <c r="J409" s="15"/>
      <c r="N409" s="15"/>
      <c r="O409" s="15"/>
      <c r="P409" s="15"/>
      <c r="T409" s="15"/>
      <c r="U409" s="15"/>
      <c r="V409" s="15"/>
      <c r="Z409" s="15"/>
      <c r="AA409" s="15"/>
      <c r="AB409" s="15"/>
      <c r="AF409" s="15"/>
      <c r="AG409" s="15"/>
      <c r="AH409" s="15"/>
    </row>
    <row r="410" spans="2:34" ht="14.25" customHeight="1">
      <c r="B410" s="15"/>
      <c r="C410" s="15"/>
      <c r="D410" s="15"/>
      <c r="H410" s="15"/>
      <c r="I410" s="15"/>
      <c r="J410" s="15"/>
      <c r="N410" s="15"/>
      <c r="O410" s="15"/>
      <c r="P410" s="15"/>
      <c r="T410" s="15"/>
      <c r="U410" s="15"/>
      <c r="V410" s="15"/>
      <c r="Z410" s="15"/>
      <c r="AA410" s="15"/>
      <c r="AB410" s="15"/>
      <c r="AF410" s="15"/>
      <c r="AG410" s="15"/>
      <c r="AH410" s="15"/>
    </row>
    <row r="411" spans="2:34" ht="14.25" customHeight="1">
      <c r="B411" s="15"/>
      <c r="C411" s="15"/>
      <c r="D411" s="15"/>
      <c r="H411" s="15"/>
      <c r="I411" s="15"/>
      <c r="J411" s="15"/>
      <c r="N411" s="15"/>
      <c r="O411" s="15"/>
      <c r="P411" s="15"/>
      <c r="T411" s="15"/>
      <c r="U411" s="15"/>
      <c r="V411" s="15"/>
      <c r="Z411" s="15"/>
      <c r="AA411" s="15"/>
      <c r="AB411" s="15"/>
      <c r="AF411" s="15"/>
      <c r="AG411" s="15"/>
      <c r="AH411" s="15"/>
    </row>
    <row r="412" spans="2:34" ht="14.25" customHeight="1">
      <c r="B412" s="15"/>
      <c r="C412" s="15"/>
      <c r="D412" s="15"/>
      <c r="H412" s="15"/>
      <c r="I412" s="15"/>
      <c r="J412" s="15"/>
      <c r="N412" s="15"/>
      <c r="O412" s="15"/>
      <c r="P412" s="15"/>
      <c r="T412" s="15"/>
      <c r="U412" s="15"/>
      <c r="V412" s="15"/>
      <c r="Z412" s="15"/>
      <c r="AA412" s="15"/>
      <c r="AB412" s="15"/>
      <c r="AF412" s="15"/>
      <c r="AG412" s="15"/>
      <c r="AH412" s="15"/>
    </row>
    <row r="413" spans="2:34" ht="14.25" customHeight="1">
      <c r="B413" s="15"/>
      <c r="C413" s="15"/>
      <c r="D413" s="15"/>
      <c r="H413" s="15"/>
      <c r="I413" s="15"/>
      <c r="J413" s="15"/>
      <c r="N413" s="15"/>
      <c r="O413" s="15"/>
      <c r="P413" s="15"/>
      <c r="T413" s="15"/>
      <c r="U413" s="15"/>
      <c r="V413" s="15"/>
      <c r="Z413" s="15"/>
      <c r="AA413" s="15"/>
      <c r="AB413" s="15"/>
      <c r="AF413" s="15"/>
      <c r="AG413" s="15"/>
      <c r="AH413" s="15"/>
    </row>
    <row r="414" spans="2:34" ht="14.25" customHeight="1">
      <c r="B414" s="15"/>
      <c r="C414" s="15"/>
      <c r="D414" s="15"/>
      <c r="H414" s="15"/>
      <c r="I414" s="15"/>
      <c r="J414" s="15"/>
      <c r="N414" s="15"/>
      <c r="O414" s="15"/>
      <c r="P414" s="15"/>
      <c r="T414" s="15"/>
      <c r="U414" s="15"/>
      <c r="V414" s="15"/>
      <c r="Z414" s="15"/>
      <c r="AA414" s="15"/>
      <c r="AB414" s="15"/>
      <c r="AF414" s="15"/>
      <c r="AG414" s="15"/>
      <c r="AH414" s="15"/>
    </row>
    <row r="415" spans="2:34" ht="14.25" customHeight="1">
      <c r="B415" s="15"/>
      <c r="C415" s="15"/>
      <c r="D415" s="15"/>
      <c r="H415" s="15"/>
      <c r="I415" s="15"/>
      <c r="J415" s="15"/>
      <c r="N415" s="15"/>
      <c r="O415" s="15"/>
      <c r="P415" s="15"/>
      <c r="T415" s="15"/>
      <c r="U415" s="15"/>
      <c r="V415" s="15"/>
      <c r="Z415" s="15"/>
      <c r="AA415" s="15"/>
      <c r="AB415" s="15"/>
      <c r="AF415" s="15"/>
      <c r="AG415" s="15"/>
      <c r="AH415" s="15"/>
    </row>
    <row r="416" spans="2:34" ht="14.25" customHeight="1">
      <c r="B416" s="15"/>
      <c r="C416" s="15"/>
      <c r="D416" s="15"/>
      <c r="H416" s="15"/>
      <c r="I416" s="15"/>
      <c r="J416" s="15"/>
      <c r="N416" s="15"/>
      <c r="O416" s="15"/>
      <c r="P416" s="15"/>
      <c r="T416" s="15"/>
      <c r="U416" s="15"/>
      <c r="V416" s="15"/>
      <c r="Z416" s="15"/>
      <c r="AA416" s="15"/>
      <c r="AB416" s="15"/>
      <c r="AF416" s="15"/>
      <c r="AG416" s="15"/>
      <c r="AH416" s="15"/>
    </row>
    <row r="417" spans="2:34" ht="14.25" customHeight="1">
      <c r="B417" s="15"/>
      <c r="C417" s="15"/>
      <c r="D417" s="15"/>
      <c r="H417" s="15"/>
      <c r="I417" s="15"/>
      <c r="J417" s="15"/>
      <c r="N417" s="15"/>
      <c r="O417" s="15"/>
      <c r="P417" s="15"/>
      <c r="T417" s="15"/>
      <c r="U417" s="15"/>
      <c r="V417" s="15"/>
      <c r="Z417" s="15"/>
      <c r="AA417" s="15"/>
      <c r="AB417" s="15"/>
      <c r="AF417" s="15"/>
      <c r="AG417" s="15"/>
      <c r="AH417" s="15"/>
    </row>
    <row r="418" spans="2:34" ht="14.25" customHeight="1">
      <c r="B418" s="15"/>
      <c r="C418" s="15"/>
      <c r="D418" s="15"/>
      <c r="H418" s="15"/>
      <c r="I418" s="15"/>
      <c r="J418" s="15"/>
      <c r="N418" s="15"/>
      <c r="O418" s="15"/>
      <c r="P418" s="15"/>
      <c r="T418" s="15"/>
      <c r="U418" s="15"/>
      <c r="V418" s="15"/>
      <c r="Z418" s="15"/>
      <c r="AA418" s="15"/>
      <c r="AB418" s="15"/>
      <c r="AF418" s="15"/>
      <c r="AG418" s="15"/>
      <c r="AH418" s="15"/>
    </row>
    <row r="419" spans="2:34" ht="14.25" customHeight="1">
      <c r="B419" s="15"/>
      <c r="C419" s="15"/>
      <c r="D419" s="15"/>
      <c r="H419" s="15"/>
      <c r="I419" s="15"/>
      <c r="J419" s="15"/>
      <c r="N419" s="15"/>
      <c r="O419" s="15"/>
      <c r="P419" s="15"/>
      <c r="T419" s="15"/>
      <c r="U419" s="15"/>
      <c r="V419" s="15"/>
      <c r="Z419" s="15"/>
      <c r="AA419" s="15"/>
      <c r="AB419" s="15"/>
      <c r="AF419" s="15"/>
      <c r="AG419" s="15"/>
      <c r="AH419" s="15"/>
    </row>
    <row r="420" spans="2:34" ht="14.25" customHeight="1">
      <c r="B420" s="15"/>
      <c r="C420" s="15"/>
      <c r="D420" s="15"/>
      <c r="H420" s="15"/>
      <c r="I420" s="15"/>
      <c r="J420" s="15"/>
      <c r="N420" s="15"/>
      <c r="O420" s="15"/>
      <c r="P420" s="15"/>
      <c r="T420" s="15"/>
      <c r="U420" s="15"/>
      <c r="V420" s="15"/>
      <c r="Z420" s="15"/>
      <c r="AA420" s="15"/>
      <c r="AB420" s="15"/>
      <c r="AF420" s="15"/>
      <c r="AG420" s="15"/>
      <c r="AH420" s="15"/>
    </row>
    <row r="421" spans="2:34" ht="14.25" customHeight="1">
      <c r="B421" s="15"/>
      <c r="C421" s="15"/>
      <c r="D421" s="15"/>
      <c r="H421" s="15"/>
      <c r="I421" s="15"/>
      <c r="J421" s="15"/>
      <c r="N421" s="15"/>
      <c r="O421" s="15"/>
      <c r="P421" s="15"/>
      <c r="T421" s="15"/>
      <c r="U421" s="15"/>
      <c r="V421" s="15"/>
      <c r="Z421" s="15"/>
      <c r="AA421" s="15"/>
      <c r="AB421" s="15"/>
      <c r="AF421" s="15"/>
      <c r="AG421" s="15"/>
      <c r="AH421" s="15"/>
    </row>
    <row r="422" spans="2:34" ht="14.25" customHeight="1">
      <c r="B422" s="15"/>
      <c r="C422" s="15"/>
      <c r="D422" s="15"/>
      <c r="H422" s="15"/>
      <c r="I422" s="15"/>
      <c r="J422" s="15"/>
      <c r="N422" s="15"/>
      <c r="O422" s="15"/>
      <c r="P422" s="15"/>
      <c r="T422" s="15"/>
      <c r="U422" s="15"/>
      <c r="V422" s="15"/>
      <c r="Z422" s="15"/>
      <c r="AA422" s="15"/>
      <c r="AB422" s="15"/>
      <c r="AF422" s="15"/>
      <c r="AG422" s="15"/>
      <c r="AH422" s="15"/>
    </row>
    <row r="423" spans="2:34" ht="14.25" customHeight="1">
      <c r="B423" s="15"/>
      <c r="C423" s="15"/>
      <c r="D423" s="15"/>
      <c r="H423" s="15"/>
      <c r="I423" s="15"/>
      <c r="J423" s="15"/>
      <c r="N423" s="15"/>
      <c r="O423" s="15"/>
      <c r="P423" s="15"/>
      <c r="T423" s="15"/>
      <c r="U423" s="15"/>
      <c r="V423" s="15"/>
      <c r="Z423" s="15"/>
      <c r="AA423" s="15"/>
      <c r="AB423" s="15"/>
      <c r="AF423" s="15"/>
      <c r="AG423" s="15"/>
      <c r="AH423" s="15"/>
    </row>
    <row r="424" spans="2:34" ht="14.25" customHeight="1">
      <c r="B424" s="15"/>
      <c r="C424" s="15"/>
      <c r="D424" s="15"/>
      <c r="H424" s="15"/>
      <c r="I424" s="15"/>
      <c r="J424" s="15"/>
      <c r="N424" s="15"/>
      <c r="O424" s="15"/>
      <c r="P424" s="15"/>
      <c r="T424" s="15"/>
      <c r="U424" s="15"/>
      <c r="V424" s="15"/>
      <c r="Z424" s="15"/>
      <c r="AA424" s="15"/>
      <c r="AB424" s="15"/>
      <c r="AF424" s="15"/>
      <c r="AG424" s="15"/>
      <c r="AH424" s="15"/>
    </row>
    <row r="425" spans="2:34" ht="14.25" customHeight="1">
      <c r="B425" s="15"/>
      <c r="C425" s="15"/>
      <c r="D425" s="15"/>
      <c r="H425" s="15"/>
      <c r="I425" s="15"/>
      <c r="J425" s="15"/>
      <c r="N425" s="15"/>
      <c r="O425" s="15"/>
      <c r="P425" s="15"/>
      <c r="T425" s="15"/>
      <c r="U425" s="15"/>
      <c r="V425" s="15"/>
      <c r="Z425" s="15"/>
      <c r="AA425" s="15"/>
      <c r="AB425" s="15"/>
      <c r="AF425" s="15"/>
      <c r="AG425" s="15"/>
      <c r="AH425" s="15"/>
    </row>
    <row r="426" spans="2:34" ht="14.25" customHeight="1">
      <c r="B426" s="15"/>
      <c r="C426" s="15"/>
      <c r="D426" s="15"/>
      <c r="H426" s="15"/>
      <c r="I426" s="15"/>
      <c r="J426" s="15"/>
      <c r="N426" s="15"/>
      <c r="O426" s="15"/>
      <c r="P426" s="15"/>
      <c r="T426" s="15"/>
      <c r="U426" s="15"/>
      <c r="V426" s="15"/>
      <c r="Z426" s="15"/>
      <c r="AA426" s="15"/>
      <c r="AB426" s="15"/>
      <c r="AF426" s="15"/>
      <c r="AG426" s="15"/>
      <c r="AH426" s="15"/>
    </row>
    <row r="427" spans="2:34" ht="14.25" customHeight="1">
      <c r="B427" s="15"/>
      <c r="C427" s="15"/>
      <c r="D427" s="15"/>
      <c r="H427" s="15"/>
      <c r="I427" s="15"/>
      <c r="J427" s="15"/>
      <c r="N427" s="15"/>
      <c r="O427" s="15"/>
      <c r="P427" s="15"/>
      <c r="T427" s="15"/>
      <c r="U427" s="15"/>
      <c r="V427" s="15"/>
      <c r="Z427" s="15"/>
      <c r="AA427" s="15"/>
      <c r="AB427" s="15"/>
      <c r="AF427" s="15"/>
      <c r="AG427" s="15"/>
      <c r="AH427" s="15"/>
    </row>
    <row r="428" spans="2:34" ht="14.25" customHeight="1">
      <c r="B428" s="15"/>
      <c r="C428" s="15"/>
      <c r="D428" s="15"/>
      <c r="H428" s="15"/>
      <c r="I428" s="15"/>
      <c r="J428" s="15"/>
      <c r="N428" s="15"/>
      <c r="O428" s="15"/>
      <c r="P428" s="15"/>
      <c r="T428" s="15"/>
      <c r="U428" s="15"/>
      <c r="V428" s="15"/>
      <c r="Z428" s="15"/>
      <c r="AA428" s="15"/>
      <c r="AB428" s="15"/>
      <c r="AF428" s="15"/>
      <c r="AG428" s="15"/>
      <c r="AH428" s="15"/>
    </row>
    <row r="429" spans="2:34" ht="14.25" customHeight="1">
      <c r="B429" s="15"/>
      <c r="C429" s="15"/>
      <c r="D429" s="15"/>
      <c r="H429" s="15"/>
      <c r="I429" s="15"/>
      <c r="J429" s="15"/>
      <c r="N429" s="15"/>
      <c r="O429" s="15"/>
      <c r="P429" s="15"/>
      <c r="T429" s="15"/>
      <c r="U429" s="15"/>
      <c r="V429" s="15"/>
      <c r="Z429" s="15"/>
      <c r="AA429" s="15"/>
      <c r="AB429" s="15"/>
      <c r="AF429" s="15"/>
      <c r="AG429" s="15"/>
      <c r="AH429" s="15"/>
    </row>
    <row r="430" spans="2:34" ht="14.25" customHeight="1">
      <c r="B430" s="15"/>
      <c r="C430" s="15"/>
      <c r="D430" s="15"/>
      <c r="H430" s="15"/>
      <c r="I430" s="15"/>
      <c r="J430" s="15"/>
      <c r="N430" s="15"/>
      <c r="O430" s="15"/>
      <c r="P430" s="15"/>
      <c r="T430" s="15"/>
      <c r="U430" s="15"/>
      <c r="V430" s="15"/>
      <c r="Z430" s="15"/>
      <c r="AA430" s="15"/>
      <c r="AB430" s="15"/>
      <c r="AF430" s="15"/>
      <c r="AG430" s="15"/>
      <c r="AH430" s="15"/>
    </row>
    <row r="431" spans="2:34" ht="14.25" customHeight="1">
      <c r="B431" s="15"/>
      <c r="C431" s="15"/>
      <c r="D431" s="15"/>
      <c r="H431" s="15"/>
      <c r="I431" s="15"/>
      <c r="J431" s="15"/>
      <c r="N431" s="15"/>
      <c r="O431" s="15"/>
      <c r="P431" s="15"/>
      <c r="T431" s="15"/>
      <c r="U431" s="15"/>
      <c r="V431" s="15"/>
      <c r="Z431" s="15"/>
      <c r="AA431" s="15"/>
      <c r="AB431" s="15"/>
      <c r="AF431" s="15"/>
      <c r="AG431" s="15"/>
      <c r="AH431" s="15"/>
    </row>
    <row r="432" spans="2:34" ht="14.25" customHeight="1">
      <c r="B432" s="15"/>
      <c r="C432" s="15"/>
      <c r="D432" s="15"/>
      <c r="H432" s="15"/>
      <c r="I432" s="15"/>
      <c r="J432" s="15"/>
      <c r="N432" s="15"/>
      <c r="O432" s="15"/>
      <c r="P432" s="15"/>
      <c r="T432" s="15"/>
      <c r="U432" s="15"/>
      <c r="V432" s="15"/>
      <c r="Z432" s="15"/>
      <c r="AA432" s="15"/>
      <c r="AB432" s="15"/>
      <c r="AF432" s="15"/>
      <c r="AG432" s="15"/>
      <c r="AH432" s="15"/>
    </row>
    <row r="433" spans="2:34" ht="14.25" customHeight="1">
      <c r="B433" s="15"/>
      <c r="C433" s="15"/>
      <c r="D433" s="15"/>
      <c r="H433" s="15"/>
      <c r="I433" s="15"/>
      <c r="J433" s="15"/>
      <c r="N433" s="15"/>
      <c r="O433" s="15"/>
      <c r="P433" s="15"/>
      <c r="T433" s="15"/>
      <c r="U433" s="15"/>
      <c r="V433" s="15"/>
      <c r="Z433" s="15"/>
      <c r="AA433" s="15"/>
      <c r="AB433" s="15"/>
      <c r="AF433" s="15"/>
      <c r="AG433" s="15"/>
      <c r="AH433" s="15"/>
    </row>
    <row r="434" spans="2:34" ht="14.25" customHeight="1">
      <c r="B434" s="15"/>
      <c r="C434" s="15"/>
      <c r="D434" s="15"/>
      <c r="H434" s="15"/>
      <c r="I434" s="15"/>
      <c r="J434" s="15"/>
      <c r="N434" s="15"/>
      <c r="O434" s="15"/>
      <c r="P434" s="15"/>
      <c r="T434" s="15"/>
      <c r="U434" s="15"/>
      <c r="V434" s="15"/>
      <c r="Z434" s="15"/>
      <c r="AA434" s="15"/>
      <c r="AB434" s="15"/>
      <c r="AF434" s="15"/>
      <c r="AG434" s="15"/>
      <c r="AH434" s="15"/>
    </row>
    <row r="435" spans="2:34" ht="14.25" customHeight="1">
      <c r="B435" s="15"/>
      <c r="C435" s="15"/>
      <c r="D435" s="15"/>
      <c r="H435" s="15"/>
      <c r="I435" s="15"/>
      <c r="J435" s="15"/>
      <c r="N435" s="15"/>
      <c r="O435" s="15"/>
      <c r="P435" s="15"/>
      <c r="T435" s="15"/>
      <c r="U435" s="15"/>
      <c r="V435" s="15"/>
      <c r="Z435" s="15"/>
      <c r="AA435" s="15"/>
      <c r="AB435" s="15"/>
      <c r="AF435" s="15"/>
      <c r="AG435" s="15"/>
      <c r="AH435" s="15"/>
    </row>
    <row r="436" spans="2:34" ht="14.25" customHeight="1">
      <c r="B436" s="15"/>
      <c r="C436" s="15"/>
      <c r="D436" s="15"/>
      <c r="H436" s="15"/>
      <c r="I436" s="15"/>
      <c r="J436" s="15"/>
      <c r="N436" s="15"/>
      <c r="O436" s="15"/>
      <c r="P436" s="15"/>
      <c r="T436" s="15"/>
      <c r="U436" s="15"/>
      <c r="V436" s="15"/>
      <c r="Z436" s="15"/>
      <c r="AA436" s="15"/>
      <c r="AB436" s="15"/>
      <c r="AF436" s="15"/>
      <c r="AG436" s="15"/>
      <c r="AH436" s="15"/>
    </row>
    <row r="437" spans="2:34" ht="14.25" customHeight="1">
      <c r="B437" s="15"/>
      <c r="C437" s="15"/>
      <c r="D437" s="15"/>
      <c r="H437" s="15"/>
      <c r="I437" s="15"/>
      <c r="J437" s="15"/>
      <c r="N437" s="15"/>
      <c r="O437" s="15"/>
      <c r="P437" s="15"/>
      <c r="T437" s="15"/>
      <c r="U437" s="15"/>
      <c r="V437" s="15"/>
      <c r="Z437" s="15"/>
      <c r="AA437" s="15"/>
      <c r="AB437" s="15"/>
      <c r="AF437" s="15"/>
      <c r="AG437" s="15"/>
      <c r="AH437" s="15"/>
    </row>
    <row r="438" spans="2:34" ht="14.25" customHeight="1">
      <c r="B438" s="15"/>
      <c r="C438" s="15"/>
      <c r="D438" s="15"/>
      <c r="H438" s="15"/>
      <c r="I438" s="15"/>
      <c r="J438" s="15"/>
      <c r="N438" s="15"/>
      <c r="O438" s="15"/>
      <c r="P438" s="15"/>
      <c r="T438" s="15"/>
      <c r="U438" s="15"/>
      <c r="V438" s="15"/>
      <c r="Z438" s="15"/>
      <c r="AA438" s="15"/>
      <c r="AB438" s="15"/>
      <c r="AF438" s="15"/>
      <c r="AG438" s="15"/>
      <c r="AH438" s="15"/>
    </row>
    <row r="439" spans="2:34" ht="14.25" customHeight="1">
      <c r="B439" s="15"/>
      <c r="C439" s="15"/>
      <c r="D439" s="15"/>
      <c r="H439" s="15"/>
      <c r="I439" s="15"/>
      <c r="J439" s="15"/>
      <c r="N439" s="15"/>
      <c r="O439" s="15"/>
      <c r="P439" s="15"/>
      <c r="T439" s="15"/>
      <c r="U439" s="15"/>
      <c r="V439" s="15"/>
      <c r="Z439" s="15"/>
      <c r="AA439" s="15"/>
      <c r="AB439" s="15"/>
      <c r="AF439" s="15"/>
      <c r="AG439" s="15"/>
      <c r="AH439" s="15"/>
    </row>
    <row r="440" spans="2:34" ht="14.25" customHeight="1">
      <c r="B440" s="15"/>
      <c r="C440" s="15"/>
      <c r="D440" s="15"/>
      <c r="H440" s="15"/>
      <c r="I440" s="15"/>
      <c r="J440" s="15"/>
      <c r="N440" s="15"/>
      <c r="O440" s="15"/>
      <c r="P440" s="15"/>
      <c r="T440" s="15"/>
      <c r="U440" s="15"/>
      <c r="V440" s="15"/>
      <c r="Z440" s="15"/>
      <c r="AA440" s="15"/>
      <c r="AB440" s="15"/>
      <c r="AF440" s="15"/>
      <c r="AG440" s="15"/>
      <c r="AH440" s="15"/>
    </row>
    <row r="441" spans="2:34" ht="14.25" customHeight="1">
      <c r="B441" s="15"/>
      <c r="C441" s="15"/>
      <c r="D441" s="15"/>
      <c r="H441" s="15"/>
      <c r="I441" s="15"/>
      <c r="J441" s="15"/>
      <c r="N441" s="15"/>
      <c r="O441" s="15"/>
      <c r="P441" s="15"/>
      <c r="T441" s="15"/>
      <c r="U441" s="15"/>
      <c r="V441" s="15"/>
      <c r="Z441" s="15"/>
      <c r="AA441" s="15"/>
      <c r="AB441" s="15"/>
      <c r="AF441" s="15"/>
      <c r="AG441" s="15"/>
      <c r="AH441" s="15"/>
    </row>
    <row r="442" spans="2:34" ht="14.25" customHeight="1">
      <c r="B442" s="15"/>
      <c r="C442" s="15"/>
      <c r="D442" s="15"/>
      <c r="H442" s="15"/>
      <c r="I442" s="15"/>
      <c r="J442" s="15"/>
      <c r="N442" s="15"/>
      <c r="O442" s="15"/>
      <c r="P442" s="15"/>
      <c r="T442" s="15"/>
      <c r="U442" s="15"/>
      <c r="V442" s="15"/>
      <c r="Z442" s="15"/>
      <c r="AA442" s="15"/>
      <c r="AB442" s="15"/>
      <c r="AF442" s="15"/>
      <c r="AG442" s="15"/>
      <c r="AH442" s="15"/>
    </row>
    <row r="443" spans="2:34" ht="14.25" customHeight="1">
      <c r="B443" s="15"/>
      <c r="C443" s="15"/>
      <c r="D443" s="15"/>
      <c r="H443" s="15"/>
      <c r="I443" s="15"/>
      <c r="J443" s="15"/>
      <c r="N443" s="15"/>
      <c r="O443" s="15"/>
      <c r="P443" s="15"/>
      <c r="T443" s="15"/>
      <c r="U443" s="15"/>
      <c r="V443" s="15"/>
      <c r="Z443" s="15"/>
      <c r="AA443" s="15"/>
      <c r="AB443" s="15"/>
      <c r="AF443" s="15"/>
      <c r="AG443" s="15"/>
      <c r="AH443" s="15"/>
    </row>
    <row r="444" spans="2:34" ht="14.25" customHeight="1">
      <c r="B444" s="15"/>
      <c r="C444" s="15"/>
      <c r="D444" s="15"/>
      <c r="H444" s="15"/>
      <c r="I444" s="15"/>
      <c r="J444" s="15"/>
      <c r="N444" s="15"/>
      <c r="O444" s="15"/>
      <c r="P444" s="15"/>
      <c r="T444" s="15"/>
      <c r="U444" s="15"/>
      <c r="V444" s="15"/>
      <c r="Z444" s="15"/>
      <c r="AA444" s="15"/>
      <c r="AB444" s="15"/>
      <c r="AF444" s="15"/>
      <c r="AG444" s="15"/>
      <c r="AH444" s="15"/>
    </row>
    <row r="445" spans="2:34" ht="14.25" customHeight="1">
      <c r="B445" s="15"/>
      <c r="C445" s="15"/>
      <c r="D445" s="15"/>
      <c r="H445" s="15"/>
      <c r="I445" s="15"/>
      <c r="J445" s="15"/>
      <c r="N445" s="15"/>
      <c r="O445" s="15"/>
      <c r="P445" s="15"/>
      <c r="T445" s="15"/>
      <c r="U445" s="15"/>
      <c r="V445" s="15"/>
      <c r="Z445" s="15"/>
      <c r="AA445" s="15"/>
      <c r="AB445" s="15"/>
      <c r="AF445" s="15"/>
      <c r="AG445" s="15"/>
      <c r="AH445" s="15"/>
    </row>
    <row r="446" spans="2:34" ht="14.25" customHeight="1">
      <c r="B446" s="15"/>
      <c r="C446" s="15"/>
      <c r="D446" s="15"/>
      <c r="H446" s="15"/>
      <c r="I446" s="15"/>
      <c r="J446" s="15"/>
      <c r="N446" s="15"/>
      <c r="O446" s="15"/>
      <c r="P446" s="15"/>
      <c r="T446" s="15"/>
      <c r="U446" s="15"/>
      <c r="V446" s="15"/>
      <c r="Z446" s="15"/>
      <c r="AA446" s="15"/>
      <c r="AB446" s="15"/>
      <c r="AF446" s="15"/>
      <c r="AG446" s="15"/>
      <c r="AH446" s="15"/>
    </row>
    <row r="447" spans="2:34" ht="14.25" customHeight="1">
      <c r="B447" s="15"/>
      <c r="C447" s="15"/>
      <c r="D447" s="15"/>
      <c r="H447" s="15"/>
      <c r="I447" s="15"/>
      <c r="J447" s="15"/>
      <c r="N447" s="15"/>
      <c r="O447" s="15"/>
      <c r="P447" s="15"/>
      <c r="T447" s="15"/>
      <c r="U447" s="15"/>
      <c r="V447" s="15"/>
      <c r="Z447" s="15"/>
      <c r="AA447" s="15"/>
      <c r="AB447" s="15"/>
      <c r="AF447" s="15"/>
      <c r="AG447" s="15"/>
      <c r="AH447" s="15"/>
    </row>
    <row r="448" spans="2:34" ht="14.25" customHeight="1">
      <c r="B448" s="15"/>
      <c r="C448" s="15"/>
      <c r="D448" s="15"/>
      <c r="H448" s="15"/>
      <c r="I448" s="15"/>
      <c r="J448" s="15"/>
      <c r="N448" s="15"/>
      <c r="O448" s="15"/>
      <c r="P448" s="15"/>
      <c r="T448" s="15"/>
      <c r="U448" s="15"/>
      <c r="V448" s="15"/>
      <c r="Z448" s="15"/>
      <c r="AA448" s="15"/>
      <c r="AB448" s="15"/>
      <c r="AF448" s="15"/>
      <c r="AG448" s="15"/>
      <c r="AH448" s="15"/>
    </row>
    <row r="449" spans="2:34" ht="14.25" customHeight="1">
      <c r="B449" s="15"/>
      <c r="C449" s="15"/>
      <c r="D449" s="15"/>
      <c r="H449" s="15"/>
      <c r="I449" s="15"/>
      <c r="J449" s="15"/>
      <c r="N449" s="15"/>
      <c r="O449" s="15"/>
      <c r="P449" s="15"/>
      <c r="T449" s="15"/>
      <c r="U449" s="15"/>
      <c r="V449" s="15"/>
      <c r="Z449" s="15"/>
      <c r="AA449" s="15"/>
      <c r="AB449" s="15"/>
      <c r="AF449" s="15"/>
      <c r="AG449" s="15"/>
      <c r="AH449" s="15"/>
    </row>
    <row r="450" spans="2:34" ht="14.25" customHeight="1">
      <c r="B450" s="15"/>
      <c r="C450" s="15"/>
      <c r="D450" s="15"/>
      <c r="H450" s="15"/>
      <c r="I450" s="15"/>
      <c r="J450" s="15"/>
      <c r="N450" s="15"/>
      <c r="O450" s="15"/>
      <c r="P450" s="15"/>
      <c r="T450" s="15"/>
      <c r="U450" s="15"/>
      <c r="V450" s="15"/>
      <c r="Z450" s="15"/>
      <c r="AA450" s="15"/>
      <c r="AB450" s="15"/>
      <c r="AF450" s="15"/>
      <c r="AG450" s="15"/>
      <c r="AH450" s="15"/>
    </row>
    <row r="451" spans="2:34" ht="14.25" customHeight="1">
      <c r="B451" s="15"/>
      <c r="C451" s="15"/>
      <c r="D451" s="15"/>
      <c r="H451" s="15"/>
      <c r="I451" s="15"/>
      <c r="J451" s="15"/>
      <c r="N451" s="15"/>
      <c r="O451" s="15"/>
      <c r="P451" s="15"/>
      <c r="T451" s="15"/>
      <c r="U451" s="15"/>
      <c r="V451" s="15"/>
      <c r="Z451" s="15"/>
      <c r="AA451" s="15"/>
      <c r="AB451" s="15"/>
      <c r="AF451" s="15"/>
      <c r="AG451" s="15"/>
      <c r="AH451" s="15"/>
    </row>
    <row r="452" spans="2:34" ht="14.25" customHeight="1">
      <c r="B452" s="15"/>
      <c r="C452" s="15"/>
      <c r="D452" s="15"/>
      <c r="H452" s="15"/>
      <c r="I452" s="15"/>
      <c r="J452" s="15"/>
      <c r="N452" s="15"/>
      <c r="O452" s="15"/>
      <c r="P452" s="15"/>
      <c r="T452" s="15"/>
      <c r="U452" s="15"/>
      <c r="V452" s="15"/>
      <c r="Z452" s="15"/>
      <c r="AA452" s="15"/>
      <c r="AB452" s="15"/>
      <c r="AF452" s="15"/>
      <c r="AG452" s="15"/>
      <c r="AH452" s="15"/>
    </row>
    <row r="453" spans="2:34" ht="14.25" customHeight="1">
      <c r="B453" s="15"/>
      <c r="C453" s="15"/>
      <c r="D453" s="15"/>
      <c r="H453" s="15"/>
      <c r="I453" s="15"/>
      <c r="J453" s="15"/>
      <c r="N453" s="15"/>
      <c r="O453" s="15"/>
      <c r="P453" s="15"/>
      <c r="T453" s="15"/>
      <c r="U453" s="15"/>
      <c r="V453" s="15"/>
      <c r="Z453" s="15"/>
      <c r="AA453" s="15"/>
      <c r="AB453" s="15"/>
      <c r="AF453" s="15"/>
      <c r="AG453" s="15"/>
      <c r="AH453" s="15"/>
    </row>
    <row r="454" spans="2:34" ht="14.25" customHeight="1">
      <c r="B454" s="15"/>
      <c r="C454" s="15"/>
      <c r="D454" s="15"/>
      <c r="H454" s="15"/>
      <c r="I454" s="15"/>
      <c r="J454" s="15"/>
      <c r="N454" s="15"/>
      <c r="O454" s="15"/>
      <c r="P454" s="15"/>
      <c r="T454" s="15"/>
      <c r="U454" s="15"/>
      <c r="V454" s="15"/>
      <c r="Z454" s="15"/>
      <c r="AA454" s="15"/>
      <c r="AB454" s="15"/>
      <c r="AF454" s="15"/>
      <c r="AG454" s="15"/>
      <c r="AH454" s="15"/>
    </row>
    <row r="455" spans="2:34" ht="14.25" customHeight="1">
      <c r="B455" s="15"/>
      <c r="C455" s="15"/>
      <c r="D455" s="15"/>
      <c r="H455" s="15"/>
      <c r="I455" s="15"/>
      <c r="J455" s="15"/>
      <c r="N455" s="15"/>
      <c r="O455" s="15"/>
      <c r="P455" s="15"/>
      <c r="T455" s="15"/>
      <c r="U455" s="15"/>
      <c r="V455" s="15"/>
      <c r="Z455" s="15"/>
      <c r="AA455" s="15"/>
      <c r="AB455" s="15"/>
      <c r="AF455" s="15"/>
      <c r="AG455" s="15"/>
      <c r="AH455" s="15"/>
    </row>
    <row r="456" spans="2:34" ht="14.25" customHeight="1">
      <c r="B456" s="15"/>
      <c r="C456" s="15"/>
      <c r="D456" s="15"/>
      <c r="H456" s="15"/>
      <c r="I456" s="15"/>
      <c r="J456" s="15"/>
      <c r="N456" s="15"/>
      <c r="O456" s="15"/>
      <c r="P456" s="15"/>
      <c r="T456" s="15"/>
      <c r="U456" s="15"/>
      <c r="V456" s="15"/>
      <c r="Z456" s="15"/>
      <c r="AA456" s="15"/>
      <c r="AB456" s="15"/>
      <c r="AF456" s="15"/>
      <c r="AG456" s="15"/>
      <c r="AH456" s="15"/>
    </row>
    <row r="457" spans="2:34" ht="14.25" customHeight="1">
      <c r="B457" s="15"/>
      <c r="C457" s="15"/>
      <c r="D457" s="15"/>
      <c r="H457" s="15"/>
      <c r="I457" s="15"/>
      <c r="J457" s="15"/>
      <c r="N457" s="15"/>
      <c r="O457" s="15"/>
      <c r="P457" s="15"/>
      <c r="T457" s="15"/>
      <c r="U457" s="15"/>
      <c r="V457" s="15"/>
      <c r="Z457" s="15"/>
      <c r="AA457" s="15"/>
      <c r="AB457" s="15"/>
      <c r="AF457" s="15"/>
      <c r="AG457" s="15"/>
      <c r="AH457" s="15"/>
    </row>
    <row r="458" spans="2:34" ht="14.25" customHeight="1">
      <c r="B458" s="15"/>
      <c r="C458" s="15"/>
      <c r="D458" s="15"/>
      <c r="H458" s="15"/>
      <c r="I458" s="15"/>
      <c r="J458" s="15"/>
      <c r="N458" s="15"/>
      <c r="O458" s="15"/>
      <c r="P458" s="15"/>
      <c r="T458" s="15"/>
      <c r="U458" s="15"/>
      <c r="V458" s="15"/>
      <c r="Z458" s="15"/>
      <c r="AA458" s="15"/>
      <c r="AB458" s="15"/>
      <c r="AF458" s="15"/>
      <c r="AG458" s="15"/>
      <c r="AH458" s="15"/>
    </row>
    <row r="459" spans="2:34" ht="14.25" customHeight="1">
      <c r="B459" s="15"/>
      <c r="C459" s="15"/>
      <c r="D459" s="15"/>
      <c r="H459" s="15"/>
      <c r="I459" s="15"/>
      <c r="J459" s="15"/>
      <c r="N459" s="15"/>
      <c r="O459" s="15"/>
      <c r="P459" s="15"/>
      <c r="T459" s="15"/>
      <c r="U459" s="15"/>
      <c r="V459" s="15"/>
      <c r="Z459" s="15"/>
      <c r="AA459" s="15"/>
      <c r="AB459" s="15"/>
      <c r="AF459" s="15"/>
      <c r="AG459" s="15"/>
      <c r="AH459" s="15"/>
    </row>
    <row r="460" spans="2:34" ht="14.25" customHeight="1">
      <c r="B460" s="15"/>
      <c r="C460" s="15"/>
      <c r="D460" s="15"/>
      <c r="H460" s="15"/>
      <c r="I460" s="15"/>
      <c r="J460" s="15"/>
      <c r="N460" s="15"/>
      <c r="O460" s="15"/>
      <c r="P460" s="15"/>
      <c r="T460" s="15"/>
      <c r="U460" s="15"/>
      <c r="V460" s="15"/>
      <c r="Z460" s="15"/>
      <c r="AA460" s="15"/>
      <c r="AB460" s="15"/>
      <c r="AF460" s="15"/>
      <c r="AG460" s="15"/>
      <c r="AH460" s="15"/>
    </row>
    <row r="461" spans="2:34" ht="14.25" customHeight="1">
      <c r="B461" s="15"/>
      <c r="C461" s="15"/>
      <c r="D461" s="15"/>
      <c r="H461" s="15"/>
      <c r="I461" s="15"/>
      <c r="J461" s="15"/>
      <c r="N461" s="15"/>
      <c r="O461" s="15"/>
      <c r="P461" s="15"/>
      <c r="T461" s="15"/>
      <c r="U461" s="15"/>
      <c r="V461" s="15"/>
      <c r="Z461" s="15"/>
      <c r="AA461" s="15"/>
      <c r="AB461" s="15"/>
      <c r="AF461" s="15"/>
      <c r="AG461" s="15"/>
      <c r="AH461" s="15"/>
    </row>
    <row r="462" spans="2:34" ht="14.25" customHeight="1">
      <c r="B462" s="15"/>
      <c r="C462" s="15"/>
      <c r="D462" s="15"/>
      <c r="H462" s="15"/>
      <c r="I462" s="15"/>
      <c r="J462" s="15"/>
      <c r="N462" s="15"/>
      <c r="O462" s="15"/>
      <c r="P462" s="15"/>
      <c r="T462" s="15"/>
      <c r="U462" s="15"/>
      <c r="V462" s="15"/>
      <c r="Z462" s="15"/>
      <c r="AA462" s="15"/>
      <c r="AB462" s="15"/>
      <c r="AF462" s="15"/>
      <c r="AG462" s="15"/>
      <c r="AH462" s="15"/>
    </row>
    <row r="463" spans="2:34" ht="14.25" customHeight="1">
      <c r="B463" s="15"/>
      <c r="C463" s="15"/>
      <c r="D463" s="15"/>
      <c r="H463" s="15"/>
      <c r="I463" s="15"/>
      <c r="J463" s="15"/>
      <c r="N463" s="15"/>
      <c r="O463" s="15"/>
      <c r="P463" s="15"/>
      <c r="T463" s="15"/>
      <c r="U463" s="15"/>
      <c r="V463" s="15"/>
      <c r="Z463" s="15"/>
      <c r="AA463" s="15"/>
      <c r="AB463" s="15"/>
      <c r="AF463" s="15"/>
      <c r="AG463" s="15"/>
      <c r="AH463" s="15"/>
    </row>
    <row r="464" spans="2:34" ht="14.25" customHeight="1">
      <c r="B464" s="15"/>
      <c r="C464" s="15"/>
      <c r="D464" s="15"/>
      <c r="H464" s="15"/>
      <c r="I464" s="15"/>
      <c r="J464" s="15"/>
      <c r="N464" s="15"/>
      <c r="O464" s="15"/>
      <c r="P464" s="15"/>
      <c r="T464" s="15"/>
      <c r="U464" s="15"/>
      <c r="V464" s="15"/>
      <c r="Z464" s="15"/>
      <c r="AA464" s="15"/>
      <c r="AB464" s="15"/>
      <c r="AF464" s="15"/>
      <c r="AG464" s="15"/>
      <c r="AH464" s="15"/>
    </row>
    <row r="465" spans="2:34" ht="14.25" customHeight="1">
      <c r="B465" s="15"/>
      <c r="C465" s="15"/>
      <c r="D465" s="15"/>
      <c r="H465" s="15"/>
      <c r="I465" s="15"/>
      <c r="J465" s="15"/>
      <c r="N465" s="15"/>
      <c r="O465" s="15"/>
      <c r="P465" s="15"/>
      <c r="T465" s="15"/>
      <c r="U465" s="15"/>
      <c r="V465" s="15"/>
      <c r="Z465" s="15"/>
      <c r="AA465" s="15"/>
      <c r="AB465" s="15"/>
      <c r="AF465" s="15"/>
      <c r="AG465" s="15"/>
      <c r="AH465" s="15"/>
    </row>
    <row r="466" spans="2:34" ht="14.25" customHeight="1">
      <c r="B466" s="15"/>
      <c r="C466" s="15"/>
      <c r="D466" s="15"/>
      <c r="H466" s="15"/>
      <c r="I466" s="15"/>
      <c r="J466" s="15"/>
      <c r="N466" s="15"/>
      <c r="O466" s="15"/>
      <c r="P466" s="15"/>
      <c r="T466" s="15"/>
      <c r="U466" s="15"/>
      <c r="V466" s="15"/>
      <c r="Z466" s="15"/>
      <c r="AA466" s="15"/>
      <c r="AB466" s="15"/>
      <c r="AF466" s="15"/>
      <c r="AG466" s="15"/>
      <c r="AH466" s="15"/>
    </row>
    <row r="467" spans="2:34" ht="14.25" customHeight="1">
      <c r="B467" s="15"/>
      <c r="C467" s="15"/>
      <c r="D467" s="15"/>
      <c r="H467" s="15"/>
      <c r="I467" s="15"/>
      <c r="J467" s="15"/>
      <c r="N467" s="15"/>
      <c r="O467" s="15"/>
      <c r="P467" s="15"/>
      <c r="T467" s="15"/>
      <c r="U467" s="15"/>
      <c r="V467" s="15"/>
      <c r="Z467" s="15"/>
      <c r="AA467" s="15"/>
      <c r="AB467" s="15"/>
      <c r="AF467" s="15"/>
      <c r="AG467" s="15"/>
      <c r="AH467" s="15"/>
    </row>
    <row r="468" spans="2:34" ht="14.25" customHeight="1">
      <c r="B468" s="15"/>
      <c r="C468" s="15"/>
      <c r="D468" s="15"/>
      <c r="H468" s="15"/>
      <c r="I468" s="15"/>
      <c r="J468" s="15"/>
      <c r="N468" s="15"/>
      <c r="O468" s="15"/>
      <c r="P468" s="15"/>
      <c r="T468" s="15"/>
      <c r="U468" s="15"/>
      <c r="V468" s="15"/>
      <c r="Z468" s="15"/>
      <c r="AA468" s="15"/>
      <c r="AB468" s="15"/>
      <c r="AF468" s="15"/>
      <c r="AG468" s="15"/>
      <c r="AH468" s="15"/>
    </row>
    <row r="469" spans="2:34" ht="14.25" customHeight="1">
      <c r="B469" s="15"/>
      <c r="C469" s="15"/>
      <c r="D469" s="15"/>
      <c r="H469" s="15"/>
      <c r="I469" s="15"/>
      <c r="J469" s="15"/>
      <c r="N469" s="15"/>
      <c r="O469" s="15"/>
      <c r="P469" s="15"/>
      <c r="T469" s="15"/>
      <c r="U469" s="15"/>
      <c r="V469" s="15"/>
      <c r="Z469" s="15"/>
      <c r="AA469" s="15"/>
      <c r="AB469" s="15"/>
      <c r="AF469" s="15"/>
      <c r="AG469" s="15"/>
      <c r="AH469" s="15"/>
    </row>
    <row r="470" spans="2:34" ht="14.25" customHeight="1">
      <c r="B470" s="15"/>
      <c r="C470" s="15"/>
      <c r="D470" s="15"/>
      <c r="H470" s="15"/>
      <c r="I470" s="15"/>
      <c r="J470" s="15"/>
      <c r="N470" s="15"/>
      <c r="O470" s="15"/>
      <c r="P470" s="15"/>
      <c r="T470" s="15"/>
      <c r="U470" s="15"/>
      <c r="V470" s="15"/>
      <c r="Z470" s="15"/>
      <c r="AA470" s="15"/>
      <c r="AB470" s="15"/>
      <c r="AF470" s="15"/>
      <c r="AG470" s="15"/>
      <c r="AH470" s="15"/>
    </row>
    <row r="471" spans="2:34" ht="14.25" customHeight="1">
      <c r="B471" s="15"/>
      <c r="C471" s="15"/>
      <c r="D471" s="15"/>
      <c r="H471" s="15"/>
      <c r="I471" s="15"/>
      <c r="J471" s="15"/>
      <c r="N471" s="15"/>
      <c r="O471" s="15"/>
      <c r="P471" s="15"/>
      <c r="T471" s="15"/>
      <c r="U471" s="15"/>
      <c r="V471" s="15"/>
      <c r="Z471" s="15"/>
      <c r="AA471" s="15"/>
      <c r="AB471" s="15"/>
      <c r="AF471" s="15"/>
      <c r="AG471" s="15"/>
      <c r="AH471" s="15"/>
    </row>
    <row r="472" spans="2:34" ht="14.25" customHeight="1">
      <c r="B472" s="15"/>
      <c r="C472" s="15"/>
      <c r="D472" s="15"/>
      <c r="H472" s="15"/>
      <c r="I472" s="15"/>
      <c r="J472" s="15"/>
      <c r="N472" s="15"/>
      <c r="O472" s="15"/>
      <c r="P472" s="15"/>
      <c r="T472" s="15"/>
      <c r="U472" s="15"/>
      <c r="V472" s="15"/>
      <c r="Z472" s="15"/>
      <c r="AA472" s="15"/>
      <c r="AB472" s="15"/>
      <c r="AF472" s="15"/>
      <c r="AG472" s="15"/>
      <c r="AH472" s="15"/>
    </row>
    <row r="473" spans="2:34" ht="14.25" customHeight="1">
      <c r="B473" s="15"/>
      <c r="C473" s="15"/>
      <c r="D473" s="15"/>
      <c r="H473" s="15"/>
      <c r="I473" s="15"/>
      <c r="J473" s="15"/>
      <c r="N473" s="15"/>
      <c r="O473" s="15"/>
      <c r="P473" s="15"/>
      <c r="T473" s="15"/>
      <c r="U473" s="15"/>
      <c r="V473" s="15"/>
      <c r="Z473" s="15"/>
      <c r="AA473" s="15"/>
      <c r="AB473" s="15"/>
      <c r="AF473" s="15"/>
      <c r="AG473" s="15"/>
      <c r="AH473" s="15"/>
    </row>
    <row r="474" spans="2:34" ht="14.25" customHeight="1">
      <c r="B474" s="15"/>
      <c r="C474" s="15"/>
      <c r="D474" s="15"/>
      <c r="H474" s="15"/>
      <c r="I474" s="15"/>
      <c r="J474" s="15"/>
      <c r="N474" s="15"/>
      <c r="O474" s="15"/>
      <c r="P474" s="15"/>
      <c r="T474" s="15"/>
      <c r="U474" s="15"/>
      <c r="V474" s="15"/>
      <c r="Z474" s="15"/>
      <c r="AA474" s="15"/>
      <c r="AB474" s="15"/>
      <c r="AF474" s="15"/>
      <c r="AG474" s="15"/>
      <c r="AH474" s="15"/>
    </row>
    <row r="475" spans="2:34" ht="14.25" customHeight="1">
      <c r="B475" s="15"/>
      <c r="C475" s="15"/>
      <c r="D475" s="15"/>
      <c r="H475" s="15"/>
      <c r="I475" s="15"/>
      <c r="J475" s="15"/>
      <c r="N475" s="15"/>
      <c r="O475" s="15"/>
      <c r="P475" s="15"/>
      <c r="T475" s="15"/>
      <c r="U475" s="15"/>
      <c r="V475" s="15"/>
      <c r="Z475" s="15"/>
      <c r="AA475" s="15"/>
      <c r="AB475" s="15"/>
      <c r="AF475" s="15"/>
      <c r="AG475" s="15"/>
      <c r="AH475" s="15"/>
    </row>
    <row r="476" spans="2:34" ht="14.25" customHeight="1">
      <c r="B476" s="15"/>
      <c r="C476" s="15"/>
      <c r="D476" s="15"/>
      <c r="H476" s="15"/>
      <c r="I476" s="15"/>
      <c r="J476" s="15"/>
      <c r="N476" s="15"/>
      <c r="O476" s="15"/>
      <c r="P476" s="15"/>
      <c r="T476" s="15"/>
      <c r="U476" s="15"/>
      <c r="V476" s="15"/>
      <c r="Z476" s="15"/>
      <c r="AA476" s="15"/>
      <c r="AB476" s="15"/>
      <c r="AF476" s="15"/>
      <c r="AG476" s="15"/>
      <c r="AH476" s="15"/>
    </row>
    <row r="477" spans="2:34" ht="14.25" customHeight="1">
      <c r="B477" s="15"/>
      <c r="C477" s="15"/>
      <c r="D477" s="15"/>
      <c r="H477" s="15"/>
      <c r="I477" s="15"/>
      <c r="J477" s="15"/>
      <c r="N477" s="15"/>
      <c r="O477" s="15"/>
      <c r="P477" s="15"/>
      <c r="T477" s="15"/>
      <c r="U477" s="15"/>
      <c r="V477" s="15"/>
      <c r="Z477" s="15"/>
      <c r="AA477" s="15"/>
      <c r="AB477" s="15"/>
      <c r="AF477" s="15"/>
      <c r="AG477" s="15"/>
      <c r="AH477" s="15"/>
    </row>
    <row r="478" spans="2:34" ht="14.25" customHeight="1">
      <c r="B478" s="15"/>
      <c r="C478" s="15"/>
      <c r="D478" s="15"/>
      <c r="H478" s="15"/>
      <c r="I478" s="15"/>
      <c r="J478" s="15"/>
      <c r="N478" s="15"/>
      <c r="O478" s="15"/>
      <c r="P478" s="15"/>
      <c r="T478" s="15"/>
      <c r="U478" s="15"/>
      <c r="V478" s="15"/>
      <c r="Z478" s="15"/>
      <c r="AA478" s="15"/>
      <c r="AB478" s="15"/>
      <c r="AF478" s="15"/>
      <c r="AG478" s="15"/>
      <c r="AH478" s="15"/>
    </row>
    <row r="479" spans="2:34" ht="14.25" customHeight="1">
      <c r="B479" s="15"/>
      <c r="C479" s="15"/>
      <c r="D479" s="15"/>
      <c r="H479" s="15"/>
      <c r="I479" s="15"/>
      <c r="J479" s="15"/>
      <c r="N479" s="15"/>
      <c r="O479" s="15"/>
      <c r="P479" s="15"/>
      <c r="T479" s="15"/>
      <c r="U479" s="15"/>
      <c r="V479" s="15"/>
      <c r="Z479" s="15"/>
      <c r="AA479" s="15"/>
      <c r="AB479" s="15"/>
      <c r="AF479" s="15"/>
      <c r="AG479" s="15"/>
      <c r="AH479" s="15"/>
    </row>
    <row r="480" spans="2:34" ht="14.25" customHeight="1">
      <c r="B480" s="15"/>
      <c r="C480" s="15"/>
      <c r="D480" s="15"/>
      <c r="H480" s="15"/>
      <c r="I480" s="15"/>
      <c r="J480" s="15"/>
      <c r="N480" s="15"/>
      <c r="O480" s="15"/>
      <c r="P480" s="15"/>
      <c r="T480" s="15"/>
      <c r="U480" s="15"/>
      <c r="V480" s="15"/>
      <c r="Z480" s="15"/>
      <c r="AA480" s="15"/>
      <c r="AB480" s="15"/>
      <c r="AF480" s="15"/>
      <c r="AG480" s="15"/>
      <c r="AH480" s="15"/>
    </row>
    <row r="481" spans="2:34" ht="14.25" customHeight="1">
      <c r="B481" s="15"/>
      <c r="C481" s="15"/>
      <c r="D481" s="15"/>
      <c r="H481" s="15"/>
      <c r="I481" s="15"/>
      <c r="J481" s="15"/>
      <c r="N481" s="15"/>
      <c r="O481" s="15"/>
      <c r="P481" s="15"/>
      <c r="T481" s="15"/>
      <c r="U481" s="15"/>
      <c r="V481" s="15"/>
      <c r="Z481" s="15"/>
      <c r="AA481" s="15"/>
      <c r="AB481" s="15"/>
      <c r="AF481" s="15"/>
      <c r="AG481" s="15"/>
      <c r="AH481" s="15"/>
    </row>
    <row r="482" spans="2:34" ht="14.25" customHeight="1">
      <c r="B482" s="15"/>
      <c r="C482" s="15"/>
      <c r="D482" s="15"/>
      <c r="H482" s="15"/>
      <c r="I482" s="15"/>
      <c r="J482" s="15"/>
      <c r="N482" s="15"/>
      <c r="O482" s="15"/>
      <c r="P482" s="15"/>
      <c r="T482" s="15"/>
      <c r="U482" s="15"/>
      <c r="V482" s="15"/>
      <c r="Z482" s="15"/>
      <c r="AA482" s="15"/>
      <c r="AB482" s="15"/>
      <c r="AF482" s="15"/>
      <c r="AG482" s="15"/>
      <c r="AH482" s="15"/>
    </row>
    <row r="483" spans="2:34" ht="14.25" customHeight="1">
      <c r="B483" s="15"/>
      <c r="C483" s="15"/>
      <c r="D483" s="15"/>
      <c r="H483" s="15"/>
      <c r="I483" s="15"/>
      <c r="J483" s="15"/>
      <c r="N483" s="15"/>
      <c r="O483" s="15"/>
      <c r="P483" s="15"/>
      <c r="T483" s="15"/>
      <c r="U483" s="15"/>
      <c r="V483" s="15"/>
      <c r="Z483" s="15"/>
      <c r="AA483" s="15"/>
      <c r="AB483" s="15"/>
      <c r="AF483" s="15"/>
      <c r="AG483" s="15"/>
      <c r="AH483" s="15"/>
    </row>
    <row r="484" spans="2:34" ht="14.25" customHeight="1">
      <c r="B484" s="15"/>
      <c r="C484" s="15"/>
      <c r="D484" s="15"/>
      <c r="H484" s="15"/>
      <c r="I484" s="15"/>
      <c r="J484" s="15"/>
      <c r="N484" s="15"/>
      <c r="O484" s="15"/>
      <c r="P484" s="15"/>
      <c r="T484" s="15"/>
      <c r="U484" s="15"/>
      <c r="V484" s="15"/>
      <c r="Z484" s="15"/>
      <c r="AA484" s="15"/>
      <c r="AB484" s="15"/>
      <c r="AF484" s="15"/>
      <c r="AG484" s="15"/>
      <c r="AH484" s="15"/>
    </row>
    <row r="485" spans="2:34" ht="14.25" customHeight="1">
      <c r="B485" s="15"/>
      <c r="C485" s="15"/>
      <c r="D485" s="15"/>
      <c r="H485" s="15"/>
      <c r="I485" s="15"/>
      <c r="J485" s="15"/>
      <c r="N485" s="15"/>
      <c r="O485" s="15"/>
      <c r="P485" s="15"/>
      <c r="T485" s="15"/>
      <c r="U485" s="15"/>
      <c r="V485" s="15"/>
      <c r="Z485" s="15"/>
      <c r="AA485" s="15"/>
      <c r="AB485" s="15"/>
      <c r="AF485" s="15"/>
      <c r="AG485" s="15"/>
      <c r="AH485" s="15"/>
    </row>
    <row r="486" spans="2:34" ht="14.25" customHeight="1">
      <c r="B486" s="15"/>
      <c r="C486" s="15"/>
      <c r="D486" s="15"/>
      <c r="H486" s="15"/>
      <c r="I486" s="15"/>
      <c r="J486" s="15"/>
      <c r="N486" s="15"/>
      <c r="O486" s="15"/>
      <c r="P486" s="15"/>
      <c r="T486" s="15"/>
      <c r="U486" s="15"/>
      <c r="V486" s="15"/>
      <c r="Z486" s="15"/>
      <c r="AA486" s="15"/>
      <c r="AB486" s="15"/>
      <c r="AF486" s="15"/>
      <c r="AG486" s="15"/>
      <c r="AH486" s="15"/>
    </row>
    <row r="487" spans="2:34" ht="14.25" customHeight="1">
      <c r="B487" s="15"/>
      <c r="C487" s="15"/>
      <c r="D487" s="15"/>
      <c r="H487" s="15"/>
      <c r="I487" s="15"/>
      <c r="J487" s="15"/>
      <c r="N487" s="15"/>
      <c r="O487" s="15"/>
      <c r="P487" s="15"/>
      <c r="T487" s="15"/>
      <c r="U487" s="15"/>
      <c r="V487" s="15"/>
      <c r="Z487" s="15"/>
      <c r="AA487" s="15"/>
      <c r="AB487" s="15"/>
      <c r="AF487" s="15"/>
      <c r="AG487" s="15"/>
      <c r="AH487" s="15"/>
    </row>
    <row r="488" spans="2:34" ht="14.25" customHeight="1">
      <c r="B488" s="15"/>
      <c r="C488" s="15"/>
      <c r="D488" s="15"/>
      <c r="H488" s="15"/>
      <c r="I488" s="15"/>
      <c r="J488" s="15"/>
      <c r="N488" s="15"/>
      <c r="O488" s="15"/>
      <c r="P488" s="15"/>
      <c r="T488" s="15"/>
      <c r="U488" s="15"/>
      <c r="V488" s="15"/>
      <c r="Z488" s="15"/>
      <c r="AA488" s="15"/>
      <c r="AB488" s="15"/>
      <c r="AF488" s="15"/>
      <c r="AG488" s="15"/>
      <c r="AH488" s="15"/>
    </row>
    <row r="489" spans="2:34" ht="14.25" customHeight="1">
      <c r="B489" s="15"/>
      <c r="C489" s="15"/>
      <c r="D489" s="15"/>
      <c r="H489" s="15"/>
      <c r="I489" s="15"/>
      <c r="J489" s="15"/>
      <c r="N489" s="15"/>
      <c r="O489" s="15"/>
      <c r="P489" s="15"/>
      <c r="T489" s="15"/>
      <c r="U489" s="15"/>
      <c r="V489" s="15"/>
      <c r="Z489" s="15"/>
      <c r="AA489" s="15"/>
      <c r="AB489" s="15"/>
      <c r="AF489" s="15"/>
      <c r="AG489" s="15"/>
      <c r="AH489" s="15"/>
    </row>
    <row r="490" spans="2:34" ht="14.25" customHeight="1">
      <c r="B490" s="15"/>
      <c r="C490" s="15"/>
      <c r="D490" s="15"/>
      <c r="H490" s="15"/>
      <c r="I490" s="15"/>
      <c r="J490" s="15"/>
      <c r="N490" s="15"/>
      <c r="O490" s="15"/>
      <c r="P490" s="15"/>
      <c r="T490" s="15"/>
      <c r="U490" s="15"/>
      <c r="V490" s="15"/>
      <c r="Z490" s="15"/>
      <c r="AA490" s="15"/>
      <c r="AB490" s="15"/>
      <c r="AF490" s="15"/>
      <c r="AG490" s="15"/>
      <c r="AH490" s="15"/>
    </row>
    <row r="491" spans="2:34" ht="14.25" customHeight="1">
      <c r="B491" s="15"/>
      <c r="C491" s="15"/>
      <c r="D491" s="15"/>
      <c r="H491" s="15"/>
      <c r="I491" s="15"/>
      <c r="J491" s="15"/>
      <c r="N491" s="15"/>
      <c r="O491" s="15"/>
      <c r="P491" s="15"/>
      <c r="T491" s="15"/>
      <c r="U491" s="15"/>
      <c r="V491" s="15"/>
      <c r="Z491" s="15"/>
      <c r="AA491" s="15"/>
      <c r="AB491" s="15"/>
      <c r="AF491" s="15"/>
      <c r="AG491" s="15"/>
      <c r="AH491" s="15"/>
    </row>
    <row r="492" spans="2:34" ht="14.25" customHeight="1">
      <c r="B492" s="15"/>
      <c r="C492" s="15"/>
      <c r="D492" s="15"/>
      <c r="H492" s="15"/>
      <c r="I492" s="15"/>
      <c r="J492" s="15"/>
      <c r="N492" s="15"/>
      <c r="O492" s="15"/>
      <c r="P492" s="15"/>
      <c r="T492" s="15"/>
      <c r="U492" s="15"/>
      <c r="V492" s="15"/>
      <c r="Z492" s="15"/>
      <c r="AA492" s="15"/>
      <c r="AB492" s="15"/>
      <c r="AF492" s="15"/>
      <c r="AG492" s="15"/>
      <c r="AH492" s="15"/>
    </row>
    <row r="493" spans="2:34" ht="14.25" customHeight="1">
      <c r="B493" s="15"/>
      <c r="C493" s="15"/>
      <c r="D493" s="15"/>
      <c r="H493" s="15"/>
      <c r="I493" s="15"/>
      <c r="J493" s="15"/>
      <c r="N493" s="15"/>
      <c r="O493" s="15"/>
      <c r="P493" s="15"/>
      <c r="T493" s="15"/>
      <c r="U493" s="15"/>
      <c r="V493" s="15"/>
      <c r="Z493" s="15"/>
      <c r="AA493" s="15"/>
      <c r="AB493" s="15"/>
      <c r="AF493" s="15"/>
      <c r="AG493" s="15"/>
      <c r="AH493" s="15"/>
    </row>
    <row r="494" spans="2:34" ht="14.25" customHeight="1">
      <c r="B494" s="15"/>
      <c r="C494" s="15"/>
      <c r="D494" s="15"/>
      <c r="H494" s="15"/>
      <c r="I494" s="15"/>
      <c r="J494" s="15"/>
      <c r="N494" s="15"/>
      <c r="O494" s="15"/>
      <c r="P494" s="15"/>
      <c r="T494" s="15"/>
      <c r="U494" s="15"/>
      <c r="V494" s="15"/>
      <c r="Z494" s="15"/>
      <c r="AA494" s="15"/>
      <c r="AB494" s="15"/>
      <c r="AF494" s="15"/>
      <c r="AG494" s="15"/>
      <c r="AH494" s="15"/>
    </row>
    <row r="495" spans="2:34" ht="14.25" customHeight="1">
      <c r="B495" s="15"/>
      <c r="C495" s="15"/>
      <c r="D495" s="15"/>
      <c r="H495" s="15"/>
      <c r="I495" s="15"/>
      <c r="J495" s="15"/>
      <c r="N495" s="15"/>
      <c r="O495" s="15"/>
      <c r="P495" s="15"/>
      <c r="T495" s="15"/>
      <c r="U495" s="15"/>
      <c r="V495" s="15"/>
      <c r="Z495" s="15"/>
      <c r="AA495" s="15"/>
      <c r="AB495" s="15"/>
      <c r="AF495" s="15"/>
      <c r="AG495" s="15"/>
      <c r="AH495" s="15"/>
    </row>
    <row r="496" spans="2:34" ht="14.25" customHeight="1">
      <c r="B496" s="15"/>
      <c r="C496" s="15"/>
      <c r="D496" s="15"/>
      <c r="H496" s="15"/>
      <c r="I496" s="15"/>
      <c r="J496" s="15"/>
      <c r="N496" s="15"/>
      <c r="O496" s="15"/>
      <c r="P496" s="15"/>
      <c r="T496" s="15"/>
      <c r="U496" s="15"/>
      <c r="V496" s="15"/>
      <c r="Z496" s="15"/>
      <c r="AA496" s="15"/>
      <c r="AB496" s="15"/>
      <c r="AF496" s="15"/>
      <c r="AG496" s="15"/>
      <c r="AH496" s="15"/>
    </row>
    <row r="497" spans="2:34" ht="14.25" customHeight="1">
      <c r="B497" s="15"/>
      <c r="C497" s="15"/>
      <c r="D497" s="15"/>
      <c r="H497" s="15"/>
      <c r="I497" s="15"/>
      <c r="J497" s="15"/>
      <c r="N497" s="15"/>
      <c r="O497" s="15"/>
      <c r="P497" s="15"/>
      <c r="T497" s="15"/>
      <c r="U497" s="15"/>
      <c r="V497" s="15"/>
      <c r="Z497" s="15"/>
      <c r="AA497" s="15"/>
      <c r="AB497" s="15"/>
      <c r="AF497" s="15"/>
      <c r="AG497" s="15"/>
      <c r="AH497" s="15"/>
    </row>
    <row r="498" spans="2:34" ht="14.25" customHeight="1">
      <c r="B498" s="15"/>
      <c r="C498" s="15"/>
      <c r="D498" s="15"/>
      <c r="H498" s="15"/>
      <c r="I498" s="15"/>
      <c r="J498" s="15"/>
      <c r="N498" s="15"/>
      <c r="O498" s="15"/>
      <c r="P498" s="15"/>
      <c r="T498" s="15"/>
      <c r="U498" s="15"/>
      <c r="V498" s="15"/>
      <c r="Z498" s="15"/>
      <c r="AA498" s="15"/>
      <c r="AB498" s="15"/>
      <c r="AF498" s="15"/>
      <c r="AG498" s="15"/>
      <c r="AH498" s="15"/>
    </row>
    <row r="499" spans="2:34" ht="14.25" customHeight="1">
      <c r="B499" s="15"/>
      <c r="C499" s="15"/>
      <c r="D499" s="15"/>
      <c r="H499" s="15"/>
      <c r="I499" s="15"/>
      <c r="J499" s="15"/>
      <c r="N499" s="15"/>
      <c r="O499" s="15"/>
      <c r="P499" s="15"/>
      <c r="T499" s="15"/>
      <c r="U499" s="15"/>
      <c r="V499" s="15"/>
      <c r="Z499" s="15"/>
      <c r="AA499" s="15"/>
      <c r="AB499" s="15"/>
      <c r="AF499" s="15"/>
      <c r="AG499" s="15"/>
      <c r="AH499" s="15"/>
    </row>
    <row r="500" spans="2:34" ht="14.25" customHeight="1">
      <c r="B500" s="15"/>
      <c r="C500" s="15"/>
      <c r="D500" s="15"/>
      <c r="H500" s="15"/>
      <c r="I500" s="15"/>
      <c r="J500" s="15"/>
      <c r="N500" s="15"/>
      <c r="O500" s="15"/>
      <c r="P500" s="15"/>
      <c r="T500" s="15"/>
      <c r="U500" s="15"/>
      <c r="V500" s="15"/>
      <c r="Z500" s="15"/>
      <c r="AA500" s="15"/>
      <c r="AB500" s="15"/>
      <c r="AF500" s="15"/>
      <c r="AG500" s="15"/>
      <c r="AH500" s="15"/>
    </row>
    <row r="501" spans="2:34" ht="14.25" customHeight="1">
      <c r="B501" s="15"/>
      <c r="C501" s="15"/>
      <c r="D501" s="15"/>
      <c r="H501" s="15"/>
      <c r="I501" s="15"/>
      <c r="J501" s="15"/>
      <c r="N501" s="15"/>
      <c r="O501" s="15"/>
      <c r="P501" s="15"/>
      <c r="T501" s="15"/>
      <c r="U501" s="15"/>
      <c r="V501" s="15"/>
      <c r="Z501" s="15"/>
      <c r="AA501" s="15"/>
      <c r="AB501" s="15"/>
      <c r="AF501" s="15"/>
      <c r="AG501" s="15"/>
      <c r="AH501" s="15"/>
    </row>
    <row r="502" spans="2:34" ht="14.25" customHeight="1">
      <c r="B502" s="15"/>
      <c r="C502" s="15"/>
      <c r="D502" s="15"/>
      <c r="H502" s="15"/>
      <c r="I502" s="15"/>
      <c r="J502" s="15"/>
      <c r="N502" s="15"/>
      <c r="O502" s="15"/>
      <c r="P502" s="15"/>
      <c r="T502" s="15"/>
      <c r="U502" s="15"/>
      <c r="V502" s="15"/>
      <c r="Z502" s="15"/>
      <c r="AA502" s="15"/>
      <c r="AB502" s="15"/>
      <c r="AF502" s="15"/>
      <c r="AG502" s="15"/>
      <c r="AH502" s="15"/>
    </row>
    <row r="503" spans="2:34" ht="14.25" customHeight="1">
      <c r="B503" s="15"/>
      <c r="C503" s="15"/>
      <c r="D503" s="15"/>
      <c r="H503" s="15"/>
      <c r="I503" s="15"/>
      <c r="J503" s="15"/>
      <c r="N503" s="15"/>
      <c r="O503" s="15"/>
      <c r="P503" s="15"/>
      <c r="T503" s="15"/>
      <c r="U503" s="15"/>
      <c r="V503" s="15"/>
      <c r="Z503" s="15"/>
      <c r="AA503" s="15"/>
      <c r="AB503" s="15"/>
      <c r="AF503" s="15"/>
      <c r="AG503" s="15"/>
      <c r="AH503" s="15"/>
    </row>
    <row r="504" spans="2:34" ht="14.25" customHeight="1">
      <c r="B504" s="15"/>
      <c r="C504" s="15"/>
      <c r="D504" s="15"/>
      <c r="H504" s="15"/>
      <c r="I504" s="15"/>
      <c r="J504" s="15"/>
      <c r="N504" s="15"/>
      <c r="O504" s="15"/>
      <c r="P504" s="15"/>
      <c r="T504" s="15"/>
      <c r="U504" s="15"/>
      <c r="V504" s="15"/>
      <c r="Z504" s="15"/>
      <c r="AA504" s="15"/>
      <c r="AB504" s="15"/>
      <c r="AF504" s="15"/>
      <c r="AG504" s="15"/>
      <c r="AH504" s="15"/>
    </row>
    <row r="505" spans="2:34" ht="14.25" customHeight="1">
      <c r="B505" s="15"/>
      <c r="C505" s="15"/>
      <c r="D505" s="15"/>
      <c r="H505" s="15"/>
      <c r="I505" s="15"/>
      <c r="J505" s="15"/>
      <c r="N505" s="15"/>
      <c r="O505" s="15"/>
      <c r="P505" s="15"/>
      <c r="T505" s="15"/>
      <c r="U505" s="15"/>
      <c r="V505" s="15"/>
      <c r="Z505" s="15"/>
      <c r="AA505" s="15"/>
      <c r="AB505" s="15"/>
      <c r="AF505" s="15"/>
      <c r="AG505" s="15"/>
      <c r="AH505" s="15"/>
    </row>
    <row r="506" spans="2:34" ht="14.25" customHeight="1">
      <c r="B506" s="15"/>
      <c r="C506" s="15"/>
      <c r="D506" s="15"/>
      <c r="H506" s="15"/>
      <c r="I506" s="15"/>
      <c r="J506" s="15"/>
      <c r="N506" s="15"/>
      <c r="O506" s="15"/>
      <c r="P506" s="15"/>
      <c r="T506" s="15"/>
      <c r="U506" s="15"/>
      <c r="V506" s="15"/>
      <c r="Z506" s="15"/>
      <c r="AA506" s="15"/>
      <c r="AB506" s="15"/>
      <c r="AF506" s="15"/>
      <c r="AG506" s="15"/>
      <c r="AH506" s="15"/>
    </row>
    <row r="507" spans="2:34" ht="14.25" customHeight="1">
      <c r="B507" s="15"/>
      <c r="C507" s="15"/>
      <c r="D507" s="15"/>
      <c r="H507" s="15"/>
      <c r="I507" s="15"/>
      <c r="J507" s="15"/>
      <c r="N507" s="15"/>
      <c r="O507" s="15"/>
      <c r="P507" s="15"/>
      <c r="T507" s="15"/>
      <c r="U507" s="15"/>
      <c r="V507" s="15"/>
      <c r="Z507" s="15"/>
      <c r="AA507" s="15"/>
      <c r="AB507" s="15"/>
      <c r="AF507" s="15"/>
      <c r="AG507" s="15"/>
      <c r="AH507" s="15"/>
    </row>
    <row r="508" spans="2:34" ht="14.25" customHeight="1">
      <c r="B508" s="15"/>
      <c r="C508" s="15"/>
      <c r="D508" s="15"/>
      <c r="H508" s="15"/>
      <c r="I508" s="15"/>
      <c r="J508" s="15"/>
      <c r="N508" s="15"/>
      <c r="O508" s="15"/>
      <c r="P508" s="15"/>
      <c r="T508" s="15"/>
      <c r="U508" s="15"/>
      <c r="V508" s="15"/>
      <c r="Z508" s="15"/>
      <c r="AA508" s="15"/>
      <c r="AB508" s="15"/>
      <c r="AF508" s="15"/>
      <c r="AG508" s="15"/>
      <c r="AH508" s="15"/>
    </row>
    <row r="509" spans="2:34" ht="14.25" customHeight="1">
      <c r="B509" s="15"/>
      <c r="C509" s="15"/>
      <c r="D509" s="15"/>
      <c r="H509" s="15"/>
      <c r="I509" s="15"/>
      <c r="J509" s="15"/>
      <c r="N509" s="15"/>
      <c r="O509" s="15"/>
      <c r="P509" s="15"/>
      <c r="T509" s="15"/>
      <c r="U509" s="15"/>
      <c r="V509" s="15"/>
      <c r="Z509" s="15"/>
      <c r="AA509" s="15"/>
      <c r="AB509" s="15"/>
      <c r="AF509" s="15"/>
      <c r="AG509" s="15"/>
      <c r="AH509" s="15"/>
    </row>
    <row r="510" spans="2:34" ht="14.25" customHeight="1">
      <c r="B510" s="15"/>
      <c r="C510" s="15"/>
      <c r="D510" s="15"/>
      <c r="H510" s="15"/>
      <c r="I510" s="15"/>
      <c r="J510" s="15"/>
      <c r="N510" s="15"/>
      <c r="O510" s="15"/>
      <c r="P510" s="15"/>
      <c r="T510" s="15"/>
      <c r="U510" s="15"/>
      <c r="V510" s="15"/>
      <c r="Z510" s="15"/>
      <c r="AA510" s="15"/>
      <c r="AB510" s="15"/>
      <c r="AF510" s="15"/>
      <c r="AG510" s="15"/>
      <c r="AH510" s="15"/>
    </row>
    <row r="511" spans="2:34" ht="14.25" customHeight="1">
      <c r="B511" s="15"/>
      <c r="C511" s="15"/>
      <c r="D511" s="15"/>
      <c r="H511" s="15"/>
      <c r="I511" s="15"/>
      <c r="J511" s="15"/>
      <c r="N511" s="15"/>
      <c r="O511" s="15"/>
      <c r="P511" s="15"/>
      <c r="T511" s="15"/>
      <c r="U511" s="15"/>
      <c r="V511" s="15"/>
      <c r="Z511" s="15"/>
      <c r="AA511" s="15"/>
      <c r="AB511" s="15"/>
      <c r="AF511" s="15"/>
      <c r="AG511" s="15"/>
      <c r="AH511" s="15"/>
    </row>
    <row r="512" spans="2:34" ht="14.25" customHeight="1">
      <c r="B512" s="15"/>
      <c r="C512" s="15"/>
      <c r="D512" s="15"/>
      <c r="H512" s="15"/>
      <c r="I512" s="15"/>
      <c r="J512" s="15"/>
      <c r="N512" s="15"/>
      <c r="O512" s="15"/>
      <c r="P512" s="15"/>
      <c r="T512" s="15"/>
      <c r="U512" s="15"/>
      <c r="V512" s="15"/>
      <c r="Z512" s="15"/>
      <c r="AA512" s="15"/>
      <c r="AB512" s="15"/>
      <c r="AF512" s="15"/>
      <c r="AG512" s="15"/>
      <c r="AH512" s="15"/>
    </row>
    <row r="513" spans="2:34" ht="14.25" customHeight="1">
      <c r="B513" s="15"/>
      <c r="C513" s="15"/>
      <c r="D513" s="15"/>
      <c r="H513" s="15"/>
      <c r="I513" s="15"/>
      <c r="J513" s="15"/>
      <c r="N513" s="15"/>
      <c r="O513" s="15"/>
      <c r="P513" s="15"/>
      <c r="T513" s="15"/>
      <c r="U513" s="15"/>
      <c r="V513" s="15"/>
      <c r="Z513" s="15"/>
      <c r="AA513" s="15"/>
      <c r="AB513" s="15"/>
      <c r="AF513" s="15"/>
      <c r="AG513" s="15"/>
      <c r="AH513" s="15"/>
    </row>
    <row r="514" spans="2:34" ht="14.25" customHeight="1">
      <c r="B514" s="15"/>
      <c r="C514" s="15"/>
      <c r="D514" s="15"/>
      <c r="H514" s="15"/>
      <c r="I514" s="15"/>
      <c r="J514" s="15"/>
      <c r="N514" s="15"/>
      <c r="O514" s="15"/>
      <c r="P514" s="15"/>
      <c r="T514" s="15"/>
      <c r="U514" s="15"/>
      <c r="V514" s="15"/>
      <c r="Z514" s="15"/>
      <c r="AA514" s="15"/>
      <c r="AB514" s="15"/>
      <c r="AF514" s="15"/>
      <c r="AG514" s="15"/>
      <c r="AH514" s="15"/>
    </row>
    <row r="515" spans="2:34" ht="14.25" customHeight="1">
      <c r="B515" s="15"/>
      <c r="C515" s="15"/>
      <c r="D515" s="15"/>
      <c r="H515" s="15"/>
      <c r="I515" s="15"/>
      <c r="J515" s="15"/>
      <c r="N515" s="15"/>
      <c r="O515" s="15"/>
      <c r="P515" s="15"/>
      <c r="T515" s="15"/>
      <c r="U515" s="15"/>
      <c r="V515" s="15"/>
      <c r="Z515" s="15"/>
      <c r="AA515" s="15"/>
      <c r="AB515" s="15"/>
      <c r="AF515" s="15"/>
      <c r="AG515" s="15"/>
      <c r="AH515" s="15"/>
    </row>
    <row r="516" spans="2:34" ht="14.25" customHeight="1">
      <c r="B516" s="15"/>
      <c r="C516" s="15"/>
      <c r="D516" s="15"/>
      <c r="H516" s="15"/>
      <c r="I516" s="15"/>
      <c r="J516" s="15"/>
      <c r="N516" s="15"/>
      <c r="O516" s="15"/>
      <c r="P516" s="15"/>
      <c r="T516" s="15"/>
      <c r="U516" s="15"/>
      <c r="V516" s="15"/>
      <c r="Z516" s="15"/>
      <c r="AA516" s="15"/>
      <c r="AB516" s="15"/>
      <c r="AF516" s="15"/>
      <c r="AG516" s="15"/>
      <c r="AH516" s="15"/>
    </row>
    <row r="517" spans="2:34" ht="14.25" customHeight="1">
      <c r="B517" s="15"/>
      <c r="C517" s="15"/>
      <c r="D517" s="15"/>
      <c r="H517" s="15"/>
      <c r="I517" s="15"/>
      <c r="J517" s="15"/>
      <c r="N517" s="15"/>
      <c r="O517" s="15"/>
      <c r="P517" s="15"/>
      <c r="T517" s="15"/>
      <c r="U517" s="15"/>
      <c r="V517" s="15"/>
      <c r="Z517" s="15"/>
      <c r="AA517" s="15"/>
      <c r="AB517" s="15"/>
      <c r="AF517" s="15"/>
      <c r="AG517" s="15"/>
      <c r="AH517" s="15"/>
    </row>
    <row r="518" spans="2:34" ht="14.25" customHeight="1">
      <c r="B518" s="15"/>
      <c r="C518" s="15"/>
      <c r="D518" s="15"/>
      <c r="H518" s="15"/>
      <c r="I518" s="15"/>
      <c r="J518" s="15"/>
      <c r="N518" s="15"/>
      <c r="O518" s="15"/>
      <c r="P518" s="15"/>
      <c r="T518" s="15"/>
      <c r="U518" s="15"/>
      <c r="V518" s="15"/>
      <c r="Z518" s="15"/>
      <c r="AA518" s="15"/>
      <c r="AB518" s="15"/>
      <c r="AF518" s="15"/>
      <c r="AG518" s="15"/>
      <c r="AH518" s="15"/>
    </row>
    <row r="519" spans="2:34" ht="14.25" customHeight="1">
      <c r="B519" s="15"/>
      <c r="C519" s="15"/>
      <c r="D519" s="15"/>
      <c r="H519" s="15"/>
      <c r="I519" s="15"/>
      <c r="J519" s="15"/>
      <c r="N519" s="15"/>
      <c r="O519" s="15"/>
      <c r="P519" s="15"/>
      <c r="T519" s="15"/>
      <c r="U519" s="15"/>
      <c r="V519" s="15"/>
      <c r="Z519" s="15"/>
      <c r="AA519" s="15"/>
      <c r="AB519" s="15"/>
      <c r="AF519" s="15"/>
      <c r="AG519" s="15"/>
      <c r="AH519" s="15"/>
    </row>
    <row r="520" spans="2:34" ht="14.25" customHeight="1">
      <c r="B520" s="15"/>
      <c r="C520" s="15"/>
      <c r="D520" s="15"/>
      <c r="H520" s="15"/>
      <c r="I520" s="15"/>
      <c r="J520" s="15"/>
      <c r="N520" s="15"/>
      <c r="O520" s="15"/>
      <c r="P520" s="15"/>
      <c r="T520" s="15"/>
      <c r="U520" s="15"/>
      <c r="V520" s="15"/>
      <c r="Z520" s="15"/>
      <c r="AA520" s="15"/>
      <c r="AB520" s="15"/>
      <c r="AF520" s="15"/>
      <c r="AG520" s="15"/>
      <c r="AH520" s="15"/>
    </row>
    <row r="521" spans="2:34" ht="14.25" customHeight="1">
      <c r="B521" s="15"/>
      <c r="C521" s="15"/>
      <c r="D521" s="15"/>
      <c r="H521" s="15"/>
      <c r="I521" s="15"/>
      <c r="J521" s="15"/>
      <c r="N521" s="15"/>
      <c r="O521" s="15"/>
      <c r="P521" s="15"/>
      <c r="T521" s="15"/>
      <c r="U521" s="15"/>
      <c r="V521" s="15"/>
      <c r="Z521" s="15"/>
      <c r="AA521" s="15"/>
      <c r="AB521" s="15"/>
      <c r="AF521" s="15"/>
      <c r="AG521" s="15"/>
      <c r="AH521" s="15"/>
    </row>
    <row r="522" spans="2:34" ht="14.25" customHeight="1">
      <c r="B522" s="15"/>
      <c r="C522" s="15"/>
      <c r="D522" s="15"/>
      <c r="H522" s="15"/>
      <c r="I522" s="15"/>
      <c r="J522" s="15"/>
      <c r="N522" s="15"/>
      <c r="O522" s="15"/>
      <c r="P522" s="15"/>
      <c r="T522" s="15"/>
      <c r="U522" s="15"/>
      <c r="V522" s="15"/>
      <c r="Z522" s="15"/>
      <c r="AA522" s="15"/>
      <c r="AB522" s="15"/>
      <c r="AF522" s="15"/>
      <c r="AG522" s="15"/>
      <c r="AH522" s="15"/>
    </row>
    <row r="523" spans="2:34" ht="14.25" customHeight="1">
      <c r="B523" s="15"/>
      <c r="C523" s="15"/>
      <c r="D523" s="15"/>
      <c r="H523" s="15"/>
      <c r="I523" s="15"/>
      <c r="J523" s="15"/>
      <c r="N523" s="15"/>
      <c r="O523" s="15"/>
      <c r="P523" s="15"/>
      <c r="T523" s="15"/>
      <c r="U523" s="15"/>
      <c r="V523" s="15"/>
      <c r="Z523" s="15"/>
      <c r="AA523" s="15"/>
      <c r="AB523" s="15"/>
      <c r="AF523" s="15"/>
      <c r="AG523" s="15"/>
      <c r="AH523" s="15"/>
    </row>
    <row r="524" spans="2:34" ht="14.25" customHeight="1">
      <c r="B524" s="15"/>
      <c r="C524" s="15"/>
      <c r="D524" s="15"/>
      <c r="H524" s="15"/>
      <c r="I524" s="15"/>
      <c r="J524" s="15"/>
      <c r="N524" s="15"/>
      <c r="O524" s="15"/>
      <c r="P524" s="15"/>
      <c r="T524" s="15"/>
      <c r="U524" s="15"/>
      <c r="V524" s="15"/>
      <c r="Z524" s="15"/>
      <c r="AA524" s="15"/>
      <c r="AB524" s="15"/>
      <c r="AF524" s="15"/>
      <c r="AG524" s="15"/>
      <c r="AH524" s="15"/>
    </row>
    <row r="525" spans="2:34" ht="14.25" customHeight="1">
      <c r="B525" s="15"/>
      <c r="C525" s="15"/>
      <c r="D525" s="15"/>
      <c r="H525" s="15"/>
      <c r="I525" s="15"/>
      <c r="J525" s="15"/>
      <c r="N525" s="15"/>
      <c r="O525" s="15"/>
      <c r="P525" s="15"/>
      <c r="T525" s="15"/>
      <c r="U525" s="15"/>
      <c r="V525" s="15"/>
      <c r="Z525" s="15"/>
      <c r="AA525" s="15"/>
      <c r="AB525" s="15"/>
      <c r="AF525" s="15"/>
      <c r="AG525" s="15"/>
      <c r="AH525" s="15"/>
    </row>
    <row r="526" spans="2:34" ht="14.25" customHeight="1">
      <c r="B526" s="15"/>
      <c r="C526" s="15"/>
      <c r="D526" s="15"/>
      <c r="H526" s="15"/>
      <c r="I526" s="15"/>
      <c r="J526" s="15"/>
      <c r="N526" s="15"/>
      <c r="O526" s="15"/>
      <c r="P526" s="15"/>
      <c r="T526" s="15"/>
      <c r="U526" s="15"/>
      <c r="V526" s="15"/>
      <c r="Z526" s="15"/>
      <c r="AA526" s="15"/>
      <c r="AB526" s="15"/>
      <c r="AF526" s="15"/>
      <c r="AG526" s="15"/>
      <c r="AH526" s="15"/>
    </row>
    <row r="527" spans="2:34" ht="14.25" customHeight="1">
      <c r="B527" s="15"/>
      <c r="C527" s="15"/>
      <c r="D527" s="15"/>
      <c r="H527" s="15"/>
      <c r="I527" s="15"/>
      <c r="J527" s="15"/>
      <c r="N527" s="15"/>
      <c r="O527" s="15"/>
      <c r="P527" s="15"/>
      <c r="T527" s="15"/>
      <c r="U527" s="15"/>
      <c r="V527" s="15"/>
      <c r="Z527" s="15"/>
      <c r="AA527" s="15"/>
      <c r="AB527" s="15"/>
      <c r="AF527" s="15"/>
      <c r="AG527" s="15"/>
      <c r="AH527" s="15"/>
    </row>
    <row r="528" spans="2:34" ht="14.25" customHeight="1">
      <c r="B528" s="15"/>
      <c r="C528" s="15"/>
      <c r="D528" s="15"/>
      <c r="H528" s="15"/>
      <c r="I528" s="15"/>
      <c r="J528" s="15"/>
      <c r="N528" s="15"/>
      <c r="O528" s="15"/>
      <c r="P528" s="15"/>
      <c r="T528" s="15"/>
      <c r="U528" s="15"/>
      <c r="V528" s="15"/>
      <c r="Z528" s="15"/>
      <c r="AA528" s="15"/>
      <c r="AB528" s="15"/>
      <c r="AF528" s="15"/>
      <c r="AG528" s="15"/>
      <c r="AH528" s="15"/>
    </row>
    <row r="529" spans="2:34" ht="14.25" customHeight="1">
      <c r="B529" s="15"/>
      <c r="C529" s="15"/>
      <c r="D529" s="15"/>
      <c r="H529" s="15"/>
      <c r="I529" s="15"/>
      <c r="J529" s="15"/>
      <c r="N529" s="15"/>
      <c r="O529" s="15"/>
      <c r="P529" s="15"/>
      <c r="T529" s="15"/>
      <c r="U529" s="15"/>
      <c r="V529" s="15"/>
      <c r="Z529" s="15"/>
      <c r="AA529" s="15"/>
      <c r="AB529" s="15"/>
      <c r="AF529" s="15"/>
      <c r="AG529" s="15"/>
      <c r="AH529" s="15"/>
    </row>
    <row r="530" spans="2:34" ht="14.25" customHeight="1">
      <c r="B530" s="15"/>
      <c r="C530" s="15"/>
      <c r="D530" s="15"/>
      <c r="H530" s="15"/>
      <c r="I530" s="15"/>
      <c r="J530" s="15"/>
      <c r="N530" s="15"/>
      <c r="O530" s="15"/>
      <c r="P530" s="15"/>
      <c r="T530" s="15"/>
      <c r="U530" s="15"/>
      <c r="V530" s="15"/>
      <c r="Z530" s="15"/>
      <c r="AA530" s="15"/>
      <c r="AB530" s="15"/>
      <c r="AF530" s="15"/>
      <c r="AG530" s="15"/>
      <c r="AH530" s="15"/>
    </row>
    <row r="531" spans="2:34" ht="14.25" customHeight="1">
      <c r="B531" s="15"/>
      <c r="C531" s="15"/>
      <c r="D531" s="15"/>
      <c r="H531" s="15"/>
      <c r="I531" s="15"/>
      <c r="J531" s="15"/>
      <c r="N531" s="15"/>
      <c r="O531" s="15"/>
      <c r="P531" s="15"/>
      <c r="T531" s="15"/>
      <c r="U531" s="15"/>
      <c r="V531" s="15"/>
      <c r="Z531" s="15"/>
      <c r="AA531" s="15"/>
      <c r="AB531" s="15"/>
      <c r="AF531" s="15"/>
      <c r="AG531" s="15"/>
      <c r="AH531" s="15"/>
    </row>
    <row r="532" spans="2:34" ht="14.25" customHeight="1">
      <c r="B532" s="15"/>
      <c r="C532" s="15"/>
      <c r="D532" s="15"/>
      <c r="H532" s="15"/>
      <c r="I532" s="15"/>
      <c r="J532" s="15"/>
      <c r="N532" s="15"/>
      <c r="O532" s="15"/>
      <c r="P532" s="15"/>
      <c r="T532" s="15"/>
      <c r="U532" s="15"/>
      <c r="V532" s="15"/>
      <c r="Z532" s="15"/>
      <c r="AA532" s="15"/>
      <c r="AB532" s="15"/>
      <c r="AF532" s="15"/>
      <c r="AG532" s="15"/>
      <c r="AH532" s="15"/>
    </row>
    <row r="533" spans="2:34" ht="14.25" customHeight="1">
      <c r="B533" s="15"/>
      <c r="C533" s="15"/>
      <c r="D533" s="15"/>
      <c r="H533" s="15"/>
      <c r="I533" s="15"/>
      <c r="J533" s="15"/>
      <c r="N533" s="15"/>
      <c r="O533" s="15"/>
      <c r="P533" s="15"/>
      <c r="T533" s="15"/>
      <c r="U533" s="15"/>
      <c r="V533" s="15"/>
      <c r="Z533" s="15"/>
      <c r="AA533" s="15"/>
      <c r="AB533" s="15"/>
      <c r="AF533" s="15"/>
      <c r="AG533" s="15"/>
      <c r="AH533" s="15"/>
    </row>
    <row r="534" spans="2:34" ht="14.25" customHeight="1">
      <c r="B534" s="15"/>
      <c r="C534" s="15"/>
      <c r="D534" s="15"/>
      <c r="H534" s="15"/>
      <c r="I534" s="15"/>
      <c r="J534" s="15"/>
      <c r="N534" s="15"/>
      <c r="O534" s="15"/>
      <c r="P534" s="15"/>
      <c r="T534" s="15"/>
      <c r="U534" s="15"/>
      <c r="V534" s="15"/>
      <c r="Z534" s="15"/>
      <c r="AA534" s="15"/>
      <c r="AB534" s="15"/>
      <c r="AF534" s="15"/>
      <c r="AG534" s="15"/>
      <c r="AH534" s="15"/>
    </row>
    <row r="535" spans="2:34" ht="14.25" customHeight="1">
      <c r="B535" s="15"/>
      <c r="C535" s="15"/>
      <c r="D535" s="15"/>
      <c r="H535" s="15"/>
      <c r="I535" s="15"/>
      <c r="J535" s="15"/>
      <c r="N535" s="15"/>
      <c r="O535" s="15"/>
      <c r="P535" s="15"/>
      <c r="T535" s="15"/>
      <c r="U535" s="15"/>
      <c r="V535" s="15"/>
      <c r="Z535" s="15"/>
      <c r="AA535" s="15"/>
      <c r="AB535" s="15"/>
      <c r="AF535" s="15"/>
      <c r="AG535" s="15"/>
      <c r="AH535" s="15"/>
    </row>
    <row r="536" spans="2:34" ht="14.25" customHeight="1">
      <c r="B536" s="15"/>
      <c r="C536" s="15"/>
      <c r="D536" s="15"/>
      <c r="H536" s="15"/>
      <c r="I536" s="15"/>
      <c r="J536" s="15"/>
      <c r="N536" s="15"/>
      <c r="O536" s="15"/>
      <c r="P536" s="15"/>
      <c r="T536" s="15"/>
      <c r="U536" s="15"/>
      <c r="V536" s="15"/>
      <c r="Z536" s="15"/>
      <c r="AA536" s="15"/>
      <c r="AB536" s="15"/>
      <c r="AF536" s="15"/>
      <c r="AG536" s="15"/>
      <c r="AH536" s="15"/>
    </row>
    <row r="537" spans="2:34" ht="14.25" customHeight="1">
      <c r="B537" s="15"/>
      <c r="C537" s="15"/>
      <c r="D537" s="15"/>
      <c r="H537" s="15"/>
      <c r="I537" s="15"/>
      <c r="J537" s="15"/>
      <c r="N537" s="15"/>
      <c r="O537" s="15"/>
      <c r="P537" s="15"/>
      <c r="T537" s="15"/>
      <c r="U537" s="15"/>
      <c r="V537" s="15"/>
      <c r="Z537" s="15"/>
      <c r="AA537" s="15"/>
      <c r="AB537" s="15"/>
      <c r="AF537" s="15"/>
      <c r="AG537" s="15"/>
      <c r="AH537" s="15"/>
    </row>
    <row r="538" spans="2:34" ht="14.25" customHeight="1">
      <c r="B538" s="15"/>
      <c r="C538" s="15"/>
      <c r="D538" s="15"/>
      <c r="H538" s="15"/>
      <c r="I538" s="15"/>
      <c r="J538" s="15"/>
      <c r="N538" s="15"/>
      <c r="O538" s="15"/>
      <c r="P538" s="15"/>
      <c r="T538" s="15"/>
      <c r="U538" s="15"/>
      <c r="V538" s="15"/>
      <c r="Z538" s="15"/>
      <c r="AA538" s="15"/>
      <c r="AB538" s="15"/>
      <c r="AF538" s="15"/>
      <c r="AG538" s="15"/>
      <c r="AH538" s="15"/>
    </row>
    <row r="539" spans="2:34" ht="14.25" customHeight="1">
      <c r="B539" s="15"/>
      <c r="C539" s="15"/>
      <c r="D539" s="15"/>
      <c r="H539" s="15"/>
      <c r="I539" s="15"/>
      <c r="J539" s="15"/>
      <c r="N539" s="15"/>
      <c r="O539" s="15"/>
      <c r="P539" s="15"/>
      <c r="T539" s="15"/>
      <c r="U539" s="15"/>
      <c r="V539" s="15"/>
      <c r="Z539" s="15"/>
      <c r="AA539" s="15"/>
      <c r="AB539" s="15"/>
      <c r="AF539" s="15"/>
      <c r="AG539" s="15"/>
      <c r="AH539" s="15"/>
    </row>
    <row r="540" spans="2:34" ht="14.25" customHeight="1">
      <c r="B540" s="15"/>
      <c r="C540" s="15"/>
      <c r="D540" s="15"/>
      <c r="H540" s="15"/>
      <c r="I540" s="15"/>
      <c r="J540" s="15"/>
      <c r="N540" s="15"/>
      <c r="O540" s="15"/>
      <c r="P540" s="15"/>
      <c r="T540" s="15"/>
      <c r="U540" s="15"/>
      <c r="V540" s="15"/>
      <c r="Z540" s="15"/>
      <c r="AA540" s="15"/>
      <c r="AB540" s="15"/>
      <c r="AF540" s="15"/>
      <c r="AG540" s="15"/>
      <c r="AH540" s="15"/>
    </row>
    <row r="541" spans="2:34" ht="14.25" customHeight="1">
      <c r="B541" s="15"/>
      <c r="C541" s="15"/>
      <c r="D541" s="15"/>
      <c r="H541" s="15"/>
      <c r="I541" s="15"/>
      <c r="J541" s="15"/>
      <c r="N541" s="15"/>
      <c r="O541" s="15"/>
      <c r="P541" s="15"/>
      <c r="T541" s="15"/>
      <c r="U541" s="15"/>
      <c r="V541" s="15"/>
      <c r="Z541" s="15"/>
      <c r="AA541" s="15"/>
      <c r="AB541" s="15"/>
      <c r="AF541" s="15"/>
      <c r="AG541" s="15"/>
      <c r="AH541" s="15"/>
    </row>
    <row r="542" spans="2:34" ht="14.25" customHeight="1">
      <c r="B542" s="15"/>
      <c r="C542" s="15"/>
      <c r="D542" s="15"/>
      <c r="H542" s="15"/>
      <c r="I542" s="15"/>
      <c r="J542" s="15"/>
      <c r="N542" s="15"/>
      <c r="O542" s="15"/>
      <c r="P542" s="15"/>
      <c r="T542" s="15"/>
      <c r="U542" s="15"/>
      <c r="V542" s="15"/>
      <c r="Z542" s="15"/>
      <c r="AA542" s="15"/>
      <c r="AB542" s="15"/>
      <c r="AF542" s="15"/>
      <c r="AG542" s="15"/>
      <c r="AH542" s="15"/>
    </row>
    <row r="543" spans="2:34" ht="14.25" customHeight="1">
      <c r="B543" s="15"/>
      <c r="C543" s="15"/>
      <c r="D543" s="15"/>
      <c r="H543" s="15"/>
      <c r="I543" s="15"/>
      <c r="J543" s="15"/>
      <c r="N543" s="15"/>
      <c r="O543" s="15"/>
      <c r="P543" s="15"/>
      <c r="T543" s="15"/>
      <c r="U543" s="15"/>
      <c r="V543" s="15"/>
      <c r="Z543" s="15"/>
      <c r="AA543" s="15"/>
      <c r="AB543" s="15"/>
      <c r="AF543" s="15"/>
      <c r="AG543" s="15"/>
      <c r="AH543" s="15"/>
    </row>
    <row r="544" spans="2:34" ht="14.25" customHeight="1">
      <c r="B544" s="15"/>
      <c r="C544" s="15"/>
      <c r="D544" s="15"/>
      <c r="H544" s="15"/>
      <c r="I544" s="15"/>
      <c r="J544" s="15"/>
      <c r="N544" s="15"/>
      <c r="O544" s="15"/>
      <c r="P544" s="15"/>
      <c r="T544" s="15"/>
      <c r="U544" s="15"/>
      <c r="V544" s="15"/>
      <c r="Z544" s="15"/>
      <c r="AA544" s="15"/>
      <c r="AB544" s="15"/>
      <c r="AF544" s="15"/>
      <c r="AG544" s="15"/>
      <c r="AH544" s="15"/>
    </row>
    <row r="545" spans="2:34" ht="14.25" customHeight="1">
      <c r="B545" s="15"/>
      <c r="C545" s="15"/>
      <c r="D545" s="15"/>
      <c r="H545" s="15"/>
      <c r="I545" s="15"/>
      <c r="J545" s="15"/>
      <c r="N545" s="15"/>
      <c r="O545" s="15"/>
      <c r="P545" s="15"/>
      <c r="T545" s="15"/>
      <c r="U545" s="15"/>
      <c r="V545" s="15"/>
      <c r="Z545" s="15"/>
      <c r="AA545" s="15"/>
      <c r="AB545" s="15"/>
      <c r="AF545" s="15"/>
      <c r="AG545" s="15"/>
      <c r="AH545" s="15"/>
    </row>
    <row r="546" spans="2:34" ht="14.25" customHeight="1">
      <c r="B546" s="15"/>
      <c r="C546" s="15"/>
      <c r="D546" s="15"/>
      <c r="H546" s="15"/>
      <c r="I546" s="15"/>
      <c r="J546" s="15"/>
      <c r="N546" s="15"/>
      <c r="O546" s="15"/>
      <c r="P546" s="15"/>
      <c r="T546" s="15"/>
      <c r="U546" s="15"/>
      <c r="V546" s="15"/>
      <c r="Z546" s="15"/>
      <c r="AA546" s="15"/>
      <c r="AB546" s="15"/>
      <c r="AF546" s="15"/>
      <c r="AG546" s="15"/>
      <c r="AH546" s="15"/>
    </row>
    <row r="547" spans="2:34" ht="14.25" customHeight="1">
      <c r="B547" s="15"/>
      <c r="C547" s="15"/>
      <c r="D547" s="15"/>
      <c r="H547" s="15"/>
      <c r="I547" s="15"/>
      <c r="J547" s="15"/>
      <c r="N547" s="15"/>
      <c r="O547" s="15"/>
      <c r="P547" s="15"/>
      <c r="T547" s="15"/>
      <c r="U547" s="15"/>
      <c r="V547" s="15"/>
      <c r="Z547" s="15"/>
      <c r="AA547" s="15"/>
      <c r="AB547" s="15"/>
      <c r="AF547" s="15"/>
      <c r="AG547" s="15"/>
      <c r="AH547" s="15"/>
    </row>
    <row r="548" spans="2:34" ht="14.25" customHeight="1">
      <c r="B548" s="15"/>
      <c r="C548" s="15"/>
      <c r="D548" s="15"/>
      <c r="H548" s="15"/>
      <c r="I548" s="15"/>
      <c r="J548" s="15"/>
      <c r="N548" s="15"/>
      <c r="O548" s="15"/>
      <c r="P548" s="15"/>
      <c r="T548" s="15"/>
      <c r="U548" s="15"/>
      <c r="V548" s="15"/>
      <c r="Z548" s="15"/>
      <c r="AA548" s="15"/>
      <c r="AB548" s="15"/>
      <c r="AF548" s="15"/>
      <c r="AG548" s="15"/>
      <c r="AH548" s="15"/>
    </row>
    <row r="549" spans="2:34" ht="14.25" customHeight="1">
      <c r="B549" s="15"/>
      <c r="C549" s="15"/>
      <c r="D549" s="15"/>
      <c r="H549" s="15"/>
      <c r="I549" s="15"/>
      <c r="J549" s="15"/>
      <c r="N549" s="15"/>
      <c r="O549" s="15"/>
      <c r="P549" s="15"/>
      <c r="T549" s="15"/>
      <c r="U549" s="15"/>
      <c r="V549" s="15"/>
      <c r="Z549" s="15"/>
      <c r="AA549" s="15"/>
      <c r="AB549" s="15"/>
      <c r="AF549" s="15"/>
      <c r="AG549" s="15"/>
      <c r="AH549" s="15"/>
    </row>
    <row r="550" spans="2:34" ht="14.25" customHeight="1">
      <c r="B550" s="15"/>
      <c r="C550" s="15"/>
      <c r="D550" s="15"/>
      <c r="H550" s="15"/>
      <c r="I550" s="15"/>
      <c r="J550" s="15"/>
      <c r="N550" s="15"/>
      <c r="O550" s="15"/>
      <c r="P550" s="15"/>
      <c r="T550" s="15"/>
      <c r="U550" s="15"/>
      <c r="V550" s="15"/>
      <c r="Z550" s="15"/>
      <c r="AA550" s="15"/>
      <c r="AB550" s="15"/>
      <c r="AF550" s="15"/>
      <c r="AG550" s="15"/>
      <c r="AH550" s="15"/>
    </row>
    <row r="551" spans="2:34" ht="14.25" customHeight="1">
      <c r="B551" s="15"/>
      <c r="C551" s="15"/>
      <c r="D551" s="15"/>
      <c r="H551" s="15"/>
      <c r="I551" s="15"/>
      <c r="J551" s="15"/>
      <c r="N551" s="15"/>
      <c r="O551" s="15"/>
      <c r="P551" s="15"/>
      <c r="T551" s="15"/>
      <c r="U551" s="15"/>
      <c r="V551" s="15"/>
      <c r="Z551" s="15"/>
      <c r="AA551" s="15"/>
      <c r="AB551" s="15"/>
      <c r="AF551" s="15"/>
      <c r="AG551" s="15"/>
      <c r="AH551" s="15"/>
    </row>
    <row r="552" spans="2:34" ht="14.25" customHeight="1">
      <c r="B552" s="15"/>
      <c r="C552" s="15"/>
      <c r="D552" s="15"/>
      <c r="H552" s="15"/>
      <c r="I552" s="15"/>
      <c r="J552" s="15"/>
      <c r="N552" s="15"/>
      <c r="O552" s="15"/>
      <c r="P552" s="15"/>
      <c r="T552" s="15"/>
      <c r="U552" s="15"/>
      <c r="V552" s="15"/>
      <c r="Z552" s="15"/>
      <c r="AA552" s="15"/>
      <c r="AB552" s="15"/>
      <c r="AF552" s="15"/>
      <c r="AG552" s="15"/>
      <c r="AH552" s="15"/>
    </row>
    <row r="553" spans="2:34" ht="14.25" customHeight="1">
      <c r="B553" s="15"/>
      <c r="C553" s="15"/>
      <c r="D553" s="15"/>
      <c r="H553" s="15"/>
      <c r="I553" s="15"/>
      <c r="J553" s="15"/>
      <c r="N553" s="15"/>
      <c r="O553" s="15"/>
      <c r="P553" s="15"/>
      <c r="T553" s="15"/>
      <c r="U553" s="15"/>
      <c r="V553" s="15"/>
      <c r="Z553" s="15"/>
      <c r="AA553" s="15"/>
      <c r="AB553" s="15"/>
      <c r="AF553" s="15"/>
      <c r="AG553" s="15"/>
      <c r="AH553" s="15"/>
    </row>
    <row r="554" spans="2:34" ht="14.25" customHeight="1">
      <c r="B554" s="15"/>
      <c r="C554" s="15"/>
      <c r="D554" s="15"/>
      <c r="H554" s="15"/>
      <c r="I554" s="15"/>
      <c r="J554" s="15"/>
      <c r="N554" s="15"/>
      <c r="O554" s="15"/>
      <c r="P554" s="15"/>
      <c r="T554" s="15"/>
      <c r="U554" s="15"/>
      <c r="V554" s="15"/>
      <c r="Z554" s="15"/>
      <c r="AA554" s="15"/>
      <c r="AB554" s="15"/>
      <c r="AF554" s="15"/>
      <c r="AG554" s="15"/>
      <c r="AH554" s="15"/>
    </row>
    <row r="555" spans="2:34" ht="14.25" customHeight="1">
      <c r="B555" s="15"/>
      <c r="C555" s="15"/>
      <c r="D555" s="15"/>
      <c r="H555" s="15"/>
      <c r="I555" s="15"/>
      <c r="J555" s="15"/>
      <c r="N555" s="15"/>
      <c r="O555" s="15"/>
      <c r="P555" s="15"/>
      <c r="T555" s="15"/>
      <c r="U555" s="15"/>
      <c r="V555" s="15"/>
      <c r="Z555" s="15"/>
      <c r="AA555" s="15"/>
      <c r="AB555" s="15"/>
      <c r="AF555" s="15"/>
      <c r="AG555" s="15"/>
      <c r="AH555" s="15"/>
    </row>
    <row r="556" spans="2:34" ht="14.25" customHeight="1">
      <c r="B556" s="15"/>
      <c r="C556" s="15"/>
      <c r="D556" s="15"/>
      <c r="H556" s="15"/>
      <c r="I556" s="15"/>
      <c r="J556" s="15"/>
      <c r="N556" s="15"/>
      <c r="O556" s="15"/>
      <c r="P556" s="15"/>
      <c r="T556" s="15"/>
      <c r="U556" s="15"/>
      <c r="V556" s="15"/>
      <c r="Z556" s="15"/>
      <c r="AA556" s="15"/>
      <c r="AB556" s="15"/>
      <c r="AF556" s="15"/>
      <c r="AG556" s="15"/>
      <c r="AH556" s="15"/>
    </row>
    <row r="557" spans="2:34" ht="14.25" customHeight="1">
      <c r="B557" s="15"/>
      <c r="C557" s="15"/>
      <c r="D557" s="15"/>
      <c r="H557" s="15"/>
      <c r="I557" s="15"/>
      <c r="J557" s="15"/>
      <c r="N557" s="15"/>
      <c r="O557" s="15"/>
      <c r="P557" s="15"/>
      <c r="T557" s="15"/>
      <c r="U557" s="15"/>
      <c r="V557" s="15"/>
      <c r="Z557" s="15"/>
      <c r="AA557" s="15"/>
      <c r="AB557" s="15"/>
      <c r="AF557" s="15"/>
      <c r="AG557" s="15"/>
      <c r="AH557" s="15"/>
    </row>
    <row r="558" spans="2:34" ht="14.25" customHeight="1">
      <c r="B558" s="15"/>
      <c r="C558" s="15"/>
      <c r="D558" s="15"/>
      <c r="H558" s="15"/>
      <c r="I558" s="15"/>
      <c r="J558" s="15"/>
      <c r="N558" s="15"/>
      <c r="O558" s="15"/>
      <c r="P558" s="15"/>
      <c r="T558" s="15"/>
      <c r="U558" s="15"/>
      <c r="V558" s="15"/>
      <c r="Z558" s="15"/>
      <c r="AA558" s="15"/>
      <c r="AB558" s="15"/>
      <c r="AF558" s="15"/>
      <c r="AG558" s="15"/>
      <c r="AH558" s="15"/>
    </row>
    <row r="559" spans="2:34" ht="14.25" customHeight="1">
      <c r="B559" s="15"/>
      <c r="C559" s="15"/>
      <c r="D559" s="15"/>
      <c r="H559" s="15"/>
      <c r="I559" s="15"/>
      <c r="J559" s="15"/>
      <c r="N559" s="15"/>
      <c r="O559" s="15"/>
      <c r="P559" s="15"/>
      <c r="T559" s="15"/>
      <c r="U559" s="15"/>
      <c r="V559" s="15"/>
      <c r="Z559" s="15"/>
      <c r="AA559" s="15"/>
      <c r="AB559" s="15"/>
      <c r="AF559" s="15"/>
      <c r="AG559" s="15"/>
      <c r="AH559" s="15"/>
    </row>
    <row r="560" spans="2:34" ht="14.25" customHeight="1">
      <c r="B560" s="15"/>
      <c r="C560" s="15"/>
      <c r="D560" s="15"/>
      <c r="H560" s="15"/>
      <c r="I560" s="15"/>
      <c r="J560" s="15"/>
      <c r="N560" s="15"/>
      <c r="O560" s="15"/>
      <c r="P560" s="15"/>
      <c r="T560" s="15"/>
      <c r="U560" s="15"/>
      <c r="V560" s="15"/>
      <c r="Z560" s="15"/>
      <c r="AA560" s="15"/>
      <c r="AB560" s="15"/>
      <c r="AF560" s="15"/>
      <c r="AG560" s="15"/>
      <c r="AH560" s="15"/>
    </row>
    <row r="561" spans="2:34" ht="14.25" customHeight="1">
      <c r="B561" s="15"/>
      <c r="C561" s="15"/>
      <c r="D561" s="15"/>
      <c r="H561" s="15"/>
      <c r="I561" s="15"/>
      <c r="J561" s="15"/>
      <c r="N561" s="15"/>
      <c r="O561" s="15"/>
      <c r="P561" s="15"/>
      <c r="T561" s="15"/>
      <c r="U561" s="15"/>
      <c r="V561" s="15"/>
      <c r="Z561" s="15"/>
      <c r="AA561" s="15"/>
      <c r="AB561" s="15"/>
      <c r="AF561" s="15"/>
      <c r="AG561" s="15"/>
      <c r="AH561" s="15"/>
    </row>
    <row r="562" spans="2:34" ht="14.25" customHeight="1">
      <c r="B562" s="15"/>
      <c r="C562" s="15"/>
      <c r="D562" s="15"/>
      <c r="H562" s="15"/>
      <c r="I562" s="15"/>
      <c r="J562" s="15"/>
      <c r="N562" s="15"/>
      <c r="O562" s="15"/>
      <c r="P562" s="15"/>
      <c r="T562" s="15"/>
      <c r="U562" s="15"/>
      <c r="V562" s="15"/>
      <c r="Z562" s="15"/>
      <c r="AA562" s="15"/>
      <c r="AB562" s="15"/>
      <c r="AF562" s="15"/>
      <c r="AG562" s="15"/>
      <c r="AH562" s="15"/>
    </row>
    <row r="563" spans="2:34" ht="14.25" customHeight="1">
      <c r="B563" s="15"/>
      <c r="C563" s="15"/>
      <c r="D563" s="15"/>
      <c r="H563" s="15"/>
      <c r="I563" s="15"/>
      <c r="J563" s="15"/>
      <c r="N563" s="15"/>
      <c r="O563" s="15"/>
      <c r="P563" s="15"/>
      <c r="T563" s="15"/>
      <c r="U563" s="15"/>
      <c r="V563" s="15"/>
      <c r="Z563" s="15"/>
      <c r="AA563" s="15"/>
      <c r="AB563" s="15"/>
      <c r="AF563" s="15"/>
      <c r="AG563" s="15"/>
      <c r="AH563" s="15"/>
    </row>
    <row r="564" spans="2:34" ht="14.25" customHeight="1">
      <c r="B564" s="15"/>
      <c r="C564" s="15"/>
      <c r="D564" s="15"/>
      <c r="H564" s="15"/>
      <c r="I564" s="15"/>
      <c r="J564" s="15"/>
      <c r="N564" s="15"/>
      <c r="O564" s="15"/>
      <c r="P564" s="15"/>
      <c r="T564" s="15"/>
      <c r="U564" s="15"/>
      <c r="V564" s="15"/>
      <c r="Z564" s="15"/>
      <c r="AA564" s="15"/>
      <c r="AB564" s="15"/>
      <c r="AF564" s="15"/>
      <c r="AG564" s="15"/>
      <c r="AH564" s="15"/>
    </row>
    <row r="565" spans="2:34" ht="14.25" customHeight="1">
      <c r="B565" s="15"/>
      <c r="C565" s="15"/>
      <c r="D565" s="15"/>
      <c r="H565" s="15"/>
      <c r="I565" s="15"/>
      <c r="J565" s="15"/>
      <c r="N565" s="15"/>
      <c r="O565" s="15"/>
      <c r="P565" s="15"/>
      <c r="T565" s="15"/>
      <c r="U565" s="15"/>
      <c r="V565" s="15"/>
      <c r="Z565" s="15"/>
      <c r="AA565" s="15"/>
      <c r="AB565" s="15"/>
      <c r="AF565" s="15"/>
      <c r="AG565" s="15"/>
      <c r="AH565" s="15"/>
    </row>
    <row r="566" spans="2:34" ht="14.25" customHeight="1">
      <c r="B566" s="15"/>
      <c r="C566" s="15"/>
      <c r="D566" s="15"/>
      <c r="H566" s="15"/>
      <c r="I566" s="15"/>
      <c r="J566" s="15"/>
      <c r="N566" s="15"/>
      <c r="O566" s="15"/>
      <c r="P566" s="15"/>
      <c r="T566" s="15"/>
      <c r="U566" s="15"/>
      <c r="V566" s="15"/>
      <c r="Z566" s="15"/>
      <c r="AA566" s="15"/>
      <c r="AB566" s="15"/>
      <c r="AF566" s="15"/>
      <c r="AG566" s="15"/>
      <c r="AH566" s="15"/>
    </row>
    <row r="567" spans="2:34" ht="14.25" customHeight="1">
      <c r="B567" s="15"/>
      <c r="C567" s="15"/>
      <c r="D567" s="15"/>
      <c r="H567" s="15"/>
      <c r="I567" s="15"/>
      <c r="J567" s="15"/>
      <c r="N567" s="15"/>
      <c r="O567" s="15"/>
      <c r="P567" s="15"/>
      <c r="T567" s="15"/>
      <c r="U567" s="15"/>
      <c r="V567" s="15"/>
      <c r="Z567" s="15"/>
      <c r="AA567" s="15"/>
      <c r="AB567" s="15"/>
      <c r="AF567" s="15"/>
      <c r="AG567" s="15"/>
      <c r="AH567" s="15"/>
    </row>
    <row r="568" spans="2:34" ht="14.25" customHeight="1">
      <c r="B568" s="15"/>
      <c r="C568" s="15"/>
      <c r="D568" s="15"/>
      <c r="H568" s="15"/>
      <c r="I568" s="15"/>
      <c r="J568" s="15"/>
      <c r="N568" s="15"/>
      <c r="O568" s="15"/>
      <c r="P568" s="15"/>
      <c r="T568" s="15"/>
      <c r="U568" s="15"/>
      <c r="V568" s="15"/>
      <c r="Z568" s="15"/>
      <c r="AA568" s="15"/>
      <c r="AB568" s="15"/>
      <c r="AF568" s="15"/>
      <c r="AG568" s="15"/>
      <c r="AH568" s="15"/>
    </row>
    <row r="569" spans="2:34" ht="14.25" customHeight="1">
      <c r="B569" s="15"/>
      <c r="C569" s="15"/>
      <c r="D569" s="15"/>
      <c r="H569" s="15"/>
      <c r="I569" s="15"/>
      <c r="J569" s="15"/>
      <c r="N569" s="15"/>
      <c r="O569" s="15"/>
      <c r="P569" s="15"/>
      <c r="T569" s="15"/>
      <c r="U569" s="15"/>
      <c r="V569" s="15"/>
      <c r="Z569" s="15"/>
      <c r="AA569" s="15"/>
      <c r="AB569" s="15"/>
      <c r="AF569" s="15"/>
      <c r="AG569" s="15"/>
      <c r="AH569" s="15"/>
    </row>
    <row r="570" spans="2:34" ht="14.25" customHeight="1">
      <c r="B570" s="15"/>
      <c r="C570" s="15"/>
      <c r="D570" s="15"/>
      <c r="H570" s="15"/>
      <c r="I570" s="15"/>
      <c r="J570" s="15"/>
      <c r="N570" s="15"/>
      <c r="O570" s="15"/>
      <c r="P570" s="15"/>
      <c r="T570" s="15"/>
      <c r="U570" s="15"/>
      <c r="V570" s="15"/>
      <c r="Z570" s="15"/>
      <c r="AA570" s="15"/>
      <c r="AB570" s="15"/>
      <c r="AF570" s="15"/>
      <c r="AG570" s="15"/>
      <c r="AH570" s="15"/>
    </row>
    <row r="571" spans="2:34" ht="14.25" customHeight="1">
      <c r="B571" s="15"/>
      <c r="C571" s="15"/>
      <c r="D571" s="15"/>
      <c r="H571" s="15"/>
      <c r="I571" s="15"/>
      <c r="J571" s="15"/>
      <c r="N571" s="15"/>
      <c r="O571" s="15"/>
      <c r="P571" s="15"/>
      <c r="T571" s="15"/>
      <c r="U571" s="15"/>
      <c r="V571" s="15"/>
      <c r="Z571" s="15"/>
      <c r="AA571" s="15"/>
      <c r="AB571" s="15"/>
      <c r="AF571" s="15"/>
      <c r="AG571" s="15"/>
      <c r="AH571" s="15"/>
    </row>
    <row r="572" spans="2:34" ht="14.25" customHeight="1">
      <c r="B572" s="15"/>
      <c r="C572" s="15"/>
      <c r="D572" s="15"/>
      <c r="H572" s="15"/>
      <c r="I572" s="15"/>
      <c r="J572" s="15"/>
      <c r="N572" s="15"/>
      <c r="O572" s="15"/>
      <c r="P572" s="15"/>
      <c r="T572" s="15"/>
      <c r="U572" s="15"/>
      <c r="V572" s="15"/>
      <c r="Z572" s="15"/>
      <c r="AA572" s="15"/>
      <c r="AB572" s="15"/>
      <c r="AF572" s="15"/>
      <c r="AG572" s="15"/>
      <c r="AH572" s="15"/>
    </row>
    <row r="573" spans="2:34" ht="14.25" customHeight="1">
      <c r="B573" s="15"/>
      <c r="C573" s="15"/>
      <c r="D573" s="15"/>
      <c r="H573" s="15"/>
      <c r="I573" s="15"/>
      <c r="J573" s="15"/>
      <c r="N573" s="15"/>
      <c r="O573" s="15"/>
      <c r="P573" s="15"/>
      <c r="T573" s="15"/>
      <c r="U573" s="15"/>
      <c r="V573" s="15"/>
      <c r="Z573" s="15"/>
      <c r="AA573" s="15"/>
      <c r="AB573" s="15"/>
      <c r="AF573" s="15"/>
      <c r="AG573" s="15"/>
      <c r="AH573" s="15"/>
    </row>
    <row r="574" spans="2:34" ht="14.25" customHeight="1">
      <c r="B574" s="15"/>
      <c r="C574" s="15"/>
      <c r="D574" s="15"/>
      <c r="H574" s="15"/>
      <c r="I574" s="15"/>
      <c r="J574" s="15"/>
      <c r="N574" s="15"/>
      <c r="O574" s="15"/>
      <c r="P574" s="15"/>
      <c r="T574" s="15"/>
      <c r="U574" s="15"/>
      <c r="V574" s="15"/>
      <c r="Z574" s="15"/>
      <c r="AA574" s="15"/>
      <c r="AB574" s="15"/>
      <c r="AF574" s="15"/>
      <c r="AG574" s="15"/>
      <c r="AH574" s="15"/>
    </row>
    <row r="575" spans="2:34" ht="14.25" customHeight="1">
      <c r="B575" s="15"/>
      <c r="C575" s="15"/>
      <c r="D575" s="15"/>
      <c r="H575" s="15"/>
      <c r="I575" s="15"/>
      <c r="J575" s="15"/>
      <c r="N575" s="15"/>
      <c r="O575" s="15"/>
      <c r="P575" s="15"/>
      <c r="T575" s="15"/>
      <c r="U575" s="15"/>
      <c r="V575" s="15"/>
      <c r="Z575" s="15"/>
      <c r="AA575" s="15"/>
      <c r="AB575" s="15"/>
      <c r="AF575" s="15"/>
      <c r="AG575" s="15"/>
      <c r="AH575" s="15"/>
    </row>
    <row r="576" spans="2:34" ht="14.25" customHeight="1">
      <c r="B576" s="15"/>
      <c r="C576" s="15"/>
      <c r="D576" s="15"/>
      <c r="H576" s="15"/>
      <c r="I576" s="15"/>
      <c r="J576" s="15"/>
      <c r="N576" s="15"/>
      <c r="O576" s="15"/>
      <c r="P576" s="15"/>
      <c r="T576" s="15"/>
      <c r="U576" s="15"/>
      <c r="V576" s="15"/>
      <c r="Z576" s="15"/>
      <c r="AA576" s="15"/>
      <c r="AB576" s="15"/>
      <c r="AF576" s="15"/>
      <c r="AG576" s="15"/>
      <c r="AH576" s="15"/>
    </row>
    <row r="577" spans="2:34" ht="14.25" customHeight="1">
      <c r="B577" s="15"/>
      <c r="C577" s="15"/>
      <c r="D577" s="15"/>
      <c r="H577" s="15"/>
      <c r="I577" s="15"/>
      <c r="J577" s="15"/>
      <c r="N577" s="15"/>
      <c r="O577" s="15"/>
      <c r="P577" s="15"/>
      <c r="T577" s="15"/>
      <c r="U577" s="15"/>
      <c r="V577" s="15"/>
      <c r="Z577" s="15"/>
      <c r="AA577" s="15"/>
      <c r="AB577" s="15"/>
      <c r="AF577" s="15"/>
      <c r="AG577" s="15"/>
      <c r="AH577" s="15"/>
    </row>
    <row r="578" spans="2:34" ht="14.25" customHeight="1">
      <c r="B578" s="15"/>
      <c r="C578" s="15"/>
      <c r="D578" s="15"/>
      <c r="H578" s="15"/>
      <c r="I578" s="15"/>
      <c r="J578" s="15"/>
      <c r="N578" s="15"/>
      <c r="O578" s="15"/>
      <c r="P578" s="15"/>
      <c r="T578" s="15"/>
      <c r="U578" s="15"/>
      <c r="V578" s="15"/>
      <c r="Z578" s="15"/>
      <c r="AA578" s="15"/>
      <c r="AB578" s="15"/>
      <c r="AF578" s="15"/>
      <c r="AG578" s="15"/>
      <c r="AH578" s="15"/>
    </row>
    <row r="579" spans="2:34" ht="14.25" customHeight="1">
      <c r="B579" s="15"/>
      <c r="C579" s="15"/>
      <c r="D579" s="15"/>
      <c r="H579" s="15"/>
      <c r="I579" s="15"/>
      <c r="J579" s="15"/>
      <c r="N579" s="15"/>
      <c r="O579" s="15"/>
      <c r="P579" s="15"/>
      <c r="T579" s="15"/>
      <c r="U579" s="15"/>
      <c r="V579" s="15"/>
      <c r="Z579" s="15"/>
      <c r="AA579" s="15"/>
      <c r="AB579" s="15"/>
      <c r="AF579" s="15"/>
      <c r="AG579" s="15"/>
      <c r="AH579" s="15"/>
    </row>
    <row r="580" spans="2:34" ht="14.25" customHeight="1">
      <c r="B580" s="15"/>
      <c r="C580" s="15"/>
      <c r="D580" s="15"/>
      <c r="H580" s="15"/>
      <c r="I580" s="15"/>
      <c r="J580" s="15"/>
      <c r="N580" s="15"/>
      <c r="O580" s="15"/>
      <c r="P580" s="15"/>
      <c r="T580" s="15"/>
      <c r="U580" s="15"/>
      <c r="V580" s="15"/>
      <c r="Z580" s="15"/>
      <c r="AA580" s="15"/>
      <c r="AB580" s="15"/>
      <c r="AF580" s="15"/>
      <c r="AG580" s="15"/>
      <c r="AH580" s="15"/>
    </row>
    <row r="581" spans="2:34" ht="14.25" customHeight="1">
      <c r="B581" s="15"/>
      <c r="C581" s="15"/>
      <c r="D581" s="15"/>
      <c r="H581" s="15"/>
      <c r="I581" s="15"/>
      <c r="J581" s="15"/>
      <c r="N581" s="15"/>
      <c r="O581" s="15"/>
      <c r="P581" s="15"/>
      <c r="T581" s="15"/>
      <c r="U581" s="15"/>
      <c r="V581" s="15"/>
      <c r="Z581" s="15"/>
      <c r="AA581" s="15"/>
      <c r="AB581" s="15"/>
      <c r="AF581" s="15"/>
      <c r="AG581" s="15"/>
      <c r="AH581" s="15"/>
    </row>
    <row r="582" spans="2:34" ht="14.25" customHeight="1">
      <c r="B582" s="15"/>
      <c r="C582" s="15"/>
      <c r="D582" s="15"/>
      <c r="H582" s="15"/>
      <c r="I582" s="15"/>
      <c r="J582" s="15"/>
      <c r="N582" s="15"/>
      <c r="O582" s="15"/>
      <c r="P582" s="15"/>
      <c r="T582" s="15"/>
      <c r="U582" s="15"/>
      <c r="V582" s="15"/>
      <c r="Z582" s="15"/>
      <c r="AA582" s="15"/>
      <c r="AB582" s="15"/>
      <c r="AF582" s="15"/>
      <c r="AG582" s="15"/>
      <c r="AH582" s="15"/>
    </row>
    <row r="583" spans="2:34" ht="14.25" customHeight="1">
      <c r="B583" s="15"/>
      <c r="C583" s="15"/>
      <c r="D583" s="15"/>
      <c r="H583" s="15"/>
      <c r="I583" s="15"/>
      <c r="J583" s="15"/>
      <c r="N583" s="15"/>
      <c r="O583" s="15"/>
      <c r="P583" s="15"/>
      <c r="T583" s="15"/>
      <c r="U583" s="15"/>
      <c r="V583" s="15"/>
      <c r="Z583" s="15"/>
      <c r="AA583" s="15"/>
      <c r="AB583" s="15"/>
      <c r="AF583" s="15"/>
      <c r="AG583" s="15"/>
      <c r="AH583" s="15"/>
    </row>
    <row r="584" spans="2:34" ht="14.25" customHeight="1">
      <c r="B584" s="15"/>
      <c r="C584" s="15"/>
      <c r="D584" s="15"/>
      <c r="H584" s="15"/>
      <c r="I584" s="15"/>
      <c r="J584" s="15"/>
      <c r="N584" s="15"/>
      <c r="O584" s="15"/>
      <c r="P584" s="15"/>
      <c r="T584" s="15"/>
      <c r="U584" s="15"/>
      <c r="V584" s="15"/>
      <c r="Z584" s="15"/>
      <c r="AA584" s="15"/>
      <c r="AB584" s="15"/>
      <c r="AF584" s="15"/>
      <c r="AG584" s="15"/>
      <c r="AH584" s="15"/>
    </row>
    <row r="585" spans="2:34" ht="14.25" customHeight="1">
      <c r="B585" s="15"/>
      <c r="C585" s="15"/>
      <c r="D585" s="15"/>
      <c r="H585" s="15"/>
      <c r="I585" s="15"/>
      <c r="J585" s="15"/>
      <c r="N585" s="15"/>
      <c r="O585" s="15"/>
      <c r="P585" s="15"/>
      <c r="T585" s="15"/>
      <c r="U585" s="15"/>
      <c r="V585" s="15"/>
      <c r="Z585" s="15"/>
      <c r="AA585" s="15"/>
      <c r="AB585" s="15"/>
      <c r="AF585" s="15"/>
      <c r="AG585" s="15"/>
      <c r="AH585" s="15"/>
    </row>
    <row r="586" spans="2:34" ht="14.25" customHeight="1">
      <c r="B586" s="15"/>
      <c r="C586" s="15"/>
      <c r="D586" s="15"/>
      <c r="H586" s="15"/>
      <c r="I586" s="15"/>
      <c r="J586" s="15"/>
      <c r="N586" s="15"/>
      <c r="O586" s="15"/>
      <c r="P586" s="15"/>
      <c r="T586" s="15"/>
      <c r="U586" s="15"/>
      <c r="V586" s="15"/>
      <c r="Z586" s="15"/>
      <c r="AA586" s="15"/>
      <c r="AB586" s="15"/>
      <c r="AF586" s="15"/>
      <c r="AG586" s="15"/>
      <c r="AH586" s="15"/>
    </row>
    <row r="587" spans="2:34" ht="14.25" customHeight="1">
      <c r="B587" s="15"/>
      <c r="C587" s="15"/>
      <c r="D587" s="15"/>
      <c r="H587" s="15"/>
      <c r="I587" s="15"/>
      <c r="J587" s="15"/>
      <c r="N587" s="15"/>
      <c r="O587" s="15"/>
      <c r="P587" s="15"/>
      <c r="T587" s="15"/>
      <c r="U587" s="15"/>
      <c r="V587" s="15"/>
      <c r="Z587" s="15"/>
      <c r="AA587" s="15"/>
      <c r="AB587" s="15"/>
      <c r="AF587" s="15"/>
      <c r="AG587" s="15"/>
      <c r="AH587" s="15"/>
    </row>
    <row r="588" spans="2:34" ht="14.25" customHeight="1">
      <c r="B588" s="15"/>
      <c r="C588" s="15"/>
      <c r="D588" s="15"/>
      <c r="H588" s="15"/>
      <c r="I588" s="15"/>
      <c r="J588" s="15"/>
      <c r="N588" s="15"/>
      <c r="O588" s="15"/>
      <c r="P588" s="15"/>
      <c r="T588" s="15"/>
      <c r="U588" s="15"/>
      <c r="V588" s="15"/>
      <c r="Z588" s="15"/>
      <c r="AA588" s="15"/>
      <c r="AB588" s="15"/>
      <c r="AF588" s="15"/>
      <c r="AG588" s="15"/>
      <c r="AH588" s="15"/>
    </row>
    <row r="589" spans="2:34" ht="14.25" customHeight="1">
      <c r="B589" s="15"/>
      <c r="C589" s="15"/>
      <c r="D589" s="15"/>
      <c r="H589" s="15"/>
      <c r="I589" s="15"/>
      <c r="J589" s="15"/>
      <c r="N589" s="15"/>
      <c r="O589" s="15"/>
      <c r="P589" s="15"/>
      <c r="T589" s="15"/>
      <c r="U589" s="15"/>
      <c r="V589" s="15"/>
      <c r="Z589" s="15"/>
      <c r="AA589" s="15"/>
      <c r="AB589" s="15"/>
      <c r="AF589" s="15"/>
      <c r="AG589" s="15"/>
      <c r="AH589" s="15"/>
    </row>
    <row r="590" spans="2:34" ht="14.25" customHeight="1">
      <c r="B590" s="15"/>
      <c r="C590" s="15"/>
      <c r="D590" s="15"/>
      <c r="H590" s="15"/>
      <c r="I590" s="15"/>
      <c r="J590" s="15"/>
      <c r="N590" s="15"/>
      <c r="O590" s="15"/>
      <c r="P590" s="15"/>
      <c r="T590" s="15"/>
      <c r="U590" s="15"/>
      <c r="V590" s="15"/>
      <c r="Z590" s="15"/>
      <c r="AA590" s="15"/>
      <c r="AB590" s="15"/>
      <c r="AF590" s="15"/>
      <c r="AG590" s="15"/>
      <c r="AH590" s="15"/>
    </row>
    <row r="591" spans="2:34" ht="14.25" customHeight="1">
      <c r="B591" s="15"/>
      <c r="C591" s="15"/>
      <c r="D591" s="15"/>
      <c r="H591" s="15"/>
      <c r="I591" s="15"/>
      <c r="J591" s="15"/>
      <c r="N591" s="15"/>
      <c r="O591" s="15"/>
      <c r="P591" s="15"/>
      <c r="T591" s="15"/>
      <c r="U591" s="15"/>
      <c r="V591" s="15"/>
      <c r="Z591" s="15"/>
      <c r="AA591" s="15"/>
      <c r="AB591" s="15"/>
      <c r="AF591" s="15"/>
      <c r="AG591" s="15"/>
      <c r="AH591" s="15"/>
    </row>
    <row r="592" spans="2:34" ht="14.25" customHeight="1">
      <c r="B592" s="15"/>
      <c r="C592" s="15"/>
      <c r="D592" s="15"/>
      <c r="H592" s="15"/>
      <c r="I592" s="15"/>
      <c r="J592" s="15"/>
      <c r="N592" s="15"/>
      <c r="O592" s="15"/>
      <c r="P592" s="15"/>
      <c r="T592" s="15"/>
      <c r="U592" s="15"/>
      <c r="V592" s="15"/>
      <c r="Z592" s="15"/>
      <c r="AA592" s="15"/>
      <c r="AB592" s="15"/>
      <c r="AF592" s="15"/>
      <c r="AG592" s="15"/>
      <c r="AH592" s="15"/>
    </row>
    <row r="593" spans="2:34" ht="14.25" customHeight="1">
      <c r="B593" s="15"/>
      <c r="C593" s="15"/>
      <c r="D593" s="15"/>
      <c r="H593" s="15"/>
      <c r="I593" s="15"/>
      <c r="J593" s="15"/>
      <c r="N593" s="15"/>
      <c r="O593" s="15"/>
      <c r="P593" s="15"/>
      <c r="T593" s="15"/>
      <c r="U593" s="15"/>
      <c r="V593" s="15"/>
      <c r="Z593" s="15"/>
      <c r="AA593" s="15"/>
      <c r="AB593" s="15"/>
      <c r="AF593" s="15"/>
      <c r="AG593" s="15"/>
      <c r="AH593" s="15"/>
    </row>
    <row r="594" spans="2:34" ht="14.25" customHeight="1">
      <c r="B594" s="15"/>
      <c r="C594" s="15"/>
      <c r="D594" s="15"/>
      <c r="H594" s="15"/>
      <c r="I594" s="15"/>
      <c r="J594" s="15"/>
      <c r="N594" s="15"/>
      <c r="O594" s="15"/>
      <c r="P594" s="15"/>
      <c r="T594" s="15"/>
      <c r="U594" s="15"/>
      <c r="V594" s="15"/>
      <c r="Z594" s="15"/>
      <c r="AA594" s="15"/>
      <c r="AB594" s="15"/>
      <c r="AF594" s="15"/>
      <c r="AG594" s="15"/>
      <c r="AH594" s="15"/>
    </row>
    <row r="595" spans="2:34" ht="14.25" customHeight="1">
      <c r="B595" s="15"/>
      <c r="C595" s="15"/>
      <c r="D595" s="15"/>
      <c r="H595" s="15"/>
      <c r="I595" s="15"/>
      <c r="J595" s="15"/>
      <c r="N595" s="15"/>
      <c r="O595" s="15"/>
      <c r="P595" s="15"/>
      <c r="T595" s="15"/>
      <c r="U595" s="15"/>
      <c r="V595" s="15"/>
      <c r="Z595" s="15"/>
      <c r="AA595" s="15"/>
      <c r="AB595" s="15"/>
      <c r="AF595" s="15"/>
      <c r="AG595" s="15"/>
      <c r="AH595" s="15"/>
    </row>
    <row r="596" spans="2:34" ht="14.25" customHeight="1">
      <c r="B596" s="15"/>
      <c r="C596" s="15"/>
      <c r="D596" s="15"/>
      <c r="H596" s="15"/>
      <c r="I596" s="15"/>
      <c r="J596" s="15"/>
      <c r="N596" s="15"/>
      <c r="O596" s="15"/>
      <c r="P596" s="15"/>
      <c r="T596" s="15"/>
      <c r="U596" s="15"/>
      <c r="V596" s="15"/>
      <c r="Z596" s="15"/>
      <c r="AA596" s="15"/>
      <c r="AB596" s="15"/>
      <c r="AF596" s="15"/>
      <c r="AG596" s="15"/>
      <c r="AH596" s="15"/>
    </row>
    <row r="597" spans="2:34" ht="14.25" customHeight="1">
      <c r="B597" s="15"/>
      <c r="C597" s="15"/>
      <c r="D597" s="15"/>
      <c r="H597" s="15"/>
      <c r="I597" s="15"/>
      <c r="J597" s="15"/>
      <c r="N597" s="15"/>
      <c r="O597" s="15"/>
      <c r="P597" s="15"/>
      <c r="T597" s="15"/>
      <c r="U597" s="15"/>
      <c r="V597" s="15"/>
      <c r="Z597" s="15"/>
      <c r="AA597" s="15"/>
      <c r="AB597" s="15"/>
      <c r="AF597" s="15"/>
      <c r="AG597" s="15"/>
      <c r="AH597" s="15"/>
    </row>
    <row r="598" spans="2:34" ht="14.25" customHeight="1">
      <c r="B598" s="15"/>
      <c r="C598" s="15"/>
      <c r="D598" s="15"/>
      <c r="H598" s="15"/>
      <c r="I598" s="15"/>
      <c r="J598" s="15"/>
      <c r="N598" s="15"/>
      <c r="O598" s="15"/>
      <c r="P598" s="15"/>
      <c r="T598" s="15"/>
      <c r="U598" s="15"/>
      <c r="V598" s="15"/>
      <c r="Z598" s="15"/>
      <c r="AA598" s="15"/>
      <c r="AB598" s="15"/>
      <c r="AF598" s="15"/>
      <c r="AG598" s="15"/>
      <c r="AH598" s="15"/>
    </row>
    <row r="599" spans="2:34" ht="14.25" customHeight="1">
      <c r="B599" s="15"/>
      <c r="C599" s="15"/>
      <c r="D599" s="15"/>
      <c r="H599" s="15"/>
      <c r="I599" s="15"/>
      <c r="J599" s="15"/>
      <c r="N599" s="15"/>
      <c r="O599" s="15"/>
      <c r="P599" s="15"/>
      <c r="T599" s="15"/>
      <c r="U599" s="15"/>
      <c r="V599" s="15"/>
      <c r="Z599" s="15"/>
      <c r="AA599" s="15"/>
      <c r="AB599" s="15"/>
      <c r="AF599" s="15"/>
      <c r="AG599" s="15"/>
      <c r="AH599" s="15"/>
    </row>
    <row r="600" spans="2:34" ht="14.25" customHeight="1">
      <c r="B600" s="15"/>
      <c r="C600" s="15"/>
      <c r="D600" s="15"/>
      <c r="H600" s="15"/>
      <c r="I600" s="15"/>
      <c r="J600" s="15"/>
      <c r="N600" s="15"/>
      <c r="O600" s="15"/>
      <c r="P600" s="15"/>
      <c r="T600" s="15"/>
      <c r="U600" s="15"/>
      <c r="V600" s="15"/>
      <c r="Z600" s="15"/>
      <c r="AA600" s="15"/>
      <c r="AB600" s="15"/>
      <c r="AF600" s="15"/>
      <c r="AG600" s="15"/>
      <c r="AH600" s="15"/>
    </row>
    <row r="601" spans="2:34" ht="14.25" customHeight="1">
      <c r="B601" s="15"/>
      <c r="C601" s="15"/>
      <c r="D601" s="15"/>
      <c r="H601" s="15"/>
      <c r="I601" s="15"/>
      <c r="J601" s="15"/>
      <c r="N601" s="15"/>
      <c r="O601" s="15"/>
      <c r="P601" s="15"/>
      <c r="T601" s="15"/>
      <c r="U601" s="15"/>
      <c r="V601" s="15"/>
      <c r="Z601" s="15"/>
      <c r="AA601" s="15"/>
      <c r="AB601" s="15"/>
      <c r="AF601" s="15"/>
      <c r="AG601" s="15"/>
      <c r="AH601" s="15"/>
    </row>
    <row r="602" spans="2:34" ht="14.25" customHeight="1">
      <c r="B602" s="15"/>
      <c r="C602" s="15"/>
      <c r="D602" s="15"/>
      <c r="H602" s="15"/>
      <c r="I602" s="15"/>
      <c r="J602" s="15"/>
      <c r="N602" s="15"/>
      <c r="O602" s="15"/>
      <c r="P602" s="15"/>
      <c r="T602" s="15"/>
      <c r="U602" s="15"/>
      <c r="V602" s="15"/>
      <c r="Z602" s="15"/>
      <c r="AA602" s="15"/>
      <c r="AB602" s="15"/>
      <c r="AF602" s="15"/>
      <c r="AG602" s="15"/>
      <c r="AH602" s="15"/>
    </row>
    <row r="603" spans="2:34" ht="14.25" customHeight="1">
      <c r="B603" s="15"/>
      <c r="C603" s="15"/>
      <c r="D603" s="15"/>
      <c r="H603" s="15"/>
      <c r="I603" s="15"/>
      <c r="J603" s="15"/>
      <c r="N603" s="15"/>
      <c r="O603" s="15"/>
      <c r="P603" s="15"/>
      <c r="T603" s="15"/>
      <c r="U603" s="15"/>
      <c r="V603" s="15"/>
      <c r="Z603" s="15"/>
      <c r="AA603" s="15"/>
      <c r="AB603" s="15"/>
      <c r="AF603" s="15"/>
      <c r="AG603" s="15"/>
      <c r="AH603" s="15"/>
    </row>
    <row r="604" spans="2:34" ht="14.25" customHeight="1">
      <c r="B604" s="15"/>
      <c r="C604" s="15"/>
      <c r="D604" s="15"/>
      <c r="H604" s="15"/>
      <c r="I604" s="15"/>
      <c r="J604" s="15"/>
      <c r="N604" s="15"/>
      <c r="O604" s="15"/>
      <c r="P604" s="15"/>
      <c r="T604" s="15"/>
      <c r="U604" s="15"/>
      <c r="V604" s="15"/>
      <c r="Z604" s="15"/>
      <c r="AA604" s="15"/>
      <c r="AB604" s="15"/>
      <c r="AF604" s="15"/>
      <c r="AG604" s="15"/>
      <c r="AH604" s="15"/>
    </row>
    <row r="605" spans="2:34" ht="14.25" customHeight="1">
      <c r="B605" s="15"/>
      <c r="C605" s="15"/>
      <c r="D605" s="15"/>
      <c r="H605" s="15"/>
      <c r="I605" s="15"/>
      <c r="J605" s="15"/>
      <c r="N605" s="15"/>
      <c r="O605" s="15"/>
      <c r="P605" s="15"/>
      <c r="T605" s="15"/>
      <c r="U605" s="15"/>
      <c r="V605" s="15"/>
      <c r="Z605" s="15"/>
      <c r="AA605" s="15"/>
      <c r="AB605" s="15"/>
      <c r="AF605" s="15"/>
      <c r="AG605" s="15"/>
      <c r="AH605" s="15"/>
    </row>
    <row r="606" spans="2:34" ht="14.25" customHeight="1">
      <c r="B606" s="15"/>
      <c r="C606" s="15"/>
      <c r="D606" s="15"/>
      <c r="H606" s="15"/>
      <c r="I606" s="15"/>
      <c r="J606" s="15"/>
      <c r="N606" s="15"/>
      <c r="O606" s="15"/>
      <c r="P606" s="15"/>
      <c r="T606" s="15"/>
      <c r="U606" s="15"/>
      <c r="V606" s="15"/>
      <c r="Z606" s="15"/>
      <c r="AA606" s="15"/>
      <c r="AB606" s="15"/>
      <c r="AF606" s="15"/>
      <c r="AG606" s="15"/>
      <c r="AH606" s="15"/>
    </row>
    <row r="607" spans="2:34" ht="14.25" customHeight="1">
      <c r="B607" s="15"/>
      <c r="C607" s="15"/>
      <c r="D607" s="15"/>
      <c r="H607" s="15"/>
      <c r="I607" s="15"/>
      <c r="J607" s="15"/>
      <c r="N607" s="15"/>
      <c r="O607" s="15"/>
      <c r="P607" s="15"/>
      <c r="T607" s="15"/>
      <c r="U607" s="15"/>
      <c r="V607" s="15"/>
      <c r="Z607" s="15"/>
      <c r="AA607" s="15"/>
      <c r="AB607" s="15"/>
      <c r="AF607" s="15"/>
      <c r="AG607" s="15"/>
      <c r="AH607" s="15"/>
    </row>
    <row r="608" spans="2:34" ht="14.25" customHeight="1">
      <c r="B608" s="15"/>
      <c r="C608" s="15"/>
      <c r="D608" s="15"/>
      <c r="H608" s="15"/>
      <c r="I608" s="15"/>
      <c r="J608" s="15"/>
      <c r="N608" s="15"/>
      <c r="O608" s="15"/>
      <c r="P608" s="15"/>
      <c r="T608" s="15"/>
      <c r="U608" s="15"/>
      <c r="V608" s="15"/>
      <c r="Z608" s="15"/>
      <c r="AA608" s="15"/>
      <c r="AB608" s="15"/>
      <c r="AF608" s="15"/>
      <c r="AG608" s="15"/>
      <c r="AH608" s="15"/>
    </row>
    <row r="609" spans="2:34" ht="14.25" customHeight="1">
      <c r="B609" s="15"/>
      <c r="C609" s="15"/>
      <c r="D609" s="15"/>
      <c r="H609" s="15"/>
      <c r="I609" s="15"/>
      <c r="J609" s="15"/>
      <c r="N609" s="15"/>
      <c r="O609" s="15"/>
      <c r="P609" s="15"/>
      <c r="T609" s="15"/>
      <c r="U609" s="15"/>
      <c r="V609" s="15"/>
      <c r="Z609" s="15"/>
      <c r="AA609" s="15"/>
      <c r="AB609" s="15"/>
      <c r="AF609" s="15"/>
      <c r="AG609" s="15"/>
      <c r="AH609" s="15"/>
    </row>
    <row r="610" spans="2:34" ht="14.25" customHeight="1">
      <c r="B610" s="15"/>
      <c r="C610" s="15"/>
      <c r="D610" s="15"/>
      <c r="H610" s="15"/>
      <c r="I610" s="15"/>
      <c r="J610" s="15"/>
      <c r="N610" s="15"/>
      <c r="O610" s="15"/>
      <c r="P610" s="15"/>
      <c r="T610" s="15"/>
      <c r="U610" s="15"/>
      <c r="V610" s="15"/>
      <c r="Z610" s="15"/>
      <c r="AA610" s="15"/>
      <c r="AB610" s="15"/>
      <c r="AF610" s="15"/>
      <c r="AG610" s="15"/>
      <c r="AH610" s="15"/>
    </row>
    <row r="611" spans="2:34" ht="14.25" customHeight="1">
      <c r="B611" s="15"/>
      <c r="C611" s="15"/>
      <c r="D611" s="15"/>
      <c r="H611" s="15"/>
      <c r="I611" s="15"/>
      <c r="J611" s="15"/>
      <c r="N611" s="15"/>
      <c r="O611" s="15"/>
      <c r="P611" s="15"/>
      <c r="T611" s="15"/>
      <c r="U611" s="15"/>
      <c r="V611" s="15"/>
      <c r="Z611" s="15"/>
      <c r="AA611" s="15"/>
      <c r="AB611" s="15"/>
      <c r="AF611" s="15"/>
      <c r="AG611" s="15"/>
      <c r="AH611" s="15"/>
    </row>
    <row r="612" spans="2:34" ht="14.25" customHeight="1">
      <c r="B612" s="15"/>
      <c r="C612" s="15"/>
      <c r="D612" s="15"/>
      <c r="H612" s="15"/>
      <c r="I612" s="15"/>
      <c r="J612" s="15"/>
      <c r="N612" s="15"/>
      <c r="O612" s="15"/>
      <c r="P612" s="15"/>
      <c r="T612" s="15"/>
      <c r="U612" s="15"/>
      <c r="V612" s="15"/>
      <c r="Z612" s="15"/>
      <c r="AA612" s="15"/>
      <c r="AB612" s="15"/>
      <c r="AF612" s="15"/>
      <c r="AG612" s="15"/>
      <c r="AH612" s="15"/>
    </row>
    <row r="613" spans="2:34" ht="14.25" customHeight="1">
      <c r="B613" s="15"/>
      <c r="C613" s="15"/>
      <c r="D613" s="15"/>
      <c r="H613" s="15"/>
      <c r="I613" s="15"/>
      <c r="J613" s="15"/>
      <c r="N613" s="15"/>
      <c r="O613" s="15"/>
      <c r="P613" s="15"/>
      <c r="T613" s="15"/>
      <c r="U613" s="15"/>
      <c r="V613" s="15"/>
      <c r="Z613" s="15"/>
      <c r="AA613" s="15"/>
      <c r="AB613" s="15"/>
      <c r="AF613" s="15"/>
      <c r="AG613" s="15"/>
      <c r="AH613" s="15"/>
    </row>
    <row r="614" spans="2:34" ht="14.25" customHeight="1">
      <c r="B614" s="15"/>
      <c r="C614" s="15"/>
      <c r="D614" s="15"/>
      <c r="H614" s="15"/>
      <c r="I614" s="15"/>
      <c r="J614" s="15"/>
      <c r="N614" s="15"/>
      <c r="O614" s="15"/>
      <c r="P614" s="15"/>
      <c r="T614" s="15"/>
      <c r="U614" s="15"/>
      <c r="V614" s="15"/>
      <c r="Z614" s="15"/>
      <c r="AA614" s="15"/>
      <c r="AB614" s="15"/>
      <c r="AF614" s="15"/>
      <c r="AG614" s="15"/>
      <c r="AH614" s="15"/>
    </row>
    <row r="615" spans="2:34" ht="14.25" customHeight="1">
      <c r="B615" s="15"/>
      <c r="C615" s="15"/>
      <c r="D615" s="15"/>
      <c r="H615" s="15"/>
      <c r="I615" s="15"/>
      <c r="J615" s="15"/>
      <c r="N615" s="15"/>
      <c r="O615" s="15"/>
      <c r="P615" s="15"/>
      <c r="T615" s="15"/>
      <c r="U615" s="15"/>
      <c r="V615" s="15"/>
      <c r="Z615" s="15"/>
      <c r="AA615" s="15"/>
      <c r="AB615" s="15"/>
      <c r="AF615" s="15"/>
      <c r="AG615" s="15"/>
      <c r="AH615" s="15"/>
    </row>
    <row r="616" spans="2:34" ht="14.25" customHeight="1">
      <c r="B616" s="15"/>
      <c r="C616" s="15"/>
      <c r="D616" s="15"/>
      <c r="H616" s="15"/>
      <c r="I616" s="15"/>
      <c r="J616" s="15"/>
      <c r="N616" s="15"/>
      <c r="O616" s="15"/>
      <c r="P616" s="15"/>
      <c r="T616" s="15"/>
      <c r="U616" s="15"/>
      <c r="V616" s="15"/>
      <c r="Z616" s="15"/>
      <c r="AA616" s="15"/>
      <c r="AB616" s="15"/>
      <c r="AF616" s="15"/>
      <c r="AG616" s="15"/>
      <c r="AH616" s="15"/>
    </row>
    <row r="617" spans="2:34" ht="14.25" customHeight="1">
      <c r="B617" s="15"/>
      <c r="C617" s="15"/>
      <c r="D617" s="15"/>
      <c r="H617" s="15"/>
      <c r="I617" s="15"/>
      <c r="J617" s="15"/>
      <c r="N617" s="15"/>
      <c r="O617" s="15"/>
      <c r="P617" s="15"/>
      <c r="T617" s="15"/>
      <c r="U617" s="15"/>
      <c r="V617" s="15"/>
      <c r="Z617" s="15"/>
      <c r="AA617" s="15"/>
      <c r="AB617" s="15"/>
      <c r="AF617" s="15"/>
      <c r="AG617" s="15"/>
      <c r="AH617" s="15"/>
    </row>
    <row r="618" spans="2:34" ht="14.25" customHeight="1">
      <c r="B618" s="15"/>
      <c r="C618" s="15"/>
      <c r="D618" s="15"/>
      <c r="H618" s="15"/>
      <c r="I618" s="15"/>
      <c r="J618" s="15"/>
      <c r="N618" s="15"/>
      <c r="O618" s="15"/>
      <c r="P618" s="15"/>
      <c r="T618" s="15"/>
      <c r="U618" s="15"/>
      <c r="V618" s="15"/>
      <c r="Z618" s="15"/>
      <c r="AA618" s="15"/>
      <c r="AB618" s="15"/>
      <c r="AF618" s="15"/>
      <c r="AG618" s="15"/>
      <c r="AH618" s="15"/>
    </row>
    <row r="619" spans="2:34" ht="14.25" customHeight="1">
      <c r="B619" s="15"/>
      <c r="C619" s="15"/>
      <c r="D619" s="15"/>
      <c r="H619" s="15"/>
      <c r="I619" s="15"/>
      <c r="J619" s="15"/>
      <c r="N619" s="15"/>
      <c r="O619" s="15"/>
      <c r="P619" s="15"/>
      <c r="T619" s="15"/>
      <c r="U619" s="15"/>
      <c r="V619" s="15"/>
      <c r="Z619" s="15"/>
      <c r="AA619" s="15"/>
      <c r="AB619" s="15"/>
      <c r="AF619" s="15"/>
      <c r="AG619" s="15"/>
      <c r="AH619" s="15"/>
    </row>
    <row r="620" spans="2:34" ht="14.25" customHeight="1">
      <c r="B620" s="15"/>
      <c r="C620" s="15"/>
      <c r="D620" s="15"/>
      <c r="H620" s="15"/>
      <c r="I620" s="15"/>
      <c r="J620" s="15"/>
      <c r="N620" s="15"/>
      <c r="O620" s="15"/>
      <c r="P620" s="15"/>
      <c r="T620" s="15"/>
      <c r="U620" s="15"/>
      <c r="V620" s="15"/>
      <c r="Z620" s="15"/>
      <c r="AA620" s="15"/>
      <c r="AB620" s="15"/>
      <c r="AF620" s="15"/>
      <c r="AG620" s="15"/>
      <c r="AH620" s="15"/>
    </row>
    <row r="621" spans="2:34" ht="14.25" customHeight="1">
      <c r="B621" s="15"/>
      <c r="C621" s="15"/>
      <c r="D621" s="15"/>
      <c r="H621" s="15"/>
      <c r="I621" s="15"/>
      <c r="J621" s="15"/>
      <c r="N621" s="15"/>
      <c r="O621" s="15"/>
      <c r="P621" s="15"/>
      <c r="T621" s="15"/>
      <c r="U621" s="15"/>
      <c r="V621" s="15"/>
      <c r="Z621" s="15"/>
      <c r="AA621" s="15"/>
      <c r="AB621" s="15"/>
      <c r="AF621" s="15"/>
      <c r="AG621" s="15"/>
      <c r="AH621" s="15"/>
    </row>
    <row r="622" spans="2:34" ht="14.25" customHeight="1">
      <c r="B622" s="15"/>
      <c r="C622" s="15"/>
      <c r="D622" s="15"/>
      <c r="H622" s="15"/>
      <c r="I622" s="15"/>
      <c r="J622" s="15"/>
      <c r="N622" s="15"/>
      <c r="O622" s="15"/>
      <c r="P622" s="15"/>
      <c r="T622" s="15"/>
      <c r="U622" s="15"/>
      <c r="V622" s="15"/>
      <c r="Z622" s="15"/>
      <c r="AA622" s="15"/>
      <c r="AB622" s="15"/>
      <c r="AF622" s="15"/>
      <c r="AG622" s="15"/>
      <c r="AH622" s="15"/>
    </row>
    <row r="623" spans="2:34" ht="14.25" customHeight="1">
      <c r="B623" s="15"/>
      <c r="C623" s="15"/>
      <c r="D623" s="15"/>
      <c r="H623" s="15"/>
      <c r="I623" s="15"/>
      <c r="J623" s="15"/>
      <c r="N623" s="15"/>
      <c r="O623" s="15"/>
      <c r="P623" s="15"/>
      <c r="T623" s="15"/>
      <c r="U623" s="15"/>
      <c r="V623" s="15"/>
      <c r="Z623" s="15"/>
      <c r="AA623" s="15"/>
      <c r="AB623" s="15"/>
      <c r="AF623" s="15"/>
      <c r="AG623" s="15"/>
      <c r="AH623" s="15"/>
    </row>
    <row r="624" spans="2:34" ht="14.25" customHeight="1">
      <c r="B624" s="15"/>
      <c r="C624" s="15"/>
      <c r="D624" s="15"/>
      <c r="H624" s="15"/>
      <c r="I624" s="15"/>
      <c r="J624" s="15"/>
      <c r="N624" s="15"/>
      <c r="O624" s="15"/>
      <c r="P624" s="15"/>
      <c r="T624" s="15"/>
      <c r="U624" s="15"/>
      <c r="V624" s="15"/>
      <c r="Z624" s="15"/>
      <c r="AA624" s="15"/>
      <c r="AB624" s="15"/>
      <c r="AF624" s="15"/>
      <c r="AG624" s="15"/>
      <c r="AH624" s="15"/>
    </row>
    <row r="625" spans="2:34" ht="14.25" customHeight="1">
      <c r="B625" s="15"/>
      <c r="C625" s="15"/>
      <c r="D625" s="15"/>
      <c r="H625" s="15"/>
      <c r="I625" s="15"/>
      <c r="J625" s="15"/>
      <c r="N625" s="15"/>
      <c r="O625" s="15"/>
      <c r="P625" s="15"/>
      <c r="T625" s="15"/>
      <c r="U625" s="15"/>
      <c r="V625" s="15"/>
      <c r="Z625" s="15"/>
      <c r="AA625" s="15"/>
      <c r="AB625" s="15"/>
      <c r="AF625" s="15"/>
      <c r="AG625" s="15"/>
      <c r="AH625" s="15"/>
    </row>
    <row r="626" spans="2:34" ht="14.25" customHeight="1">
      <c r="B626" s="15"/>
      <c r="C626" s="15"/>
      <c r="D626" s="15"/>
      <c r="H626" s="15"/>
      <c r="I626" s="15"/>
      <c r="J626" s="15"/>
      <c r="N626" s="15"/>
      <c r="O626" s="15"/>
      <c r="P626" s="15"/>
      <c r="T626" s="15"/>
      <c r="U626" s="15"/>
      <c r="V626" s="15"/>
      <c r="Z626" s="15"/>
      <c r="AA626" s="15"/>
      <c r="AB626" s="15"/>
      <c r="AF626" s="15"/>
      <c r="AG626" s="15"/>
      <c r="AH626" s="15"/>
    </row>
    <row r="627" spans="2:34" ht="14.25" customHeight="1">
      <c r="B627" s="15"/>
      <c r="C627" s="15"/>
      <c r="D627" s="15"/>
      <c r="H627" s="15"/>
      <c r="I627" s="15"/>
      <c r="J627" s="15"/>
      <c r="N627" s="15"/>
      <c r="O627" s="15"/>
      <c r="P627" s="15"/>
      <c r="T627" s="15"/>
      <c r="U627" s="15"/>
      <c r="V627" s="15"/>
      <c r="Z627" s="15"/>
      <c r="AA627" s="15"/>
      <c r="AB627" s="15"/>
      <c r="AF627" s="15"/>
      <c r="AG627" s="15"/>
      <c r="AH627" s="15"/>
    </row>
    <row r="628" spans="2:34" ht="14.25" customHeight="1">
      <c r="B628" s="15"/>
      <c r="C628" s="15"/>
      <c r="D628" s="15"/>
      <c r="H628" s="15"/>
      <c r="I628" s="15"/>
      <c r="J628" s="15"/>
      <c r="N628" s="15"/>
      <c r="O628" s="15"/>
      <c r="P628" s="15"/>
      <c r="T628" s="15"/>
      <c r="U628" s="15"/>
      <c r="V628" s="15"/>
      <c r="Z628" s="15"/>
      <c r="AA628" s="15"/>
      <c r="AB628" s="15"/>
      <c r="AF628" s="15"/>
      <c r="AG628" s="15"/>
      <c r="AH628" s="15"/>
    </row>
    <row r="629" spans="2:34" ht="14.25" customHeight="1">
      <c r="B629" s="15"/>
      <c r="C629" s="15"/>
      <c r="D629" s="15"/>
      <c r="H629" s="15"/>
      <c r="I629" s="15"/>
      <c r="J629" s="15"/>
      <c r="N629" s="15"/>
      <c r="O629" s="15"/>
      <c r="P629" s="15"/>
      <c r="T629" s="15"/>
      <c r="U629" s="15"/>
      <c r="V629" s="15"/>
      <c r="Z629" s="15"/>
      <c r="AA629" s="15"/>
      <c r="AB629" s="15"/>
      <c r="AF629" s="15"/>
      <c r="AG629" s="15"/>
      <c r="AH629" s="15"/>
    </row>
    <row r="630" spans="2:34" ht="14.25" customHeight="1">
      <c r="B630" s="15"/>
      <c r="C630" s="15"/>
      <c r="D630" s="15"/>
      <c r="H630" s="15"/>
      <c r="I630" s="15"/>
      <c r="J630" s="15"/>
      <c r="N630" s="15"/>
      <c r="O630" s="15"/>
      <c r="P630" s="15"/>
      <c r="T630" s="15"/>
      <c r="U630" s="15"/>
      <c r="V630" s="15"/>
      <c r="Z630" s="15"/>
      <c r="AA630" s="15"/>
      <c r="AB630" s="15"/>
      <c r="AF630" s="15"/>
      <c r="AG630" s="15"/>
      <c r="AH630" s="15"/>
    </row>
    <row r="631" spans="2:34" ht="14.25" customHeight="1">
      <c r="B631" s="15"/>
      <c r="C631" s="15"/>
      <c r="D631" s="15"/>
      <c r="H631" s="15"/>
      <c r="I631" s="15"/>
      <c r="J631" s="15"/>
      <c r="N631" s="15"/>
      <c r="O631" s="15"/>
      <c r="P631" s="15"/>
      <c r="T631" s="15"/>
      <c r="U631" s="15"/>
      <c r="V631" s="15"/>
      <c r="Z631" s="15"/>
      <c r="AA631" s="15"/>
      <c r="AB631" s="15"/>
      <c r="AF631" s="15"/>
      <c r="AG631" s="15"/>
      <c r="AH631" s="15"/>
    </row>
    <row r="632" spans="2:34" ht="14.25" customHeight="1">
      <c r="B632" s="15"/>
      <c r="C632" s="15"/>
      <c r="D632" s="15"/>
      <c r="H632" s="15"/>
      <c r="I632" s="15"/>
      <c r="J632" s="15"/>
      <c r="N632" s="15"/>
      <c r="O632" s="15"/>
      <c r="P632" s="15"/>
      <c r="T632" s="15"/>
      <c r="U632" s="15"/>
      <c r="V632" s="15"/>
      <c r="Z632" s="15"/>
      <c r="AA632" s="15"/>
      <c r="AB632" s="15"/>
      <c r="AF632" s="15"/>
      <c r="AG632" s="15"/>
      <c r="AH632" s="15"/>
    </row>
    <row r="633" spans="2:34" ht="14.25" customHeight="1">
      <c r="B633" s="15"/>
      <c r="C633" s="15"/>
      <c r="D633" s="15"/>
      <c r="H633" s="15"/>
      <c r="I633" s="15"/>
      <c r="J633" s="15"/>
      <c r="N633" s="15"/>
      <c r="O633" s="15"/>
      <c r="P633" s="15"/>
      <c r="T633" s="15"/>
      <c r="U633" s="15"/>
      <c r="V633" s="15"/>
      <c r="Z633" s="15"/>
      <c r="AA633" s="15"/>
      <c r="AB633" s="15"/>
      <c r="AF633" s="15"/>
      <c r="AG633" s="15"/>
      <c r="AH633" s="15"/>
    </row>
    <row r="634" spans="2:34" ht="14.25" customHeight="1">
      <c r="B634" s="15"/>
      <c r="C634" s="15"/>
      <c r="D634" s="15"/>
      <c r="H634" s="15"/>
      <c r="I634" s="15"/>
      <c r="J634" s="15"/>
      <c r="N634" s="15"/>
      <c r="O634" s="15"/>
      <c r="P634" s="15"/>
      <c r="T634" s="15"/>
      <c r="U634" s="15"/>
      <c r="V634" s="15"/>
      <c r="Z634" s="15"/>
      <c r="AA634" s="15"/>
      <c r="AB634" s="15"/>
      <c r="AF634" s="15"/>
      <c r="AG634" s="15"/>
      <c r="AH634" s="15"/>
    </row>
    <row r="635" spans="2:34" ht="14.25" customHeight="1">
      <c r="B635" s="15"/>
      <c r="C635" s="15"/>
      <c r="D635" s="15"/>
      <c r="H635" s="15"/>
      <c r="I635" s="15"/>
      <c r="J635" s="15"/>
      <c r="N635" s="15"/>
      <c r="O635" s="15"/>
      <c r="P635" s="15"/>
      <c r="T635" s="15"/>
      <c r="U635" s="15"/>
      <c r="V635" s="15"/>
      <c r="Z635" s="15"/>
      <c r="AA635" s="15"/>
      <c r="AB635" s="15"/>
      <c r="AF635" s="15"/>
      <c r="AG635" s="15"/>
      <c r="AH635" s="15"/>
    </row>
    <row r="636" spans="2:34" ht="14.25" customHeight="1">
      <c r="B636" s="15"/>
      <c r="C636" s="15"/>
      <c r="D636" s="15"/>
      <c r="H636" s="15"/>
      <c r="I636" s="15"/>
      <c r="J636" s="15"/>
      <c r="N636" s="15"/>
      <c r="O636" s="15"/>
      <c r="P636" s="15"/>
      <c r="T636" s="15"/>
      <c r="U636" s="15"/>
      <c r="V636" s="15"/>
      <c r="Z636" s="15"/>
      <c r="AA636" s="15"/>
      <c r="AB636" s="15"/>
      <c r="AF636" s="15"/>
      <c r="AG636" s="15"/>
      <c r="AH636" s="15"/>
    </row>
    <row r="637" spans="2:34" ht="14.25" customHeight="1">
      <c r="B637" s="15"/>
      <c r="C637" s="15"/>
      <c r="D637" s="15"/>
      <c r="H637" s="15"/>
      <c r="I637" s="15"/>
      <c r="J637" s="15"/>
      <c r="N637" s="15"/>
      <c r="O637" s="15"/>
      <c r="P637" s="15"/>
      <c r="T637" s="15"/>
      <c r="U637" s="15"/>
      <c r="V637" s="15"/>
      <c r="Z637" s="15"/>
      <c r="AA637" s="15"/>
      <c r="AB637" s="15"/>
      <c r="AF637" s="15"/>
      <c r="AG637" s="15"/>
      <c r="AH637" s="15"/>
    </row>
    <row r="638" spans="2:34" ht="14.25" customHeight="1">
      <c r="B638" s="15"/>
      <c r="C638" s="15"/>
      <c r="D638" s="15"/>
      <c r="H638" s="15"/>
      <c r="I638" s="15"/>
      <c r="J638" s="15"/>
      <c r="N638" s="15"/>
      <c r="O638" s="15"/>
      <c r="P638" s="15"/>
      <c r="T638" s="15"/>
      <c r="U638" s="15"/>
      <c r="V638" s="15"/>
      <c r="Z638" s="15"/>
      <c r="AA638" s="15"/>
      <c r="AB638" s="15"/>
      <c r="AF638" s="15"/>
      <c r="AG638" s="15"/>
      <c r="AH638" s="15"/>
    </row>
    <row r="639" spans="2:34" ht="14.25" customHeight="1">
      <c r="B639" s="15"/>
      <c r="C639" s="15"/>
      <c r="D639" s="15"/>
      <c r="H639" s="15"/>
      <c r="I639" s="15"/>
      <c r="J639" s="15"/>
      <c r="N639" s="15"/>
      <c r="O639" s="15"/>
      <c r="P639" s="15"/>
      <c r="T639" s="15"/>
      <c r="U639" s="15"/>
      <c r="V639" s="15"/>
      <c r="Z639" s="15"/>
      <c r="AA639" s="15"/>
      <c r="AB639" s="15"/>
      <c r="AF639" s="15"/>
      <c r="AG639" s="15"/>
      <c r="AH639" s="15"/>
    </row>
    <row r="640" spans="2:34" ht="14.25" customHeight="1">
      <c r="B640" s="15"/>
      <c r="C640" s="15"/>
      <c r="D640" s="15"/>
      <c r="H640" s="15"/>
      <c r="I640" s="15"/>
      <c r="J640" s="15"/>
      <c r="N640" s="15"/>
      <c r="O640" s="15"/>
      <c r="P640" s="15"/>
      <c r="T640" s="15"/>
      <c r="U640" s="15"/>
      <c r="V640" s="15"/>
      <c r="Z640" s="15"/>
      <c r="AA640" s="15"/>
      <c r="AB640" s="15"/>
      <c r="AF640" s="15"/>
      <c r="AG640" s="15"/>
      <c r="AH640" s="15"/>
    </row>
    <row r="641" spans="2:34" ht="14.25" customHeight="1">
      <c r="B641" s="15"/>
      <c r="C641" s="15"/>
      <c r="D641" s="15"/>
      <c r="H641" s="15"/>
      <c r="I641" s="15"/>
      <c r="J641" s="15"/>
      <c r="N641" s="15"/>
      <c r="O641" s="15"/>
      <c r="P641" s="15"/>
      <c r="T641" s="15"/>
      <c r="U641" s="15"/>
      <c r="V641" s="15"/>
      <c r="Z641" s="15"/>
      <c r="AA641" s="15"/>
      <c r="AB641" s="15"/>
      <c r="AF641" s="15"/>
      <c r="AG641" s="15"/>
      <c r="AH641" s="15"/>
    </row>
    <row r="642" spans="2:34" ht="14.25" customHeight="1">
      <c r="B642" s="15"/>
      <c r="C642" s="15"/>
      <c r="D642" s="15"/>
      <c r="H642" s="15"/>
      <c r="I642" s="15"/>
      <c r="J642" s="15"/>
      <c r="N642" s="15"/>
      <c r="O642" s="15"/>
      <c r="P642" s="15"/>
      <c r="T642" s="15"/>
      <c r="U642" s="15"/>
      <c r="V642" s="15"/>
      <c r="Z642" s="15"/>
      <c r="AA642" s="15"/>
      <c r="AB642" s="15"/>
      <c r="AF642" s="15"/>
      <c r="AG642" s="15"/>
      <c r="AH642" s="15"/>
    </row>
    <row r="643" spans="2:34" ht="14.25" customHeight="1">
      <c r="B643" s="15"/>
      <c r="C643" s="15"/>
      <c r="D643" s="15"/>
      <c r="H643" s="15"/>
      <c r="I643" s="15"/>
      <c r="J643" s="15"/>
      <c r="N643" s="15"/>
      <c r="O643" s="15"/>
      <c r="P643" s="15"/>
      <c r="T643" s="15"/>
      <c r="U643" s="15"/>
      <c r="V643" s="15"/>
      <c r="Z643" s="15"/>
      <c r="AA643" s="15"/>
      <c r="AB643" s="15"/>
      <c r="AF643" s="15"/>
      <c r="AG643" s="15"/>
      <c r="AH643" s="15"/>
    </row>
    <row r="644" spans="2:34" ht="14.25" customHeight="1">
      <c r="B644" s="15"/>
      <c r="C644" s="15"/>
      <c r="D644" s="15"/>
      <c r="H644" s="15"/>
      <c r="I644" s="15"/>
      <c r="J644" s="15"/>
      <c r="N644" s="15"/>
      <c r="O644" s="15"/>
      <c r="P644" s="15"/>
      <c r="T644" s="15"/>
      <c r="U644" s="15"/>
      <c r="V644" s="15"/>
      <c r="Z644" s="15"/>
      <c r="AA644" s="15"/>
      <c r="AB644" s="15"/>
      <c r="AF644" s="15"/>
      <c r="AG644" s="15"/>
      <c r="AH644" s="15"/>
    </row>
    <row r="645" spans="2:34" ht="14.25" customHeight="1">
      <c r="B645" s="15"/>
      <c r="C645" s="15"/>
      <c r="D645" s="15"/>
      <c r="H645" s="15"/>
      <c r="I645" s="15"/>
      <c r="J645" s="15"/>
      <c r="N645" s="15"/>
      <c r="O645" s="15"/>
      <c r="P645" s="15"/>
      <c r="T645" s="15"/>
      <c r="U645" s="15"/>
      <c r="V645" s="15"/>
      <c r="Z645" s="15"/>
      <c r="AA645" s="15"/>
      <c r="AB645" s="15"/>
      <c r="AF645" s="15"/>
      <c r="AG645" s="15"/>
      <c r="AH645" s="15"/>
    </row>
    <row r="646" spans="2:34" ht="14.25" customHeight="1">
      <c r="B646" s="15"/>
      <c r="C646" s="15"/>
      <c r="D646" s="15"/>
      <c r="H646" s="15"/>
      <c r="I646" s="15"/>
      <c r="J646" s="15"/>
      <c r="N646" s="15"/>
      <c r="O646" s="15"/>
      <c r="P646" s="15"/>
      <c r="T646" s="15"/>
      <c r="U646" s="15"/>
      <c r="V646" s="15"/>
      <c r="Z646" s="15"/>
      <c r="AA646" s="15"/>
      <c r="AB646" s="15"/>
      <c r="AF646" s="15"/>
      <c r="AG646" s="15"/>
      <c r="AH646" s="15"/>
    </row>
    <row r="647" spans="2:34" ht="14.25" customHeight="1">
      <c r="B647" s="15"/>
      <c r="C647" s="15"/>
      <c r="D647" s="15"/>
      <c r="H647" s="15"/>
      <c r="I647" s="15"/>
      <c r="J647" s="15"/>
      <c r="N647" s="15"/>
      <c r="O647" s="15"/>
      <c r="P647" s="15"/>
      <c r="T647" s="15"/>
      <c r="U647" s="15"/>
      <c r="V647" s="15"/>
      <c r="Z647" s="15"/>
      <c r="AA647" s="15"/>
      <c r="AB647" s="15"/>
      <c r="AF647" s="15"/>
      <c r="AG647" s="15"/>
      <c r="AH647" s="15"/>
    </row>
    <row r="648" spans="2:34" ht="14.25" customHeight="1">
      <c r="B648" s="15"/>
      <c r="C648" s="15"/>
      <c r="D648" s="15"/>
      <c r="H648" s="15"/>
      <c r="I648" s="15"/>
      <c r="J648" s="15"/>
      <c r="N648" s="15"/>
      <c r="O648" s="15"/>
      <c r="P648" s="15"/>
      <c r="T648" s="15"/>
      <c r="U648" s="15"/>
      <c r="V648" s="15"/>
      <c r="Z648" s="15"/>
      <c r="AA648" s="15"/>
      <c r="AB648" s="15"/>
      <c r="AF648" s="15"/>
      <c r="AG648" s="15"/>
      <c r="AH648" s="15"/>
    </row>
    <row r="649" spans="2:34" ht="14.25" customHeight="1">
      <c r="B649" s="15"/>
      <c r="C649" s="15"/>
      <c r="D649" s="15"/>
      <c r="H649" s="15"/>
      <c r="I649" s="15"/>
      <c r="J649" s="15"/>
      <c r="N649" s="15"/>
      <c r="O649" s="15"/>
      <c r="P649" s="15"/>
      <c r="T649" s="15"/>
      <c r="U649" s="15"/>
      <c r="V649" s="15"/>
      <c r="Z649" s="15"/>
      <c r="AA649" s="15"/>
      <c r="AB649" s="15"/>
      <c r="AF649" s="15"/>
      <c r="AG649" s="15"/>
      <c r="AH649" s="15"/>
    </row>
    <row r="650" spans="2:34" ht="14.25" customHeight="1">
      <c r="B650" s="15"/>
      <c r="C650" s="15"/>
      <c r="D650" s="15"/>
      <c r="H650" s="15"/>
      <c r="I650" s="15"/>
      <c r="J650" s="15"/>
      <c r="N650" s="15"/>
      <c r="O650" s="15"/>
      <c r="P650" s="15"/>
      <c r="T650" s="15"/>
      <c r="U650" s="15"/>
      <c r="V650" s="15"/>
      <c r="Z650" s="15"/>
      <c r="AA650" s="15"/>
      <c r="AB650" s="15"/>
      <c r="AF650" s="15"/>
      <c r="AG650" s="15"/>
      <c r="AH650" s="15"/>
    </row>
    <row r="651" spans="2:34" ht="14.25" customHeight="1">
      <c r="B651" s="15"/>
      <c r="C651" s="15"/>
      <c r="D651" s="15"/>
      <c r="H651" s="15"/>
      <c r="I651" s="15"/>
      <c r="J651" s="15"/>
      <c r="N651" s="15"/>
      <c r="O651" s="15"/>
      <c r="P651" s="15"/>
      <c r="T651" s="15"/>
      <c r="U651" s="15"/>
      <c r="V651" s="15"/>
      <c r="Z651" s="15"/>
      <c r="AA651" s="15"/>
      <c r="AB651" s="15"/>
      <c r="AF651" s="15"/>
      <c r="AG651" s="15"/>
      <c r="AH651" s="15"/>
    </row>
    <row r="652" spans="2:34" ht="14.25" customHeight="1">
      <c r="B652" s="15"/>
      <c r="C652" s="15"/>
      <c r="D652" s="15"/>
      <c r="H652" s="15"/>
      <c r="I652" s="15"/>
      <c r="J652" s="15"/>
      <c r="N652" s="15"/>
      <c r="O652" s="15"/>
      <c r="P652" s="15"/>
      <c r="T652" s="15"/>
      <c r="U652" s="15"/>
      <c r="V652" s="15"/>
      <c r="Z652" s="15"/>
      <c r="AA652" s="15"/>
      <c r="AB652" s="15"/>
      <c r="AF652" s="15"/>
      <c r="AG652" s="15"/>
      <c r="AH652" s="15"/>
    </row>
    <row r="653" spans="2:34" ht="14.25" customHeight="1">
      <c r="B653" s="15"/>
      <c r="C653" s="15"/>
      <c r="D653" s="15"/>
      <c r="H653" s="15"/>
      <c r="I653" s="15"/>
      <c r="J653" s="15"/>
      <c r="N653" s="15"/>
      <c r="O653" s="15"/>
      <c r="P653" s="15"/>
      <c r="T653" s="15"/>
      <c r="U653" s="15"/>
      <c r="V653" s="15"/>
      <c r="Z653" s="15"/>
      <c r="AA653" s="15"/>
      <c r="AB653" s="15"/>
      <c r="AF653" s="15"/>
      <c r="AG653" s="15"/>
      <c r="AH653" s="15"/>
    </row>
    <row r="654" spans="2:34" ht="14.25" customHeight="1">
      <c r="B654" s="15"/>
      <c r="C654" s="15"/>
      <c r="D654" s="15"/>
      <c r="H654" s="15"/>
      <c r="I654" s="15"/>
      <c r="J654" s="15"/>
      <c r="N654" s="15"/>
      <c r="O654" s="15"/>
      <c r="P654" s="15"/>
      <c r="T654" s="15"/>
      <c r="U654" s="15"/>
      <c r="V654" s="15"/>
      <c r="Z654" s="15"/>
      <c r="AA654" s="15"/>
      <c r="AB654" s="15"/>
      <c r="AF654" s="15"/>
      <c r="AG654" s="15"/>
      <c r="AH654" s="15"/>
    </row>
    <row r="655" spans="2:34" ht="14.25" customHeight="1">
      <c r="B655" s="15"/>
      <c r="C655" s="15"/>
      <c r="D655" s="15"/>
      <c r="H655" s="15"/>
      <c r="I655" s="15"/>
      <c r="J655" s="15"/>
      <c r="N655" s="15"/>
      <c r="O655" s="15"/>
      <c r="P655" s="15"/>
      <c r="T655" s="15"/>
      <c r="U655" s="15"/>
      <c r="V655" s="15"/>
      <c r="Z655" s="15"/>
      <c r="AA655" s="15"/>
      <c r="AB655" s="15"/>
      <c r="AF655" s="15"/>
      <c r="AG655" s="15"/>
      <c r="AH655" s="15"/>
    </row>
    <row r="656" spans="2:34" ht="14.25" customHeight="1">
      <c r="B656" s="15"/>
      <c r="C656" s="15"/>
      <c r="D656" s="15"/>
      <c r="H656" s="15"/>
      <c r="I656" s="15"/>
      <c r="J656" s="15"/>
      <c r="N656" s="15"/>
      <c r="O656" s="15"/>
      <c r="P656" s="15"/>
      <c r="T656" s="15"/>
      <c r="U656" s="15"/>
      <c r="V656" s="15"/>
      <c r="Z656" s="15"/>
      <c r="AA656" s="15"/>
      <c r="AB656" s="15"/>
      <c r="AF656" s="15"/>
      <c r="AG656" s="15"/>
      <c r="AH656" s="15"/>
    </row>
    <row r="657" spans="2:34" ht="14.25" customHeight="1">
      <c r="B657" s="15"/>
      <c r="C657" s="15"/>
      <c r="D657" s="15"/>
      <c r="H657" s="15"/>
      <c r="I657" s="15"/>
      <c r="J657" s="15"/>
      <c r="N657" s="15"/>
      <c r="O657" s="15"/>
      <c r="P657" s="15"/>
      <c r="T657" s="15"/>
      <c r="U657" s="15"/>
      <c r="V657" s="15"/>
      <c r="Z657" s="15"/>
      <c r="AA657" s="15"/>
      <c r="AB657" s="15"/>
      <c r="AF657" s="15"/>
      <c r="AG657" s="15"/>
      <c r="AH657" s="15"/>
    </row>
    <row r="658" spans="2:34" ht="14.25" customHeight="1">
      <c r="B658" s="15"/>
      <c r="C658" s="15"/>
      <c r="D658" s="15"/>
      <c r="H658" s="15"/>
      <c r="I658" s="15"/>
      <c r="J658" s="15"/>
      <c r="N658" s="15"/>
      <c r="O658" s="15"/>
      <c r="P658" s="15"/>
      <c r="T658" s="15"/>
      <c r="U658" s="15"/>
      <c r="V658" s="15"/>
      <c r="Z658" s="15"/>
      <c r="AA658" s="15"/>
      <c r="AB658" s="15"/>
      <c r="AF658" s="15"/>
      <c r="AG658" s="15"/>
      <c r="AH658" s="15"/>
    </row>
    <row r="659" spans="2:34" ht="14.25" customHeight="1">
      <c r="B659" s="15"/>
      <c r="C659" s="15"/>
      <c r="D659" s="15"/>
      <c r="H659" s="15"/>
      <c r="I659" s="15"/>
      <c r="J659" s="15"/>
      <c r="N659" s="15"/>
      <c r="O659" s="15"/>
      <c r="P659" s="15"/>
      <c r="T659" s="15"/>
      <c r="U659" s="15"/>
      <c r="V659" s="15"/>
      <c r="Z659" s="15"/>
      <c r="AA659" s="15"/>
      <c r="AB659" s="15"/>
      <c r="AF659" s="15"/>
      <c r="AG659" s="15"/>
      <c r="AH659" s="15"/>
    </row>
    <row r="660" spans="2:34" ht="14.25" customHeight="1">
      <c r="B660" s="15"/>
      <c r="C660" s="15"/>
      <c r="D660" s="15"/>
      <c r="H660" s="15"/>
      <c r="I660" s="15"/>
      <c r="J660" s="15"/>
      <c r="N660" s="15"/>
      <c r="O660" s="15"/>
      <c r="P660" s="15"/>
      <c r="T660" s="15"/>
      <c r="U660" s="15"/>
      <c r="V660" s="15"/>
      <c r="Z660" s="15"/>
      <c r="AA660" s="15"/>
      <c r="AB660" s="15"/>
      <c r="AF660" s="15"/>
      <c r="AG660" s="15"/>
      <c r="AH660" s="15"/>
    </row>
    <row r="661" spans="2:34" ht="14.25" customHeight="1">
      <c r="B661" s="15"/>
      <c r="C661" s="15"/>
      <c r="D661" s="15"/>
      <c r="H661" s="15"/>
      <c r="I661" s="15"/>
      <c r="J661" s="15"/>
      <c r="N661" s="15"/>
      <c r="O661" s="15"/>
      <c r="P661" s="15"/>
      <c r="T661" s="15"/>
      <c r="U661" s="15"/>
      <c r="V661" s="15"/>
      <c r="Z661" s="15"/>
      <c r="AA661" s="15"/>
      <c r="AB661" s="15"/>
      <c r="AF661" s="15"/>
      <c r="AG661" s="15"/>
      <c r="AH661" s="15"/>
    </row>
    <row r="662" spans="2:34" ht="14.25" customHeight="1">
      <c r="B662" s="15"/>
      <c r="C662" s="15"/>
      <c r="D662" s="15"/>
      <c r="H662" s="15"/>
      <c r="I662" s="15"/>
      <c r="J662" s="15"/>
      <c r="N662" s="15"/>
      <c r="O662" s="15"/>
      <c r="P662" s="15"/>
      <c r="T662" s="15"/>
      <c r="U662" s="15"/>
      <c r="V662" s="15"/>
      <c r="Z662" s="15"/>
      <c r="AA662" s="15"/>
      <c r="AB662" s="15"/>
      <c r="AF662" s="15"/>
      <c r="AG662" s="15"/>
      <c r="AH662" s="15"/>
    </row>
    <row r="663" spans="2:34" ht="14.25" customHeight="1">
      <c r="B663" s="15"/>
      <c r="C663" s="15"/>
      <c r="D663" s="15"/>
      <c r="H663" s="15"/>
      <c r="I663" s="15"/>
      <c r="J663" s="15"/>
      <c r="N663" s="15"/>
      <c r="O663" s="15"/>
      <c r="P663" s="15"/>
      <c r="T663" s="15"/>
      <c r="U663" s="15"/>
      <c r="V663" s="15"/>
      <c r="Z663" s="15"/>
      <c r="AA663" s="15"/>
      <c r="AB663" s="15"/>
      <c r="AF663" s="15"/>
      <c r="AG663" s="15"/>
      <c r="AH663" s="15"/>
    </row>
    <row r="664" spans="2:34" ht="14.25" customHeight="1">
      <c r="B664" s="15"/>
      <c r="C664" s="15"/>
      <c r="D664" s="15"/>
      <c r="H664" s="15"/>
      <c r="I664" s="15"/>
      <c r="J664" s="15"/>
      <c r="N664" s="15"/>
      <c r="O664" s="15"/>
      <c r="P664" s="15"/>
      <c r="T664" s="15"/>
      <c r="U664" s="15"/>
      <c r="V664" s="15"/>
      <c r="Z664" s="15"/>
      <c r="AA664" s="15"/>
      <c r="AB664" s="15"/>
      <c r="AF664" s="15"/>
      <c r="AG664" s="15"/>
      <c r="AH664" s="15"/>
    </row>
    <row r="665" spans="2:34" ht="14.25" customHeight="1">
      <c r="B665" s="15"/>
      <c r="C665" s="15"/>
      <c r="D665" s="15"/>
      <c r="H665" s="15"/>
      <c r="I665" s="15"/>
      <c r="J665" s="15"/>
      <c r="N665" s="15"/>
      <c r="O665" s="15"/>
      <c r="P665" s="15"/>
      <c r="T665" s="15"/>
      <c r="U665" s="15"/>
      <c r="V665" s="15"/>
      <c r="Z665" s="15"/>
      <c r="AA665" s="15"/>
      <c r="AB665" s="15"/>
      <c r="AF665" s="15"/>
      <c r="AG665" s="15"/>
      <c r="AH665" s="15"/>
    </row>
    <row r="666" spans="2:34" ht="14.25" customHeight="1">
      <c r="B666" s="15"/>
      <c r="C666" s="15"/>
      <c r="D666" s="15"/>
      <c r="H666" s="15"/>
      <c r="I666" s="15"/>
      <c r="J666" s="15"/>
      <c r="N666" s="15"/>
      <c r="O666" s="15"/>
      <c r="P666" s="15"/>
      <c r="T666" s="15"/>
      <c r="U666" s="15"/>
      <c r="V666" s="15"/>
      <c r="Z666" s="15"/>
      <c r="AA666" s="15"/>
      <c r="AB666" s="15"/>
      <c r="AF666" s="15"/>
      <c r="AG666" s="15"/>
      <c r="AH666" s="15"/>
    </row>
    <row r="667" spans="2:34" ht="14.25" customHeight="1">
      <c r="B667" s="15"/>
      <c r="C667" s="15"/>
      <c r="D667" s="15"/>
      <c r="H667" s="15"/>
      <c r="I667" s="15"/>
      <c r="J667" s="15"/>
      <c r="N667" s="15"/>
      <c r="O667" s="15"/>
      <c r="P667" s="15"/>
      <c r="T667" s="15"/>
      <c r="U667" s="15"/>
      <c r="V667" s="15"/>
      <c r="Z667" s="15"/>
      <c r="AA667" s="15"/>
      <c r="AB667" s="15"/>
      <c r="AF667" s="15"/>
      <c r="AG667" s="15"/>
      <c r="AH667" s="15"/>
    </row>
    <row r="668" spans="2:34" ht="14.25" customHeight="1">
      <c r="B668" s="15"/>
      <c r="C668" s="15"/>
      <c r="D668" s="15"/>
      <c r="H668" s="15"/>
      <c r="I668" s="15"/>
      <c r="J668" s="15"/>
      <c r="N668" s="15"/>
      <c r="O668" s="15"/>
      <c r="P668" s="15"/>
      <c r="T668" s="15"/>
      <c r="U668" s="15"/>
      <c r="V668" s="15"/>
      <c r="Z668" s="15"/>
      <c r="AA668" s="15"/>
      <c r="AB668" s="15"/>
      <c r="AF668" s="15"/>
      <c r="AG668" s="15"/>
      <c r="AH668" s="15"/>
    </row>
    <row r="669" spans="2:34" ht="14.25" customHeight="1">
      <c r="B669" s="15"/>
      <c r="C669" s="15"/>
      <c r="D669" s="15"/>
      <c r="H669" s="15"/>
      <c r="I669" s="15"/>
      <c r="J669" s="15"/>
      <c r="N669" s="15"/>
      <c r="O669" s="15"/>
      <c r="P669" s="15"/>
      <c r="T669" s="15"/>
      <c r="U669" s="15"/>
      <c r="V669" s="15"/>
      <c r="Z669" s="15"/>
      <c r="AA669" s="15"/>
      <c r="AB669" s="15"/>
      <c r="AF669" s="15"/>
      <c r="AG669" s="15"/>
      <c r="AH669" s="15"/>
    </row>
    <row r="670" spans="2:34" ht="14.25" customHeight="1">
      <c r="B670" s="15"/>
      <c r="C670" s="15"/>
      <c r="D670" s="15"/>
      <c r="H670" s="15"/>
      <c r="I670" s="15"/>
      <c r="J670" s="15"/>
      <c r="N670" s="15"/>
      <c r="O670" s="15"/>
      <c r="P670" s="15"/>
      <c r="T670" s="15"/>
      <c r="U670" s="15"/>
      <c r="V670" s="15"/>
      <c r="Z670" s="15"/>
      <c r="AA670" s="15"/>
      <c r="AB670" s="15"/>
      <c r="AF670" s="15"/>
      <c r="AG670" s="15"/>
      <c r="AH670" s="15"/>
    </row>
    <row r="671" spans="2:34" ht="14.25" customHeight="1">
      <c r="B671" s="15"/>
      <c r="C671" s="15"/>
      <c r="D671" s="15"/>
      <c r="H671" s="15"/>
      <c r="I671" s="15"/>
      <c r="J671" s="15"/>
      <c r="N671" s="15"/>
      <c r="O671" s="15"/>
      <c r="P671" s="15"/>
      <c r="T671" s="15"/>
      <c r="U671" s="15"/>
      <c r="V671" s="15"/>
      <c r="Z671" s="15"/>
      <c r="AA671" s="15"/>
      <c r="AB671" s="15"/>
      <c r="AF671" s="15"/>
      <c r="AG671" s="15"/>
      <c r="AH671" s="15"/>
    </row>
    <row r="672" spans="2:34" ht="14.25" customHeight="1">
      <c r="B672" s="15"/>
      <c r="C672" s="15"/>
      <c r="D672" s="15"/>
      <c r="H672" s="15"/>
      <c r="I672" s="15"/>
      <c r="J672" s="15"/>
      <c r="N672" s="15"/>
      <c r="O672" s="15"/>
      <c r="P672" s="15"/>
      <c r="T672" s="15"/>
      <c r="U672" s="15"/>
      <c r="V672" s="15"/>
      <c r="Z672" s="15"/>
      <c r="AA672" s="15"/>
      <c r="AB672" s="15"/>
      <c r="AF672" s="15"/>
      <c r="AG672" s="15"/>
      <c r="AH672" s="15"/>
    </row>
    <row r="673" spans="2:34" ht="14.25" customHeight="1">
      <c r="B673" s="15"/>
      <c r="C673" s="15"/>
      <c r="D673" s="15"/>
      <c r="H673" s="15"/>
      <c r="I673" s="15"/>
      <c r="J673" s="15"/>
      <c r="N673" s="15"/>
      <c r="O673" s="15"/>
      <c r="P673" s="15"/>
      <c r="T673" s="15"/>
      <c r="U673" s="15"/>
      <c r="V673" s="15"/>
      <c r="Z673" s="15"/>
      <c r="AA673" s="15"/>
      <c r="AB673" s="15"/>
      <c r="AF673" s="15"/>
      <c r="AG673" s="15"/>
      <c r="AH673" s="15"/>
    </row>
    <row r="674" spans="2:34" ht="14.25" customHeight="1">
      <c r="B674" s="15"/>
      <c r="C674" s="15"/>
      <c r="D674" s="15"/>
      <c r="H674" s="15"/>
      <c r="I674" s="15"/>
      <c r="J674" s="15"/>
      <c r="N674" s="15"/>
      <c r="O674" s="15"/>
      <c r="P674" s="15"/>
      <c r="T674" s="15"/>
      <c r="U674" s="15"/>
      <c r="V674" s="15"/>
      <c r="Z674" s="15"/>
      <c r="AA674" s="15"/>
      <c r="AB674" s="15"/>
      <c r="AF674" s="15"/>
      <c r="AG674" s="15"/>
      <c r="AH674" s="15"/>
    </row>
    <row r="675" spans="2:34" ht="14.25" customHeight="1">
      <c r="B675" s="15"/>
      <c r="C675" s="15"/>
      <c r="D675" s="15"/>
      <c r="H675" s="15"/>
      <c r="I675" s="15"/>
      <c r="J675" s="15"/>
      <c r="N675" s="15"/>
      <c r="O675" s="15"/>
      <c r="P675" s="15"/>
      <c r="T675" s="15"/>
      <c r="U675" s="15"/>
      <c r="V675" s="15"/>
      <c r="Z675" s="15"/>
      <c r="AA675" s="15"/>
      <c r="AB675" s="15"/>
      <c r="AF675" s="15"/>
      <c r="AG675" s="15"/>
      <c r="AH675" s="15"/>
    </row>
    <row r="676" spans="2:34" ht="14.25" customHeight="1">
      <c r="B676" s="15"/>
      <c r="C676" s="15"/>
      <c r="D676" s="15"/>
      <c r="H676" s="15"/>
      <c r="I676" s="15"/>
      <c r="J676" s="15"/>
      <c r="N676" s="15"/>
      <c r="O676" s="15"/>
      <c r="P676" s="15"/>
      <c r="T676" s="15"/>
      <c r="U676" s="15"/>
      <c r="V676" s="15"/>
      <c r="Z676" s="15"/>
      <c r="AA676" s="15"/>
      <c r="AB676" s="15"/>
      <c r="AF676" s="15"/>
      <c r="AG676" s="15"/>
      <c r="AH676" s="15"/>
    </row>
    <row r="677" spans="2:34" ht="14.25" customHeight="1">
      <c r="B677" s="15"/>
      <c r="C677" s="15"/>
      <c r="D677" s="15"/>
      <c r="H677" s="15"/>
      <c r="I677" s="15"/>
      <c r="J677" s="15"/>
      <c r="N677" s="15"/>
      <c r="O677" s="15"/>
      <c r="P677" s="15"/>
      <c r="T677" s="15"/>
      <c r="U677" s="15"/>
      <c r="V677" s="15"/>
      <c r="Z677" s="15"/>
      <c r="AA677" s="15"/>
      <c r="AB677" s="15"/>
      <c r="AF677" s="15"/>
      <c r="AG677" s="15"/>
      <c r="AH677" s="15"/>
    </row>
    <row r="678" spans="2:34" ht="14.25" customHeight="1">
      <c r="B678" s="15"/>
      <c r="C678" s="15"/>
      <c r="D678" s="15"/>
      <c r="H678" s="15"/>
      <c r="I678" s="15"/>
      <c r="J678" s="15"/>
      <c r="N678" s="15"/>
      <c r="O678" s="15"/>
      <c r="P678" s="15"/>
      <c r="T678" s="15"/>
      <c r="U678" s="15"/>
      <c r="V678" s="15"/>
      <c r="Z678" s="15"/>
      <c r="AA678" s="15"/>
      <c r="AB678" s="15"/>
      <c r="AF678" s="15"/>
      <c r="AG678" s="15"/>
      <c r="AH678" s="15"/>
    </row>
    <row r="679" spans="2:34" ht="14.25" customHeight="1">
      <c r="B679" s="15"/>
      <c r="C679" s="15"/>
      <c r="D679" s="15"/>
      <c r="H679" s="15"/>
      <c r="I679" s="15"/>
      <c r="J679" s="15"/>
      <c r="N679" s="15"/>
      <c r="O679" s="15"/>
      <c r="P679" s="15"/>
      <c r="T679" s="15"/>
      <c r="U679" s="15"/>
      <c r="V679" s="15"/>
      <c r="Z679" s="15"/>
      <c r="AA679" s="15"/>
      <c r="AB679" s="15"/>
      <c r="AF679" s="15"/>
      <c r="AG679" s="15"/>
      <c r="AH679" s="15"/>
    </row>
    <row r="680" spans="2:34" ht="14.25" customHeight="1">
      <c r="B680" s="15"/>
      <c r="C680" s="15"/>
      <c r="D680" s="15"/>
      <c r="H680" s="15"/>
      <c r="I680" s="15"/>
      <c r="J680" s="15"/>
      <c r="N680" s="15"/>
      <c r="O680" s="15"/>
      <c r="P680" s="15"/>
      <c r="T680" s="15"/>
      <c r="U680" s="15"/>
      <c r="V680" s="15"/>
      <c r="Z680" s="15"/>
      <c r="AA680" s="15"/>
      <c r="AB680" s="15"/>
      <c r="AF680" s="15"/>
      <c r="AG680" s="15"/>
      <c r="AH680" s="15"/>
    </row>
    <row r="681" spans="2:34" ht="14.25" customHeight="1">
      <c r="B681" s="15"/>
      <c r="C681" s="15"/>
      <c r="D681" s="15"/>
      <c r="H681" s="15"/>
      <c r="I681" s="15"/>
      <c r="J681" s="15"/>
      <c r="N681" s="15"/>
      <c r="O681" s="15"/>
      <c r="P681" s="15"/>
      <c r="T681" s="15"/>
      <c r="U681" s="15"/>
      <c r="V681" s="15"/>
      <c r="Z681" s="15"/>
      <c r="AA681" s="15"/>
      <c r="AB681" s="15"/>
      <c r="AF681" s="15"/>
      <c r="AG681" s="15"/>
      <c r="AH681" s="15"/>
    </row>
    <row r="682" spans="2:34" ht="14.25" customHeight="1">
      <c r="B682" s="15"/>
      <c r="C682" s="15"/>
      <c r="D682" s="15"/>
      <c r="H682" s="15"/>
      <c r="I682" s="15"/>
      <c r="J682" s="15"/>
      <c r="N682" s="15"/>
      <c r="O682" s="15"/>
      <c r="P682" s="15"/>
      <c r="T682" s="15"/>
      <c r="U682" s="15"/>
      <c r="V682" s="15"/>
      <c r="Z682" s="15"/>
      <c r="AA682" s="15"/>
      <c r="AB682" s="15"/>
      <c r="AF682" s="15"/>
      <c r="AG682" s="15"/>
      <c r="AH682" s="15"/>
    </row>
    <row r="683" spans="2:34" ht="14.25" customHeight="1">
      <c r="B683" s="15"/>
      <c r="C683" s="15"/>
      <c r="D683" s="15"/>
      <c r="H683" s="15"/>
      <c r="I683" s="15"/>
      <c r="J683" s="15"/>
      <c r="N683" s="15"/>
      <c r="O683" s="15"/>
      <c r="P683" s="15"/>
      <c r="T683" s="15"/>
      <c r="U683" s="15"/>
      <c r="V683" s="15"/>
      <c r="Z683" s="15"/>
      <c r="AA683" s="15"/>
      <c r="AB683" s="15"/>
      <c r="AF683" s="15"/>
      <c r="AG683" s="15"/>
      <c r="AH683" s="15"/>
    </row>
    <row r="684" spans="2:34" ht="14.25" customHeight="1">
      <c r="B684" s="15"/>
      <c r="C684" s="15"/>
      <c r="D684" s="15"/>
      <c r="H684" s="15"/>
      <c r="I684" s="15"/>
      <c r="J684" s="15"/>
      <c r="N684" s="15"/>
      <c r="O684" s="15"/>
      <c r="P684" s="15"/>
      <c r="T684" s="15"/>
      <c r="U684" s="15"/>
      <c r="V684" s="15"/>
      <c r="Z684" s="15"/>
      <c r="AA684" s="15"/>
      <c r="AB684" s="15"/>
      <c r="AF684" s="15"/>
      <c r="AG684" s="15"/>
      <c r="AH684" s="15"/>
    </row>
    <row r="685" spans="2:34" ht="14.25" customHeight="1">
      <c r="B685" s="15"/>
      <c r="C685" s="15"/>
      <c r="D685" s="15"/>
      <c r="H685" s="15"/>
      <c r="I685" s="15"/>
      <c r="J685" s="15"/>
      <c r="N685" s="15"/>
      <c r="O685" s="15"/>
      <c r="P685" s="15"/>
      <c r="T685" s="15"/>
      <c r="U685" s="15"/>
      <c r="V685" s="15"/>
      <c r="Z685" s="15"/>
      <c r="AA685" s="15"/>
      <c r="AB685" s="15"/>
      <c r="AF685" s="15"/>
      <c r="AG685" s="15"/>
      <c r="AH685" s="15"/>
    </row>
    <row r="686" spans="2:34" ht="14.25" customHeight="1">
      <c r="B686" s="15"/>
      <c r="C686" s="15"/>
      <c r="D686" s="15"/>
      <c r="H686" s="15"/>
      <c r="I686" s="15"/>
      <c r="J686" s="15"/>
      <c r="N686" s="15"/>
      <c r="O686" s="15"/>
      <c r="P686" s="15"/>
      <c r="T686" s="15"/>
      <c r="U686" s="15"/>
      <c r="V686" s="15"/>
      <c r="Z686" s="15"/>
      <c r="AA686" s="15"/>
      <c r="AB686" s="15"/>
      <c r="AF686" s="15"/>
      <c r="AG686" s="15"/>
      <c r="AH686" s="15"/>
    </row>
    <row r="687" spans="2:34" ht="14.25" customHeight="1">
      <c r="B687" s="15"/>
      <c r="C687" s="15"/>
      <c r="D687" s="15"/>
      <c r="H687" s="15"/>
      <c r="I687" s="15"/>
      <c r="J687" s="15"/>
      <c r="N687" s="15"/>
      <c r="O687" s="15"/>
      <c r="P687" s="15"/>
      <c r="T687" s="15"/>
      <c r="U687" s="15"/>
      <c r="V687" s="15"/>
      <c r="Z687" s="15"/>
      <c r="AA687" s="15"/>
      <c r="AB687" s="15"/>
      <c r="AF687" s="15"/>
      <c r="AG687" s="15"/>
      <c r="AH687" s="15"/>
    </row>
    <row r="688" spans="2:34" ht="14.25" customHeight="1">
      <c r="B688" s="15"/>
      <c r="C688" s="15"/>
      <c r="D688" s="15"/>
      <c r="H688" s="15"/>
      <c r="I688" s="15"/>
      <c r="J688" s="15"/>
      <c r="N688" s="15"/>
      <c r="O688" s="15"/>
      <c r="P688" s="15"/>
      <c r="T688" s="15"/>
      <c r="U688" s="15"/>
      <c r="V688" s="15"/>
      <c r="Z688" s="15"/>
      <c r="AA688" s="15"/>
      <c r="AB688" s="15"/>
      <c r="AF688" s="15"/>
      <c r="AG688" s="15"/>
      <c r="AH688" s="15"/>
    </row>
    <row r="689" spans="2:34" ht="14.25" customHeight="1">
      <c r="B689" s="15"/>
      <c r="C689" s="15"/>
      <c r="D689" s="15"/>
      <c r="H689" s="15"/>
      <c r="I689" s="15"/>
      <c r="J689" s="15"/>
      <c r="N689" s="15"/>
      <c r="O689" s="15"/>
      <c r="P689" s="15"/>
      <c r="T689" s="15"/>
      <c r="U689" s="15"/>
      <c r="V689" s="15"/>
      <c r="Z689" s="15"/>
      <c r="AA689" s="15"/>
      <c r="AB689" s="15"/>
      <c r="AF689" s="15"/>
      <c r="AG689" s="15"/>
      <c r="AH689" s="15"/>
    </row>
    <row r="690" spans="2:34" ht="14.25" customHeight="1">
      <c r="B690" s="15"/>
      <c r="C690" s="15"/>
      <c r="D690" s="15"/>
      <c r="H690" s="15"/>
      <c r="I690" s="15"/>
      <c r="J690" s="15"/>
      <c r="N690" s="15"/>
      <c r="O690" s="15"/>
      <c r="P690" s="15"/>
      <c r="T690" s="15"/>
      <c r="U690" s="15"/>
      <c r="V690" s="15"/>
      <c r="Z690" s="15"/>
      <c r="AA690" s="15"/>
      <c r="AB690" s="15"/>
      <c r="AF690" s="15"/>
      <c r="AG690" s="15"/>
      <c r="AH690" s="15"/>
    </row>
    <row r="691" spans="2:34" ht="14.25" customHeight="1">
      <c r="B691" s="15"/>
      <c r="C691" s="15"/>
      <c r="D691" s="15"/>
      <c r="H691" s="15"/>
      <c r="I691" s="15"/>
      <c r="J691" s="15"/>
      <c r="N691" s="15"/>
      <c r="O691" s="15"/>
      <c r="P691" s="15"/>
      <c r="T691" s="15"/>
      <c r="U691" s="15"/>
      <c r="V691" s="15"/>
      <c r="Z691" s="15"/>
      <c r="AA691" s="15"/>
      <c r="AB691" s="15"/>
      <c r="AF691" s="15"/>
      <c r="AG691" s="15"/>
      <c r="AH691" s="15"/>
    </row>
    <row r="692" spans="2:34" ht="14.25" customHeight="1">
      <c r="B692" s="15"/>
      <c r="C692" s="15"/>
      <c r="D692" s="15"/>
      <c r="H692" s="15"/>
      <c r="I692" s="15"/>
      <c r="J692" s="15"/>
      <c r="N692" s="15"/>
      <c r="O692" s="15"/>
      <c r="P692" s="15"/>
      <c r="T692" s="15"/>
      <c r="U692" s="15"/>
      <c r="V692" s="15"/>
      <c r="Z692" s="15"/>
      <c r="AA692" s="15"/>
      <c r="AB692" s="15"/>
      <c r="AF692" s="15"/>
      <c r="AG692" s="15"/>
      <c r="AH692" s="15"/>
    </row>
    <row r="693" spans="2:34" ht="14.25" customHeight="1">
      <c r="B693" s="15"/>
      <c r="C693" s="15"/>
      <c r="D693" s="15"/>
      <c r="H693" s="15"/>
      <c r="I693" s="15"/>
      <c r="J693" s="15"/>
      <c r="N693" s="15"/>
      <c r="O693" s="15"/>
      <c r="P693" s="15"/>
      <c r="T693" s="15"/>
      <c r="U693" s="15"/>
      <c r="V693" s="15"/>
      <c r="Z693" s="15"/>
      <c r="AA693" s="15"/>
      <c r="AB693" s="15"/>
      <c r="AF693" s="15"/>
      <c r="AG693" s="15"/>
      <c r="AH693" s="15"/>
    </row>
    <row r="694" spans="2:34" ht="14.25" customHeight="1">
      <c r="B694" s="15"/>
      <c r="C694" s="15"/>
      <c r="D694" s="15"/>
      <c r="H694" s="15"/>
      <c r="I694" s="15"/>
      <c r="J694" s="15"/>
      <c r="N694" s="15"/>
      <c r="O694" s="15"/>
      <c r="P694" s="15"/>
      <c r="T694" s="15"/>
      <c r="U694" s="15"/>
      <c r="V694" s="15"/>
      <c r="Z694" s="15"/>
      <c r="AA694" s="15"/>
      <c r="AB694" s="15"/>
      <c r="AF694" s="15"/>
      <c r="AG694" s="15"/>
      <c r="AH694" s="15"/>
    </row>
    <row r="695" spans="2:34" ht="14.25" customHeight="1">
      <c r="B695" s="15"/>
      <c r="C695" s="15"/>
      <c r="D695" s="15"/>
      <c r="H695" s="15"/>
      <c r="I695" s="15"/>
      <c r="J695" s="15"/>
      <c r="N695" s="15"/>
      <c r="O695" s="15"/>
      <c r="P695" s="15"/>
      <c r="T695" s="15"/>
      <c r="U695" s="15"/>
      <c r="V695" s="15"/>
      <c r="Z695" s="15"/>
      <c r="AA695" s="15"/>
      <c r="AB695" s="15"/>
      <c r="AF695" s="15"/>
      <c r="AG695" s="15"/>
      <c r="AH695" s="15"/>
    </row>
    <row r="696" spans="2:34" ht="14.25" customHeight="1">
      <c r="B696" s="15"/>
      <c r="C696" s="15"/>
      <c r="D696" s="15"/>
      <c r="H696" s="15"/>
      <c r="I696" s="15"/>
      <c r="J696" s="15"/>
      <c r="N696" s="15"/>
      <c r="O696" s="15"/>
      <c r="P696" s="15"/>
      <c r="T696" s="15"/>
      <c r="U696" s="15"/>
      <c r="V696" s="15"/>
      <c r="Z696" s="15"/>
      <c r="AA696" s="15"/>
      <c r="AB696" s="15"/>
      <c r="AF696" s="15"/>
      <c r="AG696" s="15"/>
      <c r="AH696" s="15"/>
    </row>
    <row r="697" spans="2:34" ht="14.25" customHeight="1">
      <c r="B697" s="15"/>
      <c r="C697" s="15"/>
      <c r="D697" s="15"/>
      <c r="H697" s="15"/>
      <c r="I697" s="15"/>
      <c r="J697" s="15"/>
      <c r="N697" s="15"/>
      <c r="O697" s="15"/>
      <c r="P697" s="15"/>
      <c r="T697" s="15"/>
      <c r="U697" s="15"/>
      <c r="V697" s="15"/>
      <c r="Z697" s="15"/>
      <c r="AA697" s="15"/>
      <c r="AB697" s="15"/>
      <c r="AF697" s="15"/>
      <c r="AG697" s="15"/>
      <c r="AH697" s="15"/>
    </row>
    <row r="698" spans="2:34" ht="14.25" customHeight="1">
      <c r="B698" s="15"/>
      <c r="C698" s="15"/>
      <c r="D698" s="15"/>
      <c r="H698" s="15"/>
      <c r="I698" s="15"/>
      <c r="J698" s="15"/>
      <c r="N698" s="15"/>
      <c r="O698" s="15"/>
      <c r="P698" s="15"/>
      <c r="T698" s="15"/>
      <c r="U698" s="15"/>
      <c r="V698" s="15"/>
      <c r="Z698" s="15"/>
      <c r="AA698" s="15"/>
      <c r="AB698" s="15"/>
      <c r="AF698" s="15"/>
      <c r="AG698" s="15"/>
      <c r="AH698" s="15"/>
    </row>
    <row r="699" spans="2:34" ht="14.25" customHeight="1">
      <c r="B699" s="15"/>
      <c r="C699" s="15"/>
      <c r="D699" s="15"/>
      <c r="H699" s="15"/>
      <c r="I699" s="15"/>
      <c r="J699" s="15"/>
      <c r="N699" s="15"/>
      <c r="O699" s="15"/>
      <c r="P699" s="15"/>
      <c r="T699" s="15"/>
      <c r="U699" s="15"/>
      <c r="V699" s="15"/>
      <c r="Z699" s="15"/>
      <c r="AA699" s="15"/>
      <c r="AB699" s="15"/>
      <c r="AF699" s="15"/>
      <c r="AG699" s="15"/>
      <c r="AH699" s="15"/>
    </row>
    <row r="700" spans="2:34" ht="14.25" customHeight="1">
      <c r="B700" s="15"/>
      <c r="C700" s="15"/>
      <c r="D700" s="15"/>
      <c r="H700" s="15"/>
      <c r="I700" s="15"/>
      <c r="J700" s="15"/>
      <c r="N700" s="15"/>
      <c r="O700" s="15"/>
      <c r="P700" s="15"/>
      <c r="T700" s="15"/>
      <c r="U700" s="15"/>
      <c r="V700" s="15"/>
      <c r="Z700" s="15"/>
      <c r="AA700" s="15"/>
      <c r="AB700" s="15"/>
      <c r="AF700" s="15"/>
      <c r="AG700" s="15"/>
      <c r="AH700" s="15"/>
    </row>
    <row r="701" spans="2:34" ht="14.25" customHeight="1">
      <c r="B701" s="15"/>
      <c r="C701" s="15"/>
      <c r="D701" s="15"/>
      <c r="H701" s="15"/>
      <c r="I701" s="15"/>
      <c r="J701" s="15"/>
      <c r="N701" s="15"/>
      <c r="O701" s="15"/>
      <c r="P701" s="15"/>
      <c r="T701" s="15"/>
      <c r="U701" s="15"/>
      <c r="V701" s="15"/>
      <c r="Z701" s="15"/>
      <c r="AA701" s="15"/>
      <c r="AB701" s="15"/>
      <c r="AF701" s="15"/>
      <c r="AG701" s="15"/>
      <c r="AH701" s="15"/>
    </row>
    <row r="702" spans="2:34" ht="14.25" customHeight="1">
      <c r="B702" s="15"/>
      <c r="C702" s="15"/>
      <c r="D702" s="15"/>
      <c r="H702" s="15"/>
      <c r="I702" s="15"/>
      <c r="J702" s="15"/>
      <c r="N702" s="15"/>
      <c r="O702" s="15"/>
      <c r="P702" s="15"/>
      <c r="T702" s="15"/>
      <c r="U702" s="15"/>
      <c r="V702" s="15"/>
      <c r="Z702" s="15"/>
      <c r="AA702" s="15"/>
      <c r="AB702" s="15"/>
      <c r="AF702" s="15"/>
      <c r="AG702" s="15"/>
      <c r="AH702" s="15"/>
    </row>
    <row r="703" spans="2:34" ht="14.25" customHeight="1">
      <c r="B703" s="15"/>
      <c r="C703" s="15"/>
      <c r="D703" s="15"/>
      <c r="H703" s="15"/>
      <c r="I703" s="15"/>
      <c r="J703" s="15"/>
      <c r="N703" s="15"/>
      <c r="O703" s="15"/>
      <c r="P703" s="15"/>
      <c r="T703" s="15"/>
      <c r="U703" s="15"/>
      <c r="V703" s="15"/>
      <c r="Z703" s="15"/>
      <c r="AA703" s="15"/>
      <c r="AB703" s="15"/>
      <c r="AF703" s="15"/>
      <c r="AG703" s="15"/>
      <c r="AH703" s="15"/>
    </row>
    <row r="704" spans="2:34" ht="14.25" customHeight="1">
      <c r="B704" s="15"/>
      <c r="C704" s="15"/>
      <c r="D704" s="15"/>
      <c r="H704" s="15"/>
      <c r="I704" s="15"/>
      <c r="J704" s="15"/>
      <c r="N704" s="15"/>
      <c r="O704" s="15"/>
      <c r="P704" s="15"/>
      <c r="T704" s="15"/>
      <c r="U704" s="15"/>
      <c r="V704" s="15"/>
      <c r="Z704" s="15"/>
      <c r="AA704" s="15"/>
      <c r="AB704" s="15"/>
      <c r="AF704" s="15"/>
      <c r="AG704" s="15"/>
      <c r="AH704" s="15"/>
    </row>
    <row r="705" spans="2:34" ht="14.25" customHeight="1">
      <c r="B705" s="15"/>
      <c r="C705" s="15"/>
      <c r="D705" s="15"/>
      <c r="H705" s="15"/>
      <c r="I705" s="15"/>
      <c r="J705" s="15"/>
      <c r="N705" s="15"/>
      <c r="O705" s="15"/>
      <c r="P705" s="15"/>
      <c r="T705" s="15"/>
      <c r="U705" s="15"/>
      <c r="V705" s="15"/>
      <c r="Z705" s="15"/>
      <c r="AA705" s="15"/>
      <c r="AB705" s="15"/>
      <c r="AF705" s="15"/>
      <c r="AG705" s="15"/>
      <c r="AH705" s="15"/>
    </row>
    <row r="706" spans="2:34" ht="14.25" customHeight="1">
      <c r="B706" s="15"/>
      <c r="C706" s="15"/>
      <c r="D706" s="15"/>
      <c r="H706" s="15"/>
      <c r="I706" s="15"/>
      <c r="J706" s="15"/>
      <c r="N706" s="15"/>
      <c r="O706" s="15"/>
      <c r="P706" s="15"/>
      <c r="T706" s="15"/>
      <c r="U706" s="15"/>
      <c r="V706" s="15"/>
      <c r="Z706" s="15"/>
      <c r="AA706" s="15"/>
      <c r="AB706" s="15"/>
      <c r="AF706" s="15"/>
      <c r="AG706" s="15"/>
      <c r="AH706" s="15"/>
    </row>
    <row r="707" spans="2:34" ht="14.25" customHeight="1">
      <c r="B707" s="15"/>
      <c r="C707" s="15"/>
      <c r="D707" s="15"/>
      <c r="H707" s="15"/>
      <c r="I707" s="15"/>
      <c r="J707" s="15"/>
      <c r="N707" s="15"/>
      <c r="O707" s="15"/>
      <c r="P707" s="15"/>
      <c r="T707" s="15"/>
      <c r="U707" s="15"/>
      <c r="V707" s="15"/>
      <c r="Z707" s="15"/>
      <c r="AA707" s="15"/>
      <c r="AB707" s="15"/>
      <c r="AF707" s="15"/>
      <c r="AG707" s="15"/>
      <c r="AH707" s="15"/>
    </row>
    <row r="708" spans="2:34" ht="14.25" customHeight="1">
      <c r="B708" s="15"/>
      <c r="C708" s="15"/>
      <c r="D708" s="15"/>
      <c r="H708" s="15"/>
      <c r="I708" s="15"/>
      <c r="J708" s="15"/>
      <c r="N708" s="15"/>
      <c r="O708" s="15"/>
      <c r="P708" s="15"/>
      <c r="T708" s="15"/>
      <c r="U708" s="15"/>
      <c r="V708" s="15"/>
      <c r="Z708" s="15"/>
      <c r="AA708" s="15"/>
      <c r="AB708" s="15"/>
      <c r="AF708" s="15"/>
      <c r="AG708" s="15"/>
      <c r="AH708" s="15"/>
    </row>
    <row r="709" spans="2:34" ht="14.25" customHeight="1">
      <c r="B709" s="15"/>
      <c r="C709" s="15"/>
      <c r="D709" s="15"/>
      <c r="H709" s="15"/>
      <c r="I709" s="15"/>
      <c r="J709" s="15"/>
      <c r="N709" s="15"/>
      <c r="O709" s="15"/>
      <c r="P709" s="15"/>
      <c r="T709" s="15"/>
      <c r="U709" s="15"/>
      <c r="V709" s="15"/>
      <c r="Z709" s="15"/>
      <c r="AA709" s="15"/>
      <c r="AB709" s="15"/>
      <c r="AF709" s="15"/>
      <c r="AG709" s="15"/>
      <c r="AH709" s="15"/>
    </row>
    <row r="710" spans="2:34" ht="14.25" customHeight="1">
      <c r="B710" s="15"/>
      <c r="C710" s="15"/>
      <c r="D710" s="15"/>
      <c r="H710" s="15"/>
      <c r="I710" s="15"/>
      <c r="J710" s="15"/>
      <c r="N710" s="15"/>
      <c r="O710" s="15"/>
      <c r="P710" s="15"/>
      <c r="T710" s="15"/>
      <c r="U710" s="15"/>
      <c r="V710" s="15"/>
      <c r="Z710" s="15"/>
      <c r="AA710" s="15"/>
      <c r="AB710" s="15"/>
      <c r="AF710" s="15"/>
      <c r="AG710" s="15"/>
      <c r="AH710" s="15"/>
    </row>
    <row r="711" spans="2:34" ht="14.25" customHeight="1">
      <c r="B711" s="15"/>
      <c r="C711" s="15"/>
      <c r="D711" s="15"/>
      <c r="H711" s="15"/>
      <c r="I711" s="15"/>
      <c r="J711" s="15"/>
      <c r="N711" s="15"/>
      <c r="O711" s="15"/>
      <c r="P711" s="15"/>
      <c r="T711" s="15"/>
      <c r="U711" s="15"/>
      <c r="V711" s="15"/>
      <c r="Z711" s="15"/>
      <c r="AA711" s="15"/>
      <c r="AB711" s="15"/>
      <c r="AF711" s="15"/>
      <c r="AG711" s="15"/>
      <c r="AH711" s="15"/>
    </row>
    <row r="712" spans="2:34" ht="14.25" customHeight="1">
      <c r="B712" s="15"/>
      <c r="C712" s="15"/>
      <c r="D712" s="15"/>
      <c r="H712" s="15"/>
      <c r="I712" s="15"/>
      <c r="J712" s="15"/>
      <c r="N712" s="15"/>
      <c r="O712" s="15"/>
      <c r="P712" s="15"/>
      <c r="T712" s="15"/>
      <c r="U712" s="15"/>
      <c r="V712" s="15"/>
      <c r="Z712" s="15"/>
      <c r="AA712" s="15"/>
      <c r="AB712" s="15"/>
      <c r="AF712" s="15"/>
      <c r="AG712" s="15"/>
      <c r="AH712" s="15"/>
    </row>
    <row r="713" spans="2:34" ht="14.25" customHeight="1">
      <c r="B713" s="15"/>
      <c r="C713" s="15"/>
      <c r="D713" s="15"/>
      <c r="H713" s="15"/>
      <c r="I713" s="15"/>
      <c r="J713" s="15"/>
      <c r="N713" s="15"/>
      <c r="O713" s="15"/>
      <c r="P713" s="15"/>
      <c r="T713" s="15"/>
      <c r="U713" s="15"/>
      <c r="V713" s="15"/>
      <c r="Z713" s="15"/>
      <c r="AA713" s="15"/>
      <c r="AB713" s="15"/>
      <c r="AF713" s="15"/>
      <c r="AG713" s="15"/>
      <c r="AH713" s="15"/>
    </row>
    <row r="714" spans="2:34" ht="14.25" customHeight="1">
      <c r="B714" s="15"/>
      <c r="C714" s="15"/>
      <c r="D714" s="15"/>
      <c r="H714" s="15"/>
      <c r="I714" s="15"/>
      <c r="J714" s="15"/>
      <c r="N714" s="15"/>
      <c r="O714" s="15"/>
      <c r="P714" s="15"/>
      <c r="T714" s="15"/>
      <c r="U714" s="15"/>
      <c r="V714" s="15"/>
      <c r="Z714" s="15"/>
      <c r="AA714" s="15"/>
      <c r="AB714" s="15"/>
      <c r="AF714" s="15"/>
      <c r="AG714" s="15"/>
      <c r="AH714" s="15"/>
    </row>
    <row r="715" spans="2:34" ht="14.25" customHeight="1">
      <c r="B715" s="15"/>
      <c r="C715" s="15"/>
      <c r="D715" s="15"/>
      <c r="H715" s="15"/>
      <c r="I715" s="15"/>
      <c r="J715" s="15"/>
      <c r="N715" s="15"/>
      <c r="O715" s="15"/>
      <c r="P715" s="15"/>
      <c r="T715" s="15"/>
      <c r="U715" s="15"/>
      <c r="V715" s="15"/>
      <c r="Z715" s="15"/>
      <c r="AA715" s="15"/>
      <c r="AB715" s="15"/>
      <c r="AF715" s="15"/>
      <c r="AG715" s="15"/>
      <c r="AH715" s="15"/>
    </row>
    <row r="716" spans="2:34" ht="14.25" customHeight="1">
      <c r="B716" s="15"/>
      <c r="C716" s="15"/>
      <c r="D716" s="15"/>
      <c r="H716" s="15"/>
      <c r="I716" s="15"/>
      <c r="J716" s="15"/>
      <c r="N716" s="15"/>
      <c r="O716" s="15"/>
      <c r="P716" s="15"/>
      <c r="T716" s="15"/>
      <c r="U716" s="15"/>
      <c r="V716" s="15"/>
      <c r="Z716" s="15"/>
      <c r="AA716" s="15"/>
      <c r="AB716" s="15"/>
      <c r="AF716" s="15"/>
      <c r="AG716" s="15"/>
      <c r="AH716" s="15"/>
    </row>
    <row r="717" spans="2:34" ht="14.25" customHeight="1">
      <c r="B717" s="15"/>
      <c r="C717" s="15"/>
      <c r="D717" s="15"/>
      <c r="H717" s="15"/>
      <c r="I717" s="15"/>
      <c r="J717" s="15"/>
      <c r="N717" s="15"/>
      <c r="O717" s="15"/>
      <c r="P717" s="15"/>
      <c r="T717" s="15"/>
      <c r="U717" s="15"/>
      <c r="V717" s="15"/>
      <c r="Z717" s="15"/>
      <c r="AA717" s="15"/>
      <c r="AB717" s="15"/>
      <c r="AF717" s="15"/>
      <c r="AG717" s="15"/>
      <c r="AH717" s="15"/>
    </row>
    <row r="718" spans="2:34" ht="14.25" customHeight="1">
      <c r="B718" s="15"/>
      <c r="C718" s="15"/>
      <c r="D718" s="15"/>
      <c r="H718" s="15"/>
      <c r="I718" s="15"/>
      <c r="J718" s="15"/>
      <c r="N718" s="15"/>
      <c r="O718" s="15"/>
      <c r="P718" s="15"/>
      <c r="T718" s="15"/>
      <c r="U718" s="15"/>
      <c r="V718" s="15"/>
      <c r="Z718" s="15"/>
      <c r="AA718" s="15"/>
      <c r="AB718" s="15"/>
      <c r="AF718" s="15"/>
      <c r="AG718" s="15"/>
      <c r="AH718" s="15"/>
    </row>
    <row r="719" spans="2:34" ht="14.25" customHeight="1">
      <c r="B719" s="15"/>
      <c r="C719" s="15"/>
      <c r="D719" s="15"/>
      <c r="H719" s="15"/>
      <c r="I719" s="15"/>
      <c r="J719" s="15"/>
      <c r="N719" s="15"/>
      <c r="O719" s="15"/>
      <c r="P719" s="15"/>
      <c r="T719" s="15"/>
      <c r="U719" s="15"/>
      <c r="V719" s="15"/>
      <c r="Z719" s="15"/>
      <c r="AA719" s="15"/>
      <c r="AB719" s="15"/>
      <c r="AF719" s="15"/>
      <c r="AG719" s="15"/>
      <c r="AH719" s="15"/>
    </row>
    <row r="720" spans="2:34" ht="14.25" customHeight="1">
      <c r="B720" s="15"/>
      <c r="C720" s="15"/>
      <c r="D720" s="15"/>
      <c r="H720" s="15"/>
      <c r="I720" s="15"/>
      <c r="J720" s="15"/>
      <c r="N720" s="15"/>
      <c r="O720" s="15"/>
      <c r="P720" s="15"/>
      <c r="T720" s="15"/>
      <c r="U720" s="15"/>
      <c r="V720" s="15"/>
      <c r="Z720" s="15"/>
      <c r="AA720" s="15"/>
      <c r="AB720" s="15"/>
      <c r="AF720" s="15"/>
      <c r="AG720" s="15"/>
      <c r="AH720" s="15"/>
    </row>
    <row r="721" spans="2:34" ht="14.25" customHeight="1">
      <c r="B721" s="15"/>
      <c r="C721" s="15"/>
      <c r="D721" s="15"/>
      <c r="H721" s="15"/>
      <c r="I721" s="15"/>
      <c r="J721" s="15"/>
      <c r="N721" s="15"/>
      <c r="O721" s="15"/>
      <c r="P721" s="15"/>
      <c r="T721" s="15"/>
      <c r="U721" s="15"/>
      <c r="V721" s="15"/>
      <c r="Z721" s="15"/>
      <c r="AA721" s="15"/>
      <c r="AB721" s="15"/>
      <c r="AF721" s="15"/>
      <c r="AG721" s="15"/>
      <c r="AH721" s="15"/>
    </row>
    <row r="722" spans="2:34" ht="14.25" customHeight="1">
      <c r="B722" s="15"/>
      <c r="C722" s="15"/>
      <c r="D722" s="15"/>
      <c r="H722" s="15"/>
      <c r="I722" s="15"/>
      <c r="J722" s="15"/>
      <c r="N722" s="15"/>
      <c r="O722" s="15"/>
      <c r="P722" s="15"/>
      <c r="T722" s="15"/>
      <c r="U722" s="15"/>
      <c r="V722" s="15"/>
      <c r="Z722" s="15"/>
      <c r="AA722" s="15"/>
      <c r="AB722" s="15"/>
      <c r="AF722" s="15"/>
      <c r="AG722" s="15"/>
      <c r="AH722" s="15"/>
    </row>
    <row r="723" spans="2:34" ht="14.25" customHeight="1">
      <c r="B723" s="15"/>
      <c r="C723" s="15"/>
      <c r="D723" s="15"/>
      <c r="H723" s="15"/>
      <c r="I723" s="15"/>
      <c r="J723" s="15"/>
      <c r="N723" s="15"/>
      <c r="O723" s="15"/>
      <c r="P723" s="15"/>
      <c r="T723" s="15"/>
      <c r="U723" s="15"/>
      <c r="V723" s="15"/>
      <c r="Z723" s="15"/>
      <c r="AA723" s="15"/>
      <c r="AB723" s="15"/>
      <c r="AF723" s="15"/>
      <c r="AG723" s="15"/>
      <c r="AH723" s="15"/>
    </row>
    <row r="724" spans="2:34" ht="14.25" customHeight="1">
      <c r="B724" s="15"/>
      <c r="C724" s="15"/>
      <c r="D724" s="15"/>
      <c r="H724" s="15"/>
      <c r="I724" s="15"/>
      <c r="J724" s="15"/>
      <c r="N724" s="15"/>
      <c r="O724" s="15"/>
      <c r="P724" s="15"/>
      <c r="T724" s="15"/>
      <c r="U724" s="15"/>
      <c r="V724" s="15"/>
      <c r="Z724" s="15"/>
      <c r="AA724" s="15"/>
      <c r="AB724" s="15"/>
      <c r="AF724" s="15"/>
      <c r="AG724" s="15"/>
      <c r="AH724" s="15"/>
    </row>
    <row r="725" spans="2:34" ht="14.25" customHeight="1">
      <c r="B725" s="15"/>
      <c r="C725" s="15"/>
      <c r="D725" s="15"/>
      <c r="H725" s="15"/>
      <c r="I725" s="15"/>
      <c r="J725" s="15"/>
      <c r="N725" s="15"/>
      <c r="O725" s="15"/>
      <c r="P725" s="15"/>
      <c r="T725" s="15"/>
      <c r="U725" s="15"/>
      <c r="V725" s="15"/>
      <c r="Z725" s="15"/>
      <c r="AA725" s="15"/>
      <c r="AB725" s="15"/>
      <c r="AF725" s="15"/>
      <c r="AG725" s="15"/>
      <c r="AH725" s="15"/>
    </row>
    <row r="726" spans="2:34" ht="14.25" customHeight="1">
      <c r="B726" s="15"/>
      <c r="C726" s="15"/>
      <c r="D726" s="15"/>
      <c r="H726" s="15"/>
      <c r="I726" s="15"/>
      <c r="J726" s="15"/>
      <c r="N726" s="15"/>
      <c r="O726" s="15"/>
      <c r="P726" s="15"/>
      <c r="T726" s="15"/>
      <c r="U726" s="15"/>
      <c r="V726" s="15"/>
      <c r="Z726" s="15"/>
      <c r="AA726" s="15"/>
      <c r="AB726" s="15"/>
      <c r="AF726" s="15"/>
      <c r="AG726" s="15"/>
      <c r="AH726" s="15"/>
    </row>
    <row r="727" spans="2:34" ht="14.25" customHeight="1">
      <c r="B727" s="15"/>
      <c r="C727" s="15"/>
      <c r="D727" s="15"/>
      <c r="H727" s="15"/>
      <c r="I727" s="15"/>
      <c r="J727" s="15"/>
      <c r="N727" s="15"/>
      <c r="O727" s="15"/>
      <c r="P727" s="15"/>
      <c r="T727" s="15"/>
      <c r="U727" s="15"/>
      <c r="V727" s="15"/>
      <c r="Z727" s="15"/>
      <c r="AA727" s="15"/>
      <c r="AB727" s="15"/>
      <c r="AF727" s="15"/>
      <c r="AG727" s="15"/>
      <c r="AH727" s="15"/>
    </row>
    <row r="728" spans="2:34" ht="14.25" customHeight="1">
      <c r="B728" s="15"/>
      <c r="C728" s="15"/>
      <c r="D728" s="15"/>
      <c r="H728" s="15"/>
      <c r="I728" s="15"/>
      <c r="J728" s="15"/>
      <c r="N728" s="15"/>
      <c r="O728" s="15"/>
      <c r="P728" s="15"/>
      <c r="T728" s="15"/>
      <c r="U728" s="15"/>
      <c r="V728" s="15"/>
      <c r="Z728" s="15"/>
      <c r="AA728" s="15"/>
      <c r="AB728" s="15"/>
      <c r="AF728" s="15"/>
      <c r="AG728" s="15"/>
      <c r="AH728" s="15"/>
    </row>
    <row r="729" spans="2:34" ht="14.25" customHeight="1">
      <c r="B729" s="15"/>
      <c r="C729" s="15"/>
      <c r="D729" s="15"/>
      <c r="H729" s="15"/>
      <c r="I729" s="15"/>
      <c r="J729" s="15"/>
      <c r="N729" s="15"/>
      <c r="O729" s="15"/>
      <c r="P729" s="15"/>
      <c r="T729" s="15"/>
      <c r="U729" s="15"/>
      <c r="V729" s="15"/>
      <c r="Z729" s="15"/>
      <c r="AA729" s="15"/>
      <c r="AB729" s="15"/>
      <c r="AF729" s="15"/>
      <c r="AG729" s="15"/>
      <c r="AH729" s="15"/>
    </row>
    <row r="730" spans="2:34" ht="14.25" customHeight="1">
      <c r="B730" s="15"/>
      <c r="C730" s="15"/>
      <c r="D730" s="15"/>
      <c r="H730" s="15"/>
      <c r="I730" s="15"/>
      <c r="J730" s="15"/>
      <c r="N730" s="15"/>
      <c r="O730" s="15"/>
      <c r="P730" s="15"/>
      <c r="T730" s="15"/>
      <c r="U730" s="15"/>
      <c r="V730" s="15"/>
      <c r="Z730" s="15"/>
      <c r="AA730" s="15"/>
      <c r="AB730" s="15"/>
      <c r="AF730" s="15"/>
      <c r="AG730" s="15"/>
      <c r="AH730" s="15"/>
    </row>
    <row r="731" spans="2:34" ht="14.25" customHeight="1">
      <c r="B731" s="15"/>
      <c r="C731" s="15"/>
      <c r="D731" s="15"/>
      <c r="H731" s="15"/>
      <c r="I731" s="15"/>
      <c r="J731" s="15"/>
      <c r="N731" s="15"/>
      <c r="O731" s="15"/>
      <c r="P731" s="15"/>
      <c r="T731" s="15"/>
      <c r="U731" s="15"/>
      <c r="V731" s="15"/>
      <c r="Z731" s="15"/>
      <c r="AA731" s="15"/>
      <c r="AB731" s="15"/>
      <c r="AF731" s="15"/>
      <c r="AG731" s="15"/>
      <c r="AH731" s="15"/>
    </row>
    <row r="732" spans="2:34" ht="14.25" customHeight="1">
      <c r="B732" s="15"/>
      <c r="C732" s="15"/>
      <c r="D732" s="15"/>
      <c r="H732" s="15"/>
      <c r="I732" s="15"/>
      <c r="J732" s="15"/>
      <c r="N732" s="15"/>
      <c r="O732" s="15"/>
      <c r="P732" s="15"/>
      <c r="T732" s="15"/>
      <c r="U732" s="15"/>
      <c r="V732" s="15"/>
      <c r="Z732" s="15"/>
      <c r="AA732" s="15"/>
      <c r="AB732" s="15"/>
      <c r="AF732" s="15"/>
      <c r="AG732" s="15"/>
      <c r="AH732" s="15"/>
    </row>
    <row r="733" spans="2:34" ht="14.25" customHeight="1">
      <c r="B733" s="15"/>
      <c r="C733" s="15"/>
      <c r="D733" s="15"/>
      <c r="H733" s="15"/>
      <c r="I733" s="15"/>
      <c r="J733" s="15"/>
      <c r="N733" s="15"/>
      <c r="O733" s="15"/>
      <c r="P733" s="15"/>
      <c r="T733" s="15"/>
      <c r="U733" s="15"/>
      <c r="V733" s="15"/>
      <c r="Z733" s="15"/>
      <c r="AA733" s="15"/>
      <c r="AB733" s="15"/>
      <c r="AF733" s="15"/>
      <c r="AG733" s="15"/>
      <c r="AH733" s="15"/>
    </row>
    <row r="734" spans="2:34" ht="14.25" customHeight="1">
      <c r="B734" s="15"/>
      <c r="C734" s="15"/>
      <c r="D734" s="15"/>
      <c r="H734" s="15"/>
      <c r="I734" s="15"/>
      <c r="J734" s="15"/>
      <c r="N734" s="15"/>
      <c r="O734" s="15"/>
      <c r="P734" s="15"/>
      <c r="T734" s="15"/>
      <c r="U734" s="15"/>
      <c r="V734" s="15"/>
      <c r="Z734" s="15"/>
      <c r="AA734" s="15"/>
      <c r="AB734" s="15"/>
      <c r="AF734" s="15"/>
      <c r="AG734" s="15"/>
      <c r="AH734" s="15"/>
    </row>
    <row r="735" spans="2:34" ht="14.25" customHeight="1">
      <c r="B735" s="15"/>
      <c r="C735" s="15"/>
      <c r="D735" s="15"/>
      <c r="H735" s="15"/>
      <c r="I735" s="15"/>
      <c r="J735" s="15"/>
      <c r="N735" s="15"/>
      <c r="O735" s="15"/>
      <c r="P735" s="15"/>
      <c r="T735" s="15"/>
      <c r="U735" s="15"/>
      <c r="V735" s="15"/>
      <c r="Z735" s="15"/>
      <c r="AA735" s="15"/>
      <c r="AB735" s="15"/>
      <c r="AF735" s="15"/>
      <c r="AG735" s="15"/>
      <c r="AH735" s="15"/>
    </row>
    <row r="736" spans="2:34" ht="14.25" customHeight="1">
      <c r="B736" s="15"/>
      <c r="C736" s="15"/>
      <c r="D736" s="15"/>
      <c r="H736" s="15"/>
      <c r="I736" s="15"/>
      <c r="J736" s="15"/>
      <c r="N736" s="15"/>
      <c r="O736" s="15"/>
      <c r="P736" s="15"/>
      <c r="T736" s="15"/>
      <c r="U736" s="15"/>
      <c r="V736" s="15"/>
      <c r="Z736" s="15"/>
      <c r="AA736" s="15"/>
      <c r="AB736" s="15"/>
      <c r="AF736" s="15"/>
      <c r="AG736" s="15"/>
      <c r="AH736" s="15"/>
    </row>
    <row r="737" spans="2:34" ht="14.25" customHeight="1">
      <c r="B737" s="15"/>
      <c r="C737" s="15"/>
      <c r="D737" s="15"/>
      <c r="H737" s="15"/>
      <c r="I737" s="15"/>
      <c r="J737" s="15"/>
      <c r="N737" s="15"/>
      <c r="O737" s="15"/>
      <c r="P737" s="15"/>
      <c r="T737" s="15"/>
      <c r="U737" s="15"/>
      <c r="V737" s="15"/>
      <c r="Z737" s="15"/>
      <c r="AA737" s="15"/>
      <c r="AB737" s="15"/>
      <c r="AF737" s="15"/>
      <c r="AG737" s="15"/>
      <c r="AH737" s="15"/>
    </row>
    <row r="738" spans="2:34" ht="14.25" customHeight="1">
      <c r="B738" s="15"/>
      <c r="C738" s="15"/>
      <c r="D738" s="15"/>
      <c r="H738" s="15"/>
      <c r="I738" s="15"/>
      <c r="J738" s="15"/>
      <c r="N738" s="15"/>
      <c r="O738" s="15"/>
      <c r="P738" s="15"/>
      <c r="T738" s="15"/>
      <c r="U738" s="15"/>
      <c r="V738" s="15"/>
      <c r="Z738" s="15"/>
      <c r="AA738" s="15"/>
      <c r="AB738" s="15"/>
      <c r="AF738" s="15"/>
      <c r="AG738" s="15"/>
      <c r="AH738" s="15"/>
    </row>
    <row r="739" spans="2:34" ht="14.25" customHeight="1">
      <c r="B739" s="15"/>
      <c r="C739" s="15"/>
      <c r="D739" s="15"/>
      <c r="H739" s="15"/>
      <c r="I739" s="15"/>
      <c r="J739" s="15"/>
      <c r="N739" s="15"/>
      <c r="O739" s="15"/>
      <c r="P739" s="15"/>
      <c r="T739" s="15"/>
      <c r="U739" s="15"/>
      <c r="V739" s="15"/>
      <c r="Z739" s="15"/>
      <c r="AA739" s="15"/>
      <c r="AB739" s="15"/>
      <c r="AF739" s="15"/>
      <c r="AG739" s="15"/>
      <c r="AH739" s="15"/>
    </row>
    <row r="740" spans="2:34" ht="14.25" customHeight="1">
      <c r="B740" s="15"/>
      <c r="C740" s="15"/>
      <c r="D740" s="15"/>
      <c r="H740" s="15"/>
      <c r="I740" s="15"/>
      <c r="J740" s="15"/>
      <c r="N740" s="15"/>
      <c r="O740" s="15"/>
      <c r="P740" s="15"/>
      <c r="T740" s="15"/>
      <c r="U740" s="15"/>
      <c r="V740" s="15"/>
      <c r="Z740" s="15"/>
      <c r="AA740" s="15"/>
      <c r="AB740" s="15"/>
      <c r="AF740" s="15"/>
      <c r="AG740" s="15"/>
      <c r="AH740" s="15"/>
    </row>
    <row r="741" spans="2:34" ht="14.25" customHeight="1">
      <c r="B741" s="15"/>
      <c r="C741" s="15"/>
      <c r="D741" s="15"/>
      <c r="H741" s="15"/>
      <c r="I741" s="15"/>
      <c r="J741" s="15"/>
      <c r="N741" s="15"/>
      <c r="O741" s="15"/>
      <c r="P741" s="15"/>
      <c r="T741" s="15"/>
      <c r="U741" s="15"/>
      <c r="V741" s="15"/>
      <c r="Z741" s="15"/>
      <c r="AA741" s="15"/>
      <c r="AB741" s="15"/>
      <c r="AF741" s="15"/>
      <c r="AG741" s="15"/>
      <c r="AH741" s="15"/>
    </row>
    <row r="742" spans="2:34" ht="14.25" customHeight="1">
      <c r="B742" s="15"/>
      <c r="C742" s="15"/>
      <c r="D742" s="15"/>
      <c r="H742" s="15"/>
      <c r="I742" s="15"/>
      <c r="J742" s="15"/>
      <c r="N742" s="15"/>
      <c r="O742" s="15"/>
      <c r="P742" s="15"/>
      <c r="T742" s="15"/>
      <c r="U742" s="15"/>
      <c r="V742" s="15"/>
      <c r="Z742" s="15"/>
      <c r="AA742" s="15"/>
      <c r="AB742" s="15"/>
      <c r="AF742" s="15"/>
      <c r="AG742" s="15"/>
      <c r="AH742" s="15"/>
    </row>
    <row r="743" spans="2:34" ht="14.25" customHeight="1">
      <c r="B743" s="15"/>
      <c r="C743" s="15"/>
      <c r="D743" s="15"/>
      <c r="H743" s="15"/>
      <c r="I743" s="15"/>
      <c r="J743" s="15"/>
      <c r="N743" s="15"/>
      <c r="O743" s="15"/>
      <c r="P743" s="15"/>
      <c r="T743" s="15"/>
      <c r="U743" s="15"/>
      <c r="V743" s="15"/>
      <c r="Z743" s="15"/>
      <c r="AA743" s="15"/>
      <c r="AB743" s="15"/>
      <c r="AF743" s="15"/>
      <c r="AG743" s="15"/>
      <c r="AH743" s="15"/>
    </row>
    <row r="744" spans="2:34" ht="14.25" customHeight="1">
      <c r="B744" s="15"/>
      <c r="C744" s="15"/>
      <c r="D744" s="15"/>
      <c r="H744" s="15"/>
      <c r="I744" s="15"/>
      <c r="J744" s="15"/>
      <c r="N744" s="15"/>
      <c r="O744" s="15"/>
      <c r="P744" s="15"/>
      <c r="T744" s="15"/>
      <c r="U744" s="15"/>
      <c r="V744" s="15"/>
      <c r="Z744" s="15"/>
      <c r="AA744" s="15"/>
      <c r="AB744" s="15"/>
      <c r="AF744" s="15"/>
      <c r="AG744" s="15"/>
      <c r="AH744" s="15"/>
    </row>
    <row r="745" spans="2:34" ht="14.25" customHeight="1">
      <c r="B745" s="15"/>
      <c r="C745" s="15"/>
      <c r="D745" s="15"/>
      <c r="H745" s="15"/>
      <c r="I745" s="15"/>
      <c r="J745" s="15"/>
      <c r="N745" s="15"/>
      <c r="O745" s="15"/>
      <c r="P745" s="15"/>
      <c r="T745" s="15"/>
      <c r="U745" s="15"/>
      <c r="V745" s="15"/>
      <c r="Z745" s="15"/>
      <c r="AA745" s="15"/>
      <c r="AB745" s="15"/>
      <c r="AF745" s="15"/>
      <c r="AG745" s="15"/>
      <c r="AH745" s="15"/>
    </row>
    <row r="746" spans="2:34" ht="14.25" customHeight="1">
      <c r="B746" s="15"/>
      <c r="C746" s="15"/>
      <c r="D746" s="15"/>
      <c r="H746" s="15"/>
      <c r="I746" s="15"/>
      <c r="J746" s="15"/>
      <c r="N746" s="15"/>
      <c r="O746" s="15"/>
      <c r="P746" s="15"/>
      <c r="T746" s="15"/>
      <c r="U746" s="15"/>
      <c r="V746" s="15"/>
      <c r="Z746" s="15"/>
      <c r="AA746" s="15"/>
      <c r="AB746" s="15"/>
      <c r="AF746" s="15"/>
      <c r="AG746" s="15"/>
      <c r="AH746" s="15"/>
    </row>
    <row r="747" spans="2:34" ht="14.25" customHeight="1">
      <c r="B747" s="15"/>
      <c r="C747" s="15"/>
      <c r="D747" s="15"/>
      <c r="H747" s="15"/>
      <c r="I747" s="15"/>
      <c r="J747" s="15"/>
      <c r="N747" s="15"/>
      <c r="O747" s="15"/>
      <c r="P747" s="15"/>
      <c r="T747" s="15"/>
      <c r="U747" s="15"/>
      <c r="V747" s="15"/>
      <c r="Z747" s="15"/>
      <c r="AA747" s="15"/>
      <c r="AB747" s="15"/>
      <c r="AF747" s="15"/>
      <c r="AG747" s="15"/>
      <c r="AH747" s="15"/>
    </row>
    <row r="748" spans="2:34" ht="14.25" customHeight="1">
      <c r="B748" s="15"/>
      <c r="C748" s="15"/>
      <c r="D748" s="15"/>
      <c r="H748" s="15"/>
      <c r="I748" s="15"/>
      <c r="J748" s="15"/>
      <c r="N748" s="15"/>
      <c r="O748" s="15"/>
      <c r="P748" s="15"/>
      <c r="T748" s="15"/>
      <c r="U748" s="15"/>
      <c r="V748" s="15"/>
      <c r="Z748" s="15"/>
      <c r="AA748" s="15"/>
      <c r="AB748" s="15"/>
      <c r="AF748" s="15"/>
      <c r="AG748" s="15"/>
      <c r="AH748" s="15"/>
    </row>
    <row r="749" spans="2:34" ht="14.25" customHeight="1">
      <c r="B749" s="15"/>
      <c r="C749" s="15"/>
      <c r="D749" s="15"/>
      <c r="H749" s="15"/>
      <c r="I749" s="15"/>
      <c r="J749" s="15"/>
      <c r="N749" s="15"/>
      <c r="O749" s="15"/>
      <c r="P749" s="15"/>
      <c r="T749" s="15"/>
      <c r="U749" s="15"/>
      <c r="V749" s="15"/>
      <c r="Z749" s="15"/>
      <c r="AA749" s="15"/>
      <c r="AB749" s="15"/>
      <c r="AF749" s="15"/>
      <c r="AG749" s="15"/>
      <c r="AH749" s="15"/>
    </row>
    <row r="750" spans="2:34" ht="14.25" customHeight="1">
      <c r="B750" s="15"/>
      <c r="C750" s="15"/>
      <c r="D750" s="15"/>
      <c r="H750" s="15"/>
      <c r="I750" s="15"/>
      <c r="J750" s="15"/>
      <c r="N750" s="15"/>
      <c r="O750" s="15"/>
      <c r="P750" s="15"/>
      <c r="T750" s="15"/>
      <c r="U750" s="15"/>
      <c r="V750" s="15"/>
      <c r="Z750" s="15"/>
      <c r="AA750" s="15"/>
      <c r="AB750" s="15"/>
      <c r="AF750" s="15"/>
      <c r="AG750" s="15"/>
      <c r="AH750" s="15"/>
    </row>
    <row r="751" spans="2:34" ht="14.25" customHeight="1">
      <c r="B751" s="15"/>
      <c r="C751" s="15"/>
      <c r="D751" s="15"/>
      <c r="H751" s="15"/>
      <c r="I751" s="15"/>
      <c r="J751" s="15"/>
      <c r="N751" s="15"/>
      <c r="O751" s="15"/>
      <c r="P751" s="15"/>
      <c r="T751" s="15"/>
      <c r="U751" s="15"/>
      <c r="V751" s="15"/>
      <c r="Z751" s="15"/>
      <c r="AA751" s="15"/>
      <c r="AB751" s="15"/>
      <c r="AF751" s="15"/>
      <c r="AG751" s="15"/>
      <c r="AH751" s="15"/>
    </row>
    <row r="752" spans="2:34" ht="14.25" customHeight="1">
      <c r="B752" s="15"/>
      <c r="C752" s="15"/>
      <c r="D752" s="15"/>
      <c r="H752" s="15"/>
      <c r="I752" s="15"/>
      <c r="J752" s="15"/>
      <c r="N752" s="15"/>
      <c r="O752" s="15"/>
      <c r="P752" s="15"/>
      <c r="T752" s="15"/>
      <c r="U752" s="15"/>
      <c r="V752" s="15"/>
      <c r="Z752" s="15"/>
      <c r="AA752" s="15"/>
      <c r="AB752" s="15"/>
      <c r="AF752" s="15"/>
      <c r="AG752" s="15"/>
      <c r="AH752" s="15"/>
    </row>
    <row r="753" spans="2:34" ht="14.25" customHeight="1">
      <c r="B753" s="15"/>
      <c r="C753" s="15"/>
      <c r="D753" s="15"/>
      <c r="H753" s="15"/>
      <c r="I753" s="15"/>
      <c r="J753" s="15"/>
      <c r="N753" s="15"/>
      <c r="O753" s="15"/>
      <c r="P753" s="15"/>
      <c r="T753" s="15"/>
      <c r="U753" s="15"/>
      <c r="V753" s="15"/>
      <c r="Z753" s="15"/>
      <c r="AA753" s="15"/>
      <c r="AB753" s="15"/>
      <c r="AF753" s="15"/>
      <c r="AG753" s="15"/>
      <c r="AH753" s="15"/>
    </row>
    <row r="754" spans="2:34" ht="14.25" customHeight="1">
      <c r="B754" s="15"/>
      <c r="C754" s="15"/>
      <c r="D754" s="15"/>
      <c r="H754" s="15"/>
      <c r="I754" s="15"/>
      <c r="J754" s="15"/>
      <c r="N754" s="15"/>
      <c r="O754" s="15"/>
      <c r="P754" s="15"/>
      <c r="T754" s="15"/>
      <c r="U754" s="15"/>
      <c r="V754" s="15"/>
      <c r="Z754" s="15"/>
      <c r="AA754" s="15"/>
      <c r="AB754" s="15"/>
      <c r="AF754" s="15"/>
      <c r="AG754" s="15"/>
      <c r="AH754" s="15"/>
    </row>
    <row r="755" spans="2:34" ht="14.25" customHeight="1">
      <c r="B755" s="15"/>
      <c r="C755" s="15"/>
      <c r="D755" s="15"/>
      <c r="H755" s="15"/>
      <c r="I755" s="15"/>
      <c r="J755" s="15"/>
      <c r="N755" s="15"/>
      <c r="O755" s="15"/>
      <c r="P755" s="15"/>
      <c r="T755" s="15"/>
      <c r="U755" s="15"/>
      <c r="V755" s="15"/>
      <c r="Z755" s="15"/>
      <c r="AA755" s="15"/>
      <c r="AB755" s="15"/>
      <c r="AF755" s="15"/>
      <c r="AG755" s="15"/>
      <c r="AH755" s="15"/>
    </row>
    <row r="756" spans="2:34" ht="14.25" customHeight="1">
      <c r="B756" s="15"/>
      <c r="C756" s="15"/>
      <c r="D756" s="15"/>
      <c r="H756" s="15"/>
      <c r="I756" s="15"/>
      <c r="J756" s="15"/>
      <c r="N756" s="15"/>
      <c r="O756" s="15"/>
      <c r="P756" s="15"/>
      <c r="T756" s="15"/>
      <c r="U756" s="15"/>
      <c r="V756" s="15"/>
      <c r="Z756" s="15"/>
      <c r="AA756" s="15"/>
      <c r="AB756" s="15"/>
      <c r="AF756" s="15"/>
      <c r="AG756" s="15"/>
      <c r="AH756" s="15"/>
    </row>
    <row r="757" spans="2:34" ht="14.25" customHeight="1">
      <c r="B757" s="15"/>
      <c r="C757" s="15"/>
      <c r="D757" s="15"/>
      <c r="H757" s="15"/>
      <c r="I757" s="15"/>
      <c r="J757" s="15"/>
      <c r="N757" s="15"/>
      <c r="O757" s="15"/>
      <c r="P757" s="15"/>
      <c r="T757" s="15"/>
      <c r="U757" s="15"/>
      <c r="V757" s="15"/>
      <c r="Z757" s="15"/>
      <c r="AA757" s="15"/>
      <c r="AB757" s="15"/>
      <c r="AF757" s="15"/>
      <c r="AG757" s="15"/>
      <c r="AH757" s="15"/>
    </row>
    <row r="758" spans="2:34" ht="14.25" customHeight="1">
      <c r="B758" s="15"/>
      <c r="C758" s="15"/>
      <c r="D758" s="15"/>
      <c r="H758" s="15"/>
      <c r="I758" s="15"/>
      <c r="J758" s="15"/>
      <c r="N758" s="15"/>
      <c r="O758" s="15"/>
      <c r="P758" s="15"/>
      <c r="T758" s="15"/>
      <c r="U758" s="15"/>
      <c r="V758" s="15"/>
      <c r="Z758" s="15"/>
      <c r="AA758" s="15"/>
      <c r="AB758" s="15"/>
      <c r="AF758" s="15"/>
      <c r="AG758" s="15"/>
      <c r="AH758" s="15"/>
    </row>
    <row r="759" spans="2:34" ht="14.25" customHeight="1">
      <c r="B759" s="15"/>
      <c r="C759" s="15"/>
      <c r="D759" s="15"/>
      <c r="H759" s="15"/>
      <c r="I759" s="15"/>
      <c r="J759" s="15"/>
      <c r="N759" s="15"/>
      <c r="O759" s="15"/>
      <c r="P759" s="15"/>
      <c r="T759" s="15"/>
      <c r="U759" s="15"/>
      <c r="V759" s="15"/>
      <c r="Z759" s="15"/>
      <c r="AA759" s="15"/>
      <c r="AB759" s="15"/>
      <c r="AF759" s="15"/>
      <c r="AG759" s="15"/>
      <c r="AH759" s="15"/>
    </row>
    <row r="760" spans="2:34" ht="14.25" customHeight="1">
      <c r="B760" s="15"/>
      <c r="C760" s="15"/>
      <c r="D760" s="15"/>
      <c r="H760" s="15"/>
      <c r="I760" s="15"/>
      <c r="J760" s="15"/>
      <c r="N760" s="15"/>
      <c r="O760" s="15"/>
      <c r="P760" s="15"/>
      <c r="T760" s="15"/>
      <c r="U760" s="15"/>
      <c r="V760" s="15"/>
      <c r="Z760" s="15"/>
      <c r="AA760" s="15"/>
      <c r="AB760" s="15"/>
      <c r="AF760" s="15"/>
      <c r="AG760" s="15"/>
      <c r="AH760" s="15"/>
    </row>
    <row r="761" spans="2:34" ht="14.25" customHeight="1">
      <c r="B761" s="15"/>
      <c r="C761" s="15"/>
      <c r="D761" s="15"/>
      <c r="H761" s="15"/>
      <c r="I761" s="15"/>
      <c r="J761" s="15"/>
      <c r="N761" s="15"/>
      <c r="O761" s="15"/>
      <c r="P761" s="15"/>
      <c r="T761" s="15"/>
      <c r="U761" s="15"/>
      <c r="V761" s="15"/>
      <c r="Z761" s="15"/>
      <c r="AA761" s="15"/>
      <c r="AB761" s="15"/>
      <c r="AF761" s="15"/>
      <c r="AG761" s="15"/>
      <c r="AH761" s="15"/>
    </row>
    <row r="762" spans="2:34" ht="14.25" customHeight="1">
      <c r="B762" s="15"/>
      <c r="C762" s="15"/>
      <c r="D762" s="15"/>
      <c r="H762" s="15"/>
      <c r="I762" s="15"/>
      <c r="J762" s="15"/>
      <c r="N762" s="15"/>
      <c r="O762" s="15"/>
      <c r="P762" s="15"/>
      <c r="T762" s="15"/>
      <c r="U762" s="15"/>
      <c r="V762" s="15"/>
      <c r="Z762" s="15"/>
      <c r="AA762" s="15"/>
      <c r="AB762" s="15"/>
      <c r="AF762" s="15"/>
      <c r="AG762" s="15"/>
      <c r="AH762" s="15"/>
    </row>
    <row r="763" spans="2:34" ht="14.25" customHeight="1">
      <c r="B763" s="15"/>
      <c r="C763" s="15"/>
      <c r="D763" s="15"/>
      <c r="H763" s="15"/>
      <c r="I763" s="15"/>
      <c r="J763" s="15"/>
      <c r="N763" s="15"/>
      <c r="O763" s="15"/>
      <c r="P763" s="15"/>
      <c r="T763" s="15"/>
      <c r="U763" s="15"/>
      <c r="V763" s="15"/>
      <c r="Z763" s="15"/>
      <c r="AA763" s="15"/>
      <c r="AB763" s="15"/>
      <c r="AF763" s="15"/>
      <c r="AG763" s="15"/>
      <c r="AH763" s="15"/>
    </row>
    <row r="764" spans="2:34" ht="14.25" customHeight="1">
      <c r="B764" s="15"/>
      <c r="C764" s="15"/>
      <c r="D764" s="15"/>
      <c r="H764" s="15"/>
      <c r="I764" s="15"/>
      <c r="J764" s="15"/>
      <c r="N764" s="15"/>
      <c r="O764" s="15"/>
      <c r="P764" s="15"/>
      <c r="T764" s="15"/>
      <c r="U764" s="15"/>
      <c r="V764" s="15"/>
      <c r="Z764" s="15"/>
      <c r="AA764" s="15"/>
      <c r="AB764" s="15"/>
      <c r="AF764" s="15"/>
      <c r="AG764" s="15"/>
      <c r="AH764" s="15"/>
    </row>
    <row r="765" spans="2:34" ht="14.25" customHeight="1">
      <c r="B765" s="15"/>
      <c r="C765" s="15"/>
      <c r="D765" s="15"/>
      <c r="H765" s="15"/>
      <c r="I765" s="15"/>
      <c r="J765" s="15"/>
      <c r="N765" s="15"/>
      <c r="O765" s="15"/>
      <c r="P765" s="15"/>
      <c r="T765" s="15"/>
      <c r="U765" s="15"/>
      <c r="V765" s="15"/>
      <c r="Z765" s="15"/>
      <c r="AA765" s="15"/>
      <c r="AB765" s="15"/>
      <c r="AF765" s="15"/>
      <c r="AG765" s="15"/>
      <c r="AH765" s="15"/>
    </row>
    <row r="766" spans="2:34" ht="14.25" customHeight="1">
      <c r="B766" s="15"/>
      <c r="C766" s="15"/>
      <c r="D766" s="15"/>
      <c r="H766" s="15"/>
      <c r="I766" s="15"/>
      <c r="J766" s="15"/>
      <c r="N766" s="15"/>
      <c r="O766" s="15"/>
      <c r="P766" s="15"/>
      <c r="T766" s="15"/>
      <c r="U766" s="15"/>
      <c r="V766" s="15"/>
      <c r="Z766" s="15"/>
      <c r="AA766" s="15"/>
      <c r="AB766" s="15"/>
      <c r="AF766" s="15"/>
      <c r="AG766" s="15"/>
      <c r="AH766" s="15"/>
    </row>
    <row r="767" spans="2:34" ht="14.25" customHeight="1">
      <c r="B767" s="15"/>
      <c r="C767" s="15"/>
      <c r="D767" s="15"/>
      <c r="H767" s="15"/>
      <c r="I767" s="15"/>
      <c r="J767" s="15"/>
      <c r="N767" s="15"/>
      <c r="O767" s="15"/>
      <c r="P767" s="15"/>
      <c r="T767" s="15"/>
      <c r="U767" s="15"/>
      <c r="V767" s="15"/>
      <c r="Z767" s="15"/>
      <c r="AA767" s="15"/>
      <c r="AB767" s="15"/>
      <c r="AF767" s="15"/>
      <c r="AG767" s="15"/>
      <c r="AH767" s="15"/>
    </row>
    <row r="768" spans="2:34" ht="14.25" customHeight="1">
      <c r="B768" s="15"/>
      <c r="C768" s="15"/>
      <c r="D768" s="15"/>
      <c r="H768" s="15"/>
      <c r="I768" s="15"/>
      <c r="J768" s="15"/>
      <c r="N768" s="15"/>
      <c r="O768" s="15"/>
      <c r="P768" s="15"/>
      <c r="T768" s="15"/>
      <c r="U768" s="15"/>
      <c r="V768" s="15"/>
      <c r="Z768" s="15"/>
      <c r="AA768" s="15"/>
      <c r="AB768" s="15"/>
      <c r="AF768" s="15"/>
      <c r="AG768" s="15"/>
      <c r="AH768" s="15"/>
    </row>
    <row r="769" spans="2:34" ht="14.25" customHeight="1">
      <c r="B769" s="15"/>
      <c r="C769" s="15"/>
      <c r="D769" s="15"/>
      <c r="H769" s="15"/>
      <c r="I769" s="15"/>
      <c r="J769" s="15"/>
      <c r="N769" s="15"/>
      <c r="O769" s="15"/>
      <c r="P769" s="15"/>
      <c r="T769" s="15"/>
      <c r="U769" s="15"/>
      <c r="V769" s="15"/>
      <c r="Z769" s="15"/>
      <c r="AA769" s="15"/>
      <c r="AB769" s="15"/>
      <c r="AF769" s="15"/>
      <c r="AG769" s="15"/>
      <c r="AH769" s="15"/>
    </row>
    <row r="770" spans="2:34" ht="14.25" customHeight="1">
      <c r="B770" s="15"/>
      <c r="C770" s="15"/>
      <c r="D770" s="15"/>
      <c r="H770" s="15"/>
      <c r="I770" s="15"/>
      <c r="J770" s="15"/>
      <c r="N770" s="15"/>
      <c r="O770" s="15"/>
      <c r="P770" s="15"/>
      <c r="T770" s="15"/>
      <c r="U770" s="15"/>
      <c r="V770" s="15"/>
      <c r="Z770" s="15"/>
      <c r="AA770" s="15"/>
      <c r="AB770" s="15"/>
      <c r="AF770" s="15"/>
      <c r="AG770" s="15"/>
      <c r="AH770" s="15"/>
    </row>
    <row r="771" spans="2:34" ht="14.25" customHeight="1">
      <c r="B771" s="15"/>
      <c r="C771" s="15"/>
      <c r="D771" s="15"/>
      <c r="H771" s="15"/>
      <c r="I771" s="15"/>
      <c r="J771" s="15"/>
      <c r="N771" s="15"/>
      <c r="O771" s="15"/>
      <c r="P771" s="15"/>
      <c r="T771" s="15"/>
      <c r="U771" s="15"/>
      <c r="V771" s="15"/>
      <c r="Z771" s="15"/>
      <c r="AA771" s="15"/>
      <c r="AB771" s="15"/>
      <c r="AF771" s="15"/>
      <c r="AG771" s="15"/>
      <c r="AH771" s="15"/>
    </row>
    <row r="772" spans="2:34" ht="14.25" customHeight="1">
      <c r="B772" s="15"/>
      <c r="C772" s="15"/>
      <c r="D772" s="15"/>
      <c r="H772" s="15"/>
      <c r="I772" s="15"/>
      <c r="J772" s="15"/>
      <c r="N772" s="15"/>
      <c r="O772" s="15"/>
      <c r="P772" s="15"/>
      <c r="T772" s="15"/>
      <c r="U772" s="15"/>
      <c r="V772" s="15"/>
      <c r="Z772" s="15"/>
      <c r="AA772" s="15"/>
      <c r="AB772" s="15"/>
      <c r="AF772" s="15"/>
      <c r="AG772" s="15"/>
      <c r="AH772" s="15"/>
    </row>
    <row r="773" spans="2:34" ht="14.25" customHeight="1">
      <c r="B773" s="15"/>
      <c r="C773" s="15"/>
      <c r="D773" s="15"/>
      <c r="H773" s="15"/>
      <c r="I773" s="15"/>
      <c r="J773" s="15"/>
      <c r="N773" s="15"/>
      <c r="O773" s="15"/>
      <c r="P773" s="15"/>
      <c r="T773" s="15"/>
      <c r="U773" s="15"/>
      <c r="V773" s="15"/>
      <c r="Z773" s="15"/>
      <c r="AA773" s="15"/>
      <c r="AB773" s="15"/>
      <c r="AF773" s="15"/>
      <c r="AG773" s="15"/>
      <c r="AH773" s="15"/>
    </row>
    <row r="774" spans="2:34" ht="14.25" customHeight="1">
      <c r="B774" s="15"/>
      <c r="C774" s="15"/>
      <c r="D774" s="15"/>
      <c r="H774" s="15"/>
      <c r="I774" s="15"/>
      <c r="J774" s="15"/>
      <c r="N774" s="15"/>
      <c r="O774" s="15"/>
      <c r="P774" s="15"/>
      <c r="T774" s="15"/>
      <c r="U774" s="15"/>
      <c r="V774" s="15"/>
      <c r="Z774" s="15"/>
      <c r="AA774" s="15"/>
      <c r="AB774" s="15"/>
      <c r="AF774" s="15"/>
      <c r="AG774" s="15"/>
      <c r="AH774" s="15"/>
    </row>
    <row r="775" spans="2:34" ht="14.25" customHeight="1">
      <c r="B775" s="15"/>
      <c r="C775" s="15"/>
      <c r="D775" s="15"/>
      <c r="H775" s="15"/>
      <c r="I775" s="15"/>
      <c r="J775" s="15"/>
      <c r="N775" s="15"/>
      <c r="O775" s="15"/>
      <c r="P775" s="15"/>
      <c r="T775" s="15"/>
      <c r="U775" s="15"/>
      <c r="V775" s="15"/>
      <c r="Z775" s="15"/>
      <c r="AA775" s="15"/>
      <c r="AB775" s="15"/>
      <c r="AF775" s="15"/>
      <c r="AG775" s="15"/>
      <c r="AH775" s="15"/>
    </row>
    <row r="776" spans="2:34" ht="14.25" customHeight="1">
      <c r="B776" s="15"/>
      <c r="C776" s="15"/>
      <c r="D776" s="15"/>
      <c r="H776" s="15"/>
      <c r="I776" s="15"/>
      <c r="J776" s="15"/>
      <c r="N776" s="15"/>
      <c r="O776" s="15"/>
      <c r="P776" s="15"/>
      <c r="T776" s="15"/>
      <c r="U776" s="15"/>
      <c r="V776" s="15"/>
      <c r="Z776" s="15"/>
      <c r="AA776" s="15"/>
      <c r="AB776" s="15"/>
      <c r="AF776" s="15"/>
      <c r="AG776" s="15"/>
      <c r="AH776" s="15"/>
    </row>
    <row r="777" spans="2:34" ht="14.25" customHeight="1">
      <c r="B777" s="15"/>
      <c r="C777" s="15"/>
      <c r="D777" s="15"/>
      <c r="H777" s="15"/>
      <c r="I777" s="15"/>
      <c r="J777" s="15"/>
      <c r="N777" s="15"/>
      <c r="O777" s="15"/>
      <c r="P777" s="15"/>
      <c r="T777" s="15"/>
      <c r="U777" s="15"/>
      <c r="V777" s="15"/>
      <c r="Z777" s="15"/>
      <c r="AA777" s="15"/>
      <c r="AB777" s="15"/>
      <c r="AF777" s="15"/>
      <c r="AG777" s="15"/>
      <c r="AH777" s="15"/>
    </row>
    <row r="778" spans="2:34" ht="14.25" customHeight="1">
      <c r="B778" s="15"/>
      <c r="C778" s="15"/>
      <c r="D778" s="15"/>
      <c r="H778" s="15"/>
      <c r="I778" s="15"/>
      <c r="J778" s="15"/>
      <c r="N778" s="15"/>
      <c r="O778" s="15"/>
      <c r="P778" s="15"/>
      <c r="T778" s="15"/>
      <c r="U778" s="15"/>
      <c r="V778" s="15"/>
      <c r="Z778" s="15"/>
      <c r="AA778" s="15"/>
      <c r="AB778" s="15"/>
      <c r="AF778" s="15"/>
      <c r="AG778" s="15"/>
      <c r="AH778" s="15"/>
    </row>
    <row r="779" spans="2:34" ht="14.25" customHeight="1">
      <c r="B779" s="15"/>
      <c r="C779" s="15"/>
      <c r="D779" s="15"/>
      <c r="H779" s="15"/>
      <c r="I779" s="15"/>
      <c r="J779" s="15"/>
      <c r="N779" s="15"/>
      <c r="O779" s="15"/>
      <c r="P779" s="15"/>
      <c r="T779" s="15"/>
      <c r="U779" s="15"/>
      <c r="V779" s="15"/>
      <c r="Z779" s="15"/>
      <c r="AA779" s="15"/>
      <c r="AB779" s="15"/>
      <c r="AF779" s="15"/>
      <c r="AG779" s="15"/>
      <c r="AH779" s="15"/>
    </row>
    <row r="780" spans="2:34" ht="14.25" customHeight="1">
      <c r="B780" s="15"/>
      <c r="C780" s="15"/>
      <c r="D780" s="15"/>
      <c r="H780" s="15"/>
      <c r="I780" s="15"/>
      <c r="J780" s="15"/>
      <c r="N780" s="15"/>
      <c r="O780" s="15"/>
      <c r="P780" s="15"/>
      <c r="T780" s="15"/>
      <c r="U780" s="15"/>
      <c r="V780" s="15"/>
      <c r="Z780" s="15"/>
      <c r="AA780" s="15"/>
      <c r="AB780" s="15"/>
      <c r="AF780" s="15"/>
      <c r="AG780" s="15"/>
      <c r="AH780" s="15"/>
    </row>
    <row r="781" spans="2:34" ht="14.25" customHeight="1">
      <c r="B781" s="15"/>
      <c r="C781" s="15"/>
      <c r="D781" s="15"/>
      <c r="H781" s="15"/>
      <c r="I781" s="15"/>
      <c r="J781" s="15"/>
      <c r="N781" s="15"/>
      <c r="O781" s="15"/>
      <c r="P781" s="15"/>
      <c r="T781" s="15"/>
      <c r="U781" s="15"/>
      <c r="V781" s="15"/>
      <c r="Z781" s="15"/>
      <c r="AA781" s="15"/>
      <c r="AB781" s="15"/>
      <c r="AF781" s="15"/>
      <c r="AG781" s="15"/>
      <c r="AH781" s="15"/>
    </row>
    <row r="782" spans="2:34" ht="14.25" customHeight="1">
      <c r="B782" s="15"/>
      <c r="C782" s="15"/>
      <c r="D782" s="15"/>
      <c r="H782" s="15"/>
      <c r="I782" s="15"/>
      <c r="J782" s="15"/>
      <c r="N782" s="15"/>
      <c r="O782" s="15"/>
      <c r="P782" s="15"/>
      <c r="T782" s="15"/>
      <c r="U782" s="15"/>
      <c r="V782" s="15"/>
      <c r="Z782" s="15"/>
      <c r="AA782" s="15"/>
      <c r="AB782" s="15"/>
      <c r="AF782" s="15"/>
      <c r="AG782" s="15"/>
      <c r="AH782" s="15"/>
    </row>
    <row r="783" spans="2:34" ht="14.25" customHeight="1">
      <c r="B783" s="15"/>
      <c r="C783" s="15"/>
      <c r="D783" s="15"/>
      <c r="H783" s="15"/>
      <c r="I783" s="15"/>
      <c r="J783" s="15"/>
      <c r="N783" s="15"/>
      <c r="O783" s="15"/>
      <c r="P783" s="15"/>
      <c r="T783" s="15"/>
      <c r="U783" s="15"/>
      <c r="V783" s="15"/>
      <c r="Z783" s="15"/>
      <c r="AA783" s="15"/>
      <c r="AB783" s="15"/>
      <c r="AF783" s="15"/>
      <c r="AG783" s="15"/>
      <c r="AH783" s="15"/>
    </row>
    <row r="784" spans="2:34" ht="14.25" customHeight="1">
      <c r="B784" s="15"/>
      <c r="C784" s="15"/>
      <c r="D784" s="15"/>
      <c r="H784" s="15"/>
      <c r="I784" s="15"/>
      <c r="J784" s="15"/>
      <c r="N784" s="15"/>
      <c r="O784" s="15"/>
      <c r="P784" s="15"/>
      <c r="T784" s="15"/>
      <c r="U784" s="15"/>
      <c r="V784" s="15"/>
      <c r="Z784" s="15"/>
      <c r="AA784" s="15"/>
      <c r="AB784" s="15"/>
      <c r="AF784" s="15"/>
      <c r="AG784" s="15"/>
      <c r="AH784" s="15"/>
    </row>
    <row r="785" spans="2:34" ht="14.25" customHeight="1">
      <c r="B785" s="15"/>
      <c r="C785" s="15"/>
      <c r="D785" s="15"/>
      <c r="H785" s="15"/>
      <c r="I785" s="15"/>
      <c r="J785" s="15"/>
      <c r="N785" s="15"/>
      <c r="O785" s="15"/>
      <c r="P785" s="15"/>
      <c r="T785" s="15"/>
      <c r="U785" s="15"/>
      <c r="V785" s="15"/>
      <c r="Z785" s="15"/>
      <c r="AA785" s="15"/>
      <c r="AB785" s="15"/>
      <c r="AF785" s="15"/>
      <c r="AG785" s="15"/>
      <c r="AH785" s="15"/>
    </row>
    <row r="786" spans="2:34" ht="14.25" customHeight="1">
      <c r="B786" s="15"/>
      <c r="C786" s="15"/>
      <c r="D786" s="15"/>
      <c r="H786" s="15"/>
      <c r="I786" s="15"/>
      <c r="J786" s="15"/>
      <c r="N786" s="15"/>
      <c r="O786" s="15"/>
      <c r="P786" s="15"/>
      <c r="T786" s="15"/>
      <c r="U786" s="15"/>
      <c r="V786" s="15"/>
      <c r="Z786" s="15"/>
      <c r="AA786" s="15"/>
      <c r="AB786" s="15"/>
      <c r="AF786" s="15"/>
      <c r="AG786" s="15"/>
      <c r="AH786" s="15"/>
    </row>
    <row r="787" spans="2:34" ht="14.25" customHeight="1">
      <c r="B787" s="15"/>
      <c r="C787" s="15"/>
      <c r="D787" s="15"/>
      <c r="H787" s="15"/>
      <c r="I787" s="15"/>
      <c r="J787" s="15"/>
      <c r="N787" s="15"/>
      <c r="O787" s="15"/>
      <c r="P787" s="15"/>
      <c r="T787" s="15"/>
      <c r="U787" s="15"/>
      <c r="V787" s="15"/>
      <c r="Z787" s="15"/>
      <c r="AA787" s="15"/>
      <c r="AB787" s="15"/>
      <c r="AF787" s="15"/>
      <c r="AG787" s="15"/>
      <c r="AH787" s="15"/>
    </row>
    <row r="788" spans="2:34" ht="14.25" customHeight="1">
      <c r="B788" s="15"/>
      <c r="C788" s="15"/>
      <c r="D788" s="15"/>
      <c r="H788" s="15"/>
      <c r="I788" s="15"/>
      <c r="J788" s="15"/>
      <c r="N788" s="15"/>
      <c r="O788" s="15"/>
      <c r="P788" s="15"/>
      <c r="T788" s="15"/>
      <c r="U788" s="15"/>
      <c r="V788" s="15"/>
      <c r="Z788" s="15"/>
      <c r="AA788" s="15"/>
      <c r="AB788" s="15"/>
      <c r="AF788" s="15"/>
      <c r="AG788" s="15"/>
      <c r="AH788" s="15"/>
    </row>
    <row r="789" spans="2:34" ht="14.25" customHeight="1">
      <c r="B789" s="15"/>
      <c r="C789" s="15"/>
      <c r="D789" s="15"/>
      <c r="H789" s="15"/>
      <c r="I789" s="15"/>
      <c r="J789" s="15"/>
      <c r="N789" s="15"/>
      <c r="O789" s="15"/>
      <c r="P789" s="15"/>
      <c r="T789" s="15"/>
      <c r="U789" s="15"/>
      <c r="V789" s="15"/>
      <c r="Z789" s="15"/>
      <c r="AA789" s="15"/>
      <c r="AB789" s="15"/>
      <c r="AF789" s="15"/>
      <c r="AG789" s="15"/>
      <c r="AH789" s="15"/>
    </row>
    <row r="790" spans="2:34" ht="14.25" customHeight="1">
      <c r="B790" s="15"/>
      <c r="C790" s="15"/>
      <c r="D790" s="15"/>
      <c r="H790" s="15"/>
      <c r="I790" s="15"/>
      <c r="J790" s="15"/>
      <c r="N790" s="15"/>
      <c r="O790" s="15"/>
      <c r="P790" s="15"/>
      <c r="T790" s="15"/>
      <c r="U790" s="15"/>
      <c r="V790" s="15"/>
      <c r="Z790" s="15"/>
      <c r="AA790" s="15"/>
      <c r="AB790" s="15"/>
      <c r="AF790" s="15"/>
      <c r="AG790" s="15"/>
      <c r="AH790" s="15"/>
    </row>
    <row r="791" spans="2:34" ht="14.25" customHeight="1">
      <c r="B791" s="15"/>
      <c r="C791" s="15"/>
      <c r="D791" s="15"/>
      <c r="H791" s="15"/>
      <c r="I791" s="15"/>
      <c r="J791" s="15"/>
      <c r="N791" s="15"/>
      <c r="O791" s="15"/>
      <c r="P791" s="15"/>
      <c r="T791" s="15"/>
      <c r="U791" s="15"/>
      <c r="V791" s="15"/>
      <c r="Z791" s="15"/>
      <c r="AA791" s="15"/>
      <c r="AB791" s="15"/>
      <c r="AF791" s="15"/>
      <c r="AG791" s="15"/>
      <c r="AH791" s="15"/>
    </row>
    <row r="792" spans="2:34" ht="14.25" customHeight="1">
      <c r="B792" s="15"/>
      <c r="C792" s="15"/>
      <c r="D792" s="15"/>
      <c r="H792" s="15"/>
      <c r="I792" s="15"/>
      <c r="J792" s="15"/>
      <c r="N792" s="15"/>
      <c r="O792" s="15"/>
      <c r="P792" s="15"/>
      <c r="T792" s="15"/>
      <c r="U792" s="15"/>
      <c r="V792" s="15"/>
      <c r="Z792" s="15"/>
      <c r="AA792" s="15"/>
      <c r="AB792" s="15"/>
      <c r="AF792" s="15"/>
      <c r="AG792" s="15"/>
      <c r="AH792" s="15"/>
    </row>
    <row r="793" spans="2:34" ht="14.25" customHeight="1">
      <c r="B793" s="15"/>
      <c r="C793" s="15"/>
      <c r="D793" s="15"/>
      <c r="H793" s="15"/>
      <c r="I793" s="15"/>
      <c r="J793" s="15"/>
      <c r="N793" s="15"/>
      <c r="O793" s="15"/>
      <c r="P793" s="15"/>
      <c r="T793" s="15"/>
      <c r="U793" s="15"/>
      <c r="V793" s="15"/>
      <c r="Z793" s="15"/>
      <c r="AA793" s="15"/>
      <c r="AB793" s="15"/>
      <c r="AF793" s="15"/>
      <c r="AG793" s="15"/>
      <c r="AH793" s="15"/>
    </row>
    <row r="794" spans="2:34" ht="14.25" customHeight="1">
      <c r="B794" s="15"/>
      <c r="C794" s="15"/>
      <c r="D794" s="15"/>
      <c r="H794" s="15"/>
      <c r="I794" s="15"/>
      <c r="J794" s="15"/>
      <c r="N794" s="15"/>
      <c r="O794" s="15"/>
      <c r="P794" s="15"/>
      <c r="T794" s="15"/>
      <c r="U794" s="15"/>
      <c r="V794" s="15"/>
      <c r="Z794" s="15"/>
      <c r="AA794" s="15"/>
      <c r="AB794" s="15"/>
      <c r="AF794" s="15"/>
      <c r="AG794" s="15"/>
      <c r="AH794" s="15"/>
    </row>
    <row r="795" spans="2:34" ht="14.25" customHeight="1">
      <c r="B795" s="15"/>
      <c r="C795" s="15"/>
      <c r="D795" s="15"/>
      <c r="H795" s="15"/>
      <c r="I795" s="15"/>
      <c r="J795" s="15"/>
      <c r="N795" s="15"/>
      <c r="O795" s="15"/>
      <c r="P795" s="15"/>
      <c r="T795" s="15"/>
      <c r="U795" s="15"/>
      <c r="V795" s="15"/>
      <c r="Z795" s="15"/>
      <c r="AA795" s="15"/>
      <c r="AB795" s="15"/>
      <c r="AF795" s="15"/>
      <c r="AG795" s="15"/>
      <c r="AH795" s="15"/>
    </row>
    <row r="796" spans="2:34" ht="14.25" customHeight="1">
      <c r="B796" s="15"/>
      <c r="C796" s="15"/>
      <c r="D796" s="15"/>
      <c r="H796" s="15"/>
      <c r="I796" s="15"/>
      <c r="J796" s="15"/>
      <c r="N796" s="15"/>
      <c r="O796" s="15"/>
      <c r="P796" s="15"/>
      <c r="T796" s="15"/>
      <c r="U796" s="15"/>
      <c r="V796" s="15"/>
      <c r="Z796" s="15"/>
      <c r="AA796" s="15"/>
      <c r="AB796" s="15"/>
      <c r="AF796" s="15"/>
      <c r="AG796" s="15"/>
      <c r="AH796" s="15"/>
    </row>
    <row r="797" spans="2:34" ht="14.25" customHeight="1">
      <c r="B797" s="15"/>
      <c r="C797" s="15"/>
      <c r="D797" s="15"/>
      <c r="H797" s="15"/>
      <c r="I797" s="15"/>
      <c r="J797" s="15"/>
      <c r="N797" s="15"/>
      <c r="O797" s="15"/>
      <c r="P797" s="15"/>
      <c r="T797" s="15"/>
      <c r="U797" s="15"/>
      <c r="V797" s="15"/>
      <c r="Z797" s="15"/>
      <c r="AA797" s="15"/>
      <c r="AB797" s="15"/>
      <c r="AF797" s="15"/>
      <c r="AG797" s="15"/>
      <c r="AH797" s="15"/>
    </row>
    <row r="798" spans="2:34" ht="14.25" customHeight="1">
      <c r="B798" s="15"/>
      <c r="C798" s="15"/>
      <c r="D798" s="15"/>
      <c r="H798" s="15"/>
      <c r="I798" s="15"/>
      <c r="J798" s="15"/>
      <c r="N798" s="15"/>
      <c r="O798" s="15"/>
      <c r="P798" s="15"/>
      <c r="T798" s="15"/>
      <c r="U798" s="15"/>
      <c r="V798" s="15"/>
      <c r="Z798" s="15"/>
      <c r="AA798" s="15"/>
      <c r="AB798" s="15"/>
      <c r="AF798" s="15"/>
      <c r="AG798" s="15"/>
      <c r="AH798" s="15"/>
    </row>
    <row r="799" spans="2:34" ht="14.25" customHeight="1">
      <c r="B799" s="15"/>
      <c r="C799" s="15"/>
      <c r="D799" s="15"/>
      <c r="H799" s="15"/>
      <c r="I799" s="15"/>
      <c r="J799" s="15"/>
      <c r="N799" s="15"/>
      <c r="O799" s="15"/>
      <c r="P799" s="15"/>
      <c r="T799" s="15"/>
      <c r="U799" s="15"/>
      <c r="V799" s="15"/>
      <c r="Z799" s="15"/>
      <c r="AA799" s="15"/>
      <c r="AB799" s="15"/>
      <c r="AF799" s="15"/>
      <c r="AG799" s="15"/>
      <c r="AH799" s="15"/>
    </row>
    <row r="800" spans="2:34" ht="14.25" customHeight="1">
      <c r="B800" s="15"/>
      <c r="C800" s="15"/>
      <c r="D800" s="15"/>
      <c r="H800" s="15"/>
      <c r="I800" s="15"/>
      <c r="J800" s="15"/>
      <c r="N800" s="15"/>
      <c r="O800" s="15"/>
      <c r="P800" s="15"/>
      <c r="T800" s="15"/>
      <c r="U800" s="15"/>
      <c r="V800" s="15"/>
      <c r="Z800" s="15"/>
      <c r="AA800" s="15"/>
      <c r="AB800" s="15"/>
      <c r="AF800" s="15"/>
      <c r="AG800" s="15"/>
      <c r="AH800" s="15"/>
    </row>
    <row r="801" spans="2:34" ht="14.25" customHeight="1">
      <c r="B801" s="15"/>
      <c r="C801" s="15"/>
      <c r="D801" s="15"/>
      <c r="H801" s="15"/>
      <c r="I801" s="15"/>
      <c r="J801" s="15"/>
      <c r="N801" s="15"/>
      <c r="O801" s="15"/>
      <c r="P801" s="15"/>
      <c r="T801" s="15"/>
      <c r="U801" s="15"/>
      <c r="V801" s="15"/>
      <c r="Z801" s="15"/>
      <c r="AA801" s="15"/>
      <c r="AB801" s="15"/>
      <c r="AF801" s="15"/>
      <c r="AG801" s="15"/>
      <c r="AH801" s="15"/>
    </row>
    <row r="802" spans="2:34" ht="14.25" customHeight="1">
      <c r="B802" s="15"/>
      <c r="C802" s="15"/>
      <c r="D802" s="15"/>
      <c r="H802" s="15"/>
      <c r="I802" s="15"/>
      <c r="J802" s="15"/>
      <c r="N802" s="15"/>
      <c r="O802" s="15"/>
      <c r="P802" s="15"/>
      <c r="T802" s="15"/>
      <c r="U802" s="15"/>
      <c r="V802" s="15"/>
      <c r="Z802" s="15"/>
      <c r="AA802" s="15"/>
      <c r="AB802" s="15"/>
      <c r="AF802" s="15"/>
      <c r="AG802" s="15"/>
      <c r="AH802" s="15"/>
    </row>
    <row r="803" spans="2:34" ht="14.25" customHeight="1">
      <c r="B803" s="15"/>
      <c r="C803" s="15"/>
      <c r="D803" s="15"/>
      <c r="H803" s="15"/>
      <c r="I803" s="15"/>
      <c r="J803" s="15"/>
      <c r="N803" s="15"/>
      <c r="O803" s="15"/>
      <c r="P803" s="15"/>
      <c r="T803" s="15"/>
      <c r="U803" s="15"/>
      <c r="V803" s="15"/>
      <c r="Z803" s="15"/>
      <c r="AA803" s="15"/>
      <c r="AB803" s="15"/>
      <c r="AF803" s="15"/>
      <c r="AG803" s="15"/>
      <c r="AH803" s="15"/>
    </row>
    <row r="804" spans="2:34" ht="14.25" customHeight="1">
      <c r="B804" s="15"/>
      <c r="C804" s="15"/>
      <c r="D804" s="15"/>
      <c r="H804" s="15"/>
      <c r="I804" s="15"/>
      <c r="J804" s="15"/>
      <c r="N804" s="15"/>
      <c r="O804" s="15"/>
      <c r="P804" s="15"/>
      <c r="T804" s="15"/>
      <c r="U804" s="15"/>
      <c r="V804" s="15"/>
      <c r="Z804" s="15"/>
      <c r="AA804" s="15"/>
      <c r="AB804" s="15"/>
      <c r="AF804" s="15"/>
      <c r="AG804" s="15"/>
      <c r="AH804" s="15"/>
    </row>
    <row r="805" spans="2:34" ht="14.25" customHeight="1">
      <c r="B805" s="15"/>
      <c r="C805" s="15"/>
      <c r="D805" s="15"/>
      <c r="H805" s="15"/>
      <c r="I805" s="15"/>
      <c r="J805" s="15"/>
      <c r="N805" s="15"/>
      <c r="O805" s="15"/>
      <c r="P805" s="15"/>
      <c r="T805" s="15"/>
      <c r="U805" s="15"/>
      <c r="V805" s="15"/>
      <c r="Z805" s="15"/>
      <c r="AA805" s="15"/>
      <c r="AB805" s="15"/>
      <c r="AF805" s="15"/>
      <c r="AG805" s="15"/>
      <c r="AH805" s="15"/>
    </row>
    <row r="806" spans="2:34" ht="14.25" customHeight="1">
      <c r="B806" s="15"/>
      <c r="C806" s="15"/>
      <c r="D806" s="15"/>
      <c r="H806" s="15"/>
      <c r="I806" s="15"/>
      <c r="J806" s="15"/>
      <c r="N806" s="15"/>
      <c r="O806" s="15"/>
      <c r="P806" s="15"/>
      <c r="T806" s="15"/>
      <c r="U806" s="15"/>
      <c r="V806" s="15"/>
      <c r="Z806" s="15"/>
      <c r="AA806" s="15"/>
      <c r="AB806" s="15"/>
      <c r="AF806" s="15"/>
      <c r="AG806" s="15"/>
      <c r="AH806" s="15"/>
    </row>
    <row r="807" spans="2:34" ht="14.25" customHeight="1">
      <c r="B807" s="15"/>
      <c r="C807" s="15"/>
      <c r="D807" s="15"/>
      <c r="H807" s="15"/>
      <c r="I807" s="15"/>
      <c r="J807" s="15"/>
      <c r="N807" s="15"/>
      <c r="O807" s="15"/>
      <c r="P807" s="15"/>
      <c r="T807" s="15"/>
      <c r="U807" s="15"/>
      <c r="V807" s="15"/>
      <c r="Z807" s="15"/>
      <c r="AA807" s="15"/>
      <c r="AB807" s="15"/>
      <c r="AF807" s="15"/>
      <c r="AG807" s="15"/>
      <c r="AH807" s="15"/>
    </row>
    <row r="808" spans="2:34" ht="14.25" customHeight="1">
      <c r="B808" s="15"/>
      <c r="C808" s="15"/>
      <c r="D808" s="15"/>
      <c r="H808" s="15"/>
      <c r="I808" s="15"/>
      <c r="J808" s="15"/>
      <c r="N808" s="15"/>
      <c r="O808" s="15"/>
      <c r="P808" s="15"/>
      <c r="T808" s="15"/>
      <c r="U808" s="15"/>
      <c r="V808" s="15"/>
      <c r="Z808" s="15"/>
      <c r="AA808" s="15"/>
      <c r="AB808" s="15"/>
      <c r="AF808" s="15"/>
      <c r="AG808" s="15"/>
      <c r="AH808" s="15"/>
    </row>
    <row r="809" spans="2:34" ht="14.25" customHeight="1">
      <c r="B809" s="15"/>
      <c r="C809" s="15"/>
      <c r="D809" s="15"/>
      <c r="H809" s="15"/>
      <c r="I809" s="15"/>
      <c r="J809" s="15"/>
      <c r="N809" s="15"/>
      <c r="O809" s="15"/>
      <c r="P809" s="15"/>
      <c r="T809" s="15"/>
      <c r="U809" s="15"/>
      <c r="V809" s="15"/>
      <c r="Z809" s="15"/>
      <c r="AA809" s="15"/>
      <c r="AB809" s="15"/>
      <c r="AF809" s="15"/>
      <c r="AG809" s="15"/>
      <c r="AH809" s="15"/>
    </row>
    <row r="810" spans="2:34" ht="14.25" customHeight="1">
      <c r="B810" s="15"/>
      <c r="C810" s="15"/>
      <c r="D810" s="15"/>
      <c r="H810" s="15"/>
      <c r="I810" s="15"/>
      <c r="J810" s="15"/>
      <c r="N810" s="15"/>
      <c r="O810" s="15"/>
      <c r="P810" s="15"/>
      <c r="T810" s="15"/>
      <c r="U810" s="15"/>
      <c r="V810" s="15"/>
      <c r="Z810" s="15"/>
      <c r="AA810" s="15"/>
      <c r="AB810" s="15"/>
      <c r="AF810" s="15"/>
      <c r="AG810" s="15"/>
      <c r="AH810" s="15"/>
    </row>
    <row r="811" spans="2:34" ht="14.25" customHeight="1">
      <c r="B811" s="15"/>
      <c r="C811" s="15"/>
      <c r="D811" s="15"/>
      <c r="H811" s="15"/>
      <c r="I811" s="15"/>
      <c r="J811" s="15"/>
      <c r="N811" s="15"/>
      <c r="O811" s="15"/>
      <c r="P811" s="15"/>
      <c r="T811" s="15"/>
      <c r="U811" s="15"/>
      <c r="V811" s="15"/>
      <c r="Z811" s="15"/>
      <c r="AA811" s="15"/>
      <c r="AB811" s="15"/>
      <c r="AF811" s="15"/>
      <c r="AG811" s="15"/>
      <c r="AH811" s="15"/>
    </row>
    <row r="812" spans="2:34" ht="14.25" customHeight="1">
      <c r="B812" s="15"/>
      <c r="C812" s="15"/>
      <c r="D812" s="15"/>
      <c r="H812" s="15"/>
      <c r="I812" s="15"/>
      <c r="J812" s="15"/>
      <c r="N812" s="15"/>
      <c r="O812" s="15"/>
      <c r="P812" s="15"/>
      <c r="T812" s="15"/>
      <c r="U812" s="15"/>
      <c r="V812" s="15"/>
      <c r="Z812" s="15"/>
      <c r="AA812" s="15"/>
      <c r="AB812" s="15"/>
      <c r="AF812" s="15"/>
      <c r="AG812" s="15"/>
      <c r="AH812" s="15"/>
    </row>
    <row r="813" spans="2:34" ht="14.25" customHeight="1">
      <c r="B813" s="15"/>
      <c r="C813" s="15"/>
      <c r="D813" s="15"/>
      <c r="H813" s="15"/>
      <c r="I813" s="15"/>
      <c r="J813" s="15"/>
      <c r="N813" s="15"/>
      <c r="O813" s="15"/>
      <c r="P813" s="15"/>
      <c r="T813" s="15"/>
      <c r="U813" s="15"/>
      <c r="V813" s="15"/>
      <c r="Z813" s="15"/>
      <c r="AA813" s="15"/>
      <c r="AB813" s="15"/>
      <c r="AF813" s="15"/>
      <c r="AG813" s="15"/>
      <c r="AH813" s="15"/>
    </row>
    <row r="814" spans="2:34" ht="14.25" customHeight="1">
      <c r="B814" s="15"/>
      <c r="C814" s="15"/>
      <c r="D814" s="15"/>
      <c r="H814" s="15"/>
      <c r="I814" s="15"/>
      <c r="J814" s="15"/>
      <c r="N814" s="15"/>
      <c r="O814" s="15"/>
      <c r="P814" s="15"/>
      <c r="T814" s="15"/>
      <c r="U814" s="15"/>
      <c r="V814" s="15"/>
      <c r="Z814" s="15"/>
      <c r="AA814" s="15"/>
      <c r="AB814" s="15"/>
      <c r="AF814" s="15"/>
      <c r="AG814" s="15"/>
      <c r="AH814" s="15"/>
    </row>
    <row r="815" spans="2:34" ht="14.25" customHeight="1">
      <c r="B815" s="15"/>
      <c r="C815" s="15"/>
      <c r="D815" s="15"/>
      <c r="H815" s="15"/>
      <c r="I815" s="15"/>
      <c r="J815" s="15"/>
      <c r="N815" s="15"/>
      <c r="O815" s="15"/>
      <c r="P815" s="15"/>
      <c r="T815" s="15"/>
      <c r="U815" s="15"/>
      <c r="V815" s="15"/>
      <c r="Z815" s="15"/>
      <c r="AA815" s="15"/>
      <c r="AB815" s="15"/>
      <c r="AF815" s="15"/>
      <c r="AG815" s="15"/>
      <c r="AH815" s="15"/>
    </row>
    <row r="816" spans="2:34" ht="14.25" customHeight="1">
      <c r="B816" s="15"/>
      <c r="C816" s="15"/>
      <c r="D816" s="15"/>
      <c r="H816" s="15"/>
      <c r="I816" s="15"/>
      <c r="J816" s="15"/>
      <c r="N816" s="15"/>
      <c r="O816" s="15"/>
      <c r="P816" s="15"/>
      <c r="T816" s="15"/>
      <c r="U816" s="15"/>
      <c r="V816" s="15"/>
      <c r="Z816" s="15"/>
      <c r="AA816" s="15"/>
      <c r="AB816" s="15"/>
      <c r="AF816" s="15"/>
      <c r="AG816" s="15"/>
      <c r="AH816" s="15"/>
    </row>
    <row r="817" spans="2:34" ht="14.25" customHeight="1">
      <c r="B817" s="15"/>
      <c r="C817" s="15"/>
      <c r="D817" s="15"/>
      <c r="H817" s="15"/>
      <c r="I817" s="15"/>
      <c r="J817" s="15"/>
      <c r="N817" s="15"/>
      <c r="O817" s="15"/>
      <c r="P817" s="15"/>
      <c r="T817" s="15"/>
      <c r="U817" s="15"/>
      <c r="V817" s="15"/>
      <c r="Z817" s="15"/>
      <c r="AA817" s="15"/>
      <c r="AB817" s="15"/>
      <c r="AF817" s="15"/>
      <c r="AG817" s="15"/>
      <c r="AH817" s="15"/>
    </row>
    <row r="818" spans="2:34" ht="14.25" customHeight="1">
      <c r="B818" s="15"/>
      <c r="C818" s="15"/>
      <c r="D818" s="15"/>
      <c r="H818" s="15"/>
      <c r="I818" s="15"/>
      <c r="J818" s="15"/>
      <c r="N818" s="15"/>
      <c r="O818" s="15"/>
      <c r="P818" s="15"/>
      <c r="T818" s="15"/>
      <c r="U818" s="15"/>
      <c r="V818" s="15"/>
      <c r="Z818" s="15"/>
      <c r="AA818" s="15"/>
      <c r="AB818" s="15"/>
      <c r="AF818" s="15"/>
      <c r="AG818" s="15"/>
      <c r="AH818" s="15"/>
    </row>
    <row r="819" spans="2:34" ht="14.25" customHeight="1">
      <c r="B819" s="15"/>
      <c r="C819" s="15"/>
      <c r="D819" s="15"/>
      <c r="H819" s="15"/>
      <c r="I819" s="15"/>
      <c r="J819" s="15"/>
      <c r="N819" s="15"/>
      <c r="O819" s="15"/>
      <c r="P819" s="15"/>
      <c r="T819" s="15"/>
      <c r="U819" s="15"/>
      <c r="V819" s="15"/>
      <c r="Z819" s="15"/>
      <c r="AA819" s="15"/>
      <c r="AB819" s="15"/>
      <c r="AF819" s="15"/>
      <c r="AG819" s="15"/>
      <c r="AH819" s="15"/>
    </row>
    <row r="820" spans="2:34" ht="14.25" customHeight="1">
      <c r="B820" s="15"/>
      <c r="C820" s="15"/>
      <c r="D820" s="15"/>
      <c r="H820" s="15"/>
      <c r="I820" s="15"/>
      <c r="J820" s="15"/>
      <c r="N820" s="15"/>
      <c r="O820" s="15"/>
      <c r="P820" s="15"/>
      <c r="T820" s="15"/>
      <c r="U820" s="15"/>
      <c r="V820" s="15"/>
      <c r="Z820" s="15"/>
      <c r="AA820" s="15"/>
      <c r="AB820" s="15"/>
      <c r="AF820" s="15"/>
      <c r="AG820" s="15"/>
      <c r="AH820" s="15"/>
    </row>
    <row r="821" spans="2:34" ht="14.25" customHeight="1">
      <c r="B821" s="15"/>
      <c r="C821" s="15"/>
      <c r="D821" s="15"/>
      <c r="H821" s="15"/>
      <c r="I821" s="15"/>
      <c r="J821" s="15"/>
      <c r="N821" s="15"/>
      <c r="O821" s="15"/>
      <c r="P821" s="15"/>
      <c r="T821" s="15"/>
      <c r="U821" s="15"/>
      <c r="V821" s="15"/>
      <c r="Z821" s="15"/>
      <c r="AA821" s="15"/>
      <c r="AB821" s="15"/>
      <c r="AF821" s="15"/>
      <c r="AG821" s="15"/>
      <c r="AH821" s="15"/>
    </row>
    <row r="822" spans="2:34" ht="14.25" customHeight="1">
      <c r="B822" s="15"/>
      <c r="C822" s="15"/>
      <c r="D822" s="15"/>
      <c r="H822" s="15"/>
      <c r="I822" s="15"/>
      <c r="J822" s="15"/>
      <c r="N822" s="15"/>
      <c r="O822" s="15"/>
      <c r="P822" s="15"/>
      <c r="T822" s="15"/>
      <c r="U822" s="15"/>
      <c r="V822" s="15"/>
      <c r="Z822" s="15"/>
      <c r="AA822" s="15"/>
      <c r="AB822" s="15"/>
      <c r="AF822" s="15"/>
      <c r="AG822" s="15"/>
      <c r="AH822" s="15"/>
    </row>
    <row r="823" spans="2:34" ht="14.25" customHeight="1">
      <c r="B823" s="15"/>
      <c r="C823" s="15"/>
      <c r="D823" s="15"/>
      <c r="H823" s="15"/>
      <c r="I823" s="15"/>
      <c r="J823" s="15"/>
      <c r="N823" s="15"/>
      <c r="O823" s="15"/>
      <c r="P823" s="15"/>
      <c r="T823" s="15"/>
      <c r="U823" s="15"/>
      <c r="V823" s="15"/>
      <c r="Z823" s="15"/>
      <c r="AA823" s="15"/>
      <c r="AB823" s="15"/>
      <c r="AF823" s="15"/>
      <c r="AG823" s="15"/>
      <c r="AH823" s="15"/>
    </row>
    <row r="824" spans="2:34" ht="14.25" customHeight="1">
      <c r="B824" s="15"/>
      <c r="C824" s="15"/>
      <c r="D824" s="15"/>
      <c r="H824" s="15"/>
      <c r="I824" s="15"/>
      <c r="J824" s="15"/>
      <c r="N824" s="15"/>
      <c r="O824" s="15"/>
      <c r="P824" s="15"/>
      <c r="T824" s="15"/>
      <c r="U824" s="15"/>
      <c r="V824" s="15"/>
      <c r="Z824" s="15"/>
      <c r="AA824" s="15"/>
      <c r="AB824" s="15"/>
      <c r="AF824" s="15"/>
      <c r="AG824" s="15"/>
      <c r="AH824" s="15"/>
    </row>
    <row r="825" spans="2:34" ht="14.25" customHeight="1">
      <c r="B825" s="15"/>
      <c r="C825" s="15"/>
      <c r="D825" s="15"/>
      <c r="H825" s="15"/>
      <c r="I825" s="15"/>
      <c r="J825" s="15"/>
      <c r="N825" s="15"/>
      <c r="O825" s="15"/>
      <c r="P825" s="15"/>
      <c r="T825" s="15"/>
      <c r="U825" s="15"/>
      <c r="V825" s="15"/>
      <c r="Z825" s="15"/>
      <c r="AA825" s="15"/>
      <c r="AB825" s="15"/>
      <c r="AF825" s="15"/>
      <c r="AG825" s="15"/>
      <c r="AH825" s="15"/>
    </row>
    <row r="826" spans="2:34" ht="14.25" customHeight="1">
      <c r="B826" s="15"/>
      <c r="C826" s="15"/>
      <c r="D826" s="15"/>
      <c r="H826" s="15"/>
      <c r="I826" s="15"/>
      <c r="J826" s="15"/>
      <c r="N826" s="15"/>
      <c r="O826" s="15"/>
      <c r="P826" s="15"/>
      <c r="T826" s="15"/>
      <c r="U826" s="15"/>
      <c r="V826" s="15"/>
      <c r="Z826" s="15"/>
      <c r="AA826" s="15"/>
      <c r="AB826" s="15"/>
      <c r="AF826" s="15"/>
      <c r="AG826" s="15"/>
      <c r="AH826" s="15"/>
    </row>
    <row r="827" spans="2:34" ht="14.25" customHeight="1">
      <c r="B827" s="15"/>
      <c r="C827" s="15"/>
      <c r="D827" s="15"/>
      <c r="H827" s="15"/>
      <c r="I827" s="15"/>
      <c r="J827" s="15"/>
      <c r="N827" s="15"/>
      <c r="O827" s="15"/>
      <c r="P827" s="15"/>
      <c r="T827" s="15"/>
      <c r="U827" s="15"/>
      <c r="V827" s="15"/>
      <c r="Z827" s="15"/>
      <c r="AA827" s="15"/>
      <c r="AB827" s="15"/>
      <c r="AF827" s="15"/>
      <c r="AG827" s="15"/>
      <c r="AH827" s="15"/>
    </row>
    <row r="828" spans="2:34" ht="14.25" customHeight="1">
      <c r="B828" s="15"/>
      <c r="C828" s="15"/>
      <c r="D828" s="15"/>
      <c r="H828" s="15"/>
      <c r="I828" s="15"/>
      <c r="J828" s="15"/>
      <c r="N828" s="15"/>
      <c r="O828" s="15"/>
      <c r="P828" s="15"/>
      <c r="T828" s="15"/>
      <c r="U828" s="15"/>
      <c r="V828" s="15"/>
      <c r="Z828" s="15"/>
      <c r="AA828" s="15"/>
      <c r="AB828" s="15"/>
      <c r="AF828" s="15"/>
      <c r="AG828" s="15"/>
      <c r="AH828" s="15"/>
    </row>
    <row r="829" spans="2:34" ht="14.25" customHeight="1">
      <c r="B829" s="15"/>
      <c r="C829" s="15"/>
      <c r="D829" s="15"/>
      <c r="H829" s="15"/>
      <c r="I829" s="15"/>
      <c r="J829" s="15"/>
      <c r="N829" s="15"/>
      <c r="O829" s="15"/>
      <c r="P829" s="15"/>
      <c r="T829" s="15"/>
      <c r="U829" s="15"/>
      <c r="V829" s="15"/>
      <c r="Z829" s="15"/>
      <c r="AA829" s="15"/>
      <c r="AB829" s="15"/>
      <c r="AF829" s="15"/>
      <c r="AG829" s="15"/>
      <c r="AH829" s="15"/>
    </row>
    <row r="830" spans="2:34" ht="14.25" customHeight="1">
      <c r="B830" s="15"/>
      <c r="C830" s="15"/>
      <c r="D830" s="15"/>
      <c r="H830" s="15"/>
      <c r="I830" s="15"/>
      <c r="J830" s="15"/>
      <c r="N830" s="15"/>
      <c r="O830" s="15"/>
      <c r="P830" s="15"/>
      <c r="T830" s="15"/>
      <c r="U830" s="15"/>
      <c r="V830" s="15"/>
      <c r="Z830" s="15"/>
      <c r="AA830" s="15"/>
      <c r="AB830" s="15"/>
      <c r="AF830" s="15"/>
      <c r="AG830" s="15"/>
      <c r="AH830" s="15"/>
    </row>
    <row r="831" spans="2:34" ht="14.25" customHeight="1">
      <c r="B831" s="15"/>
      <c r="C831" s="15"/>
      <c r="D831" s="15"/>
      <c r="H831" s="15"/>
      <c r="I831" s="15"/>
      <c r="J831" s="15"/>
      <c r="N831" s="15"/>
      <c r="O831" s="15"/>
      <c r="P831" s="15"/>
      <c r="T831" s="15"/>
      <c r="U831" s="15"/>
      <c r="V831" s="15"/>
      <c r="Z831" s="15"/>
      <c r="AA831" s="15"/>
      <c r="AB831" s="15"/>
      <c r="AF831" s="15"/>
      <c r="AG831" s="15"/>
      <c r="AH831" s="15"/>
    </row>
    <row r="832" spans="2:34" ht="14.25" customHeight="1">
      <c r="B832" s="15"/>
      <c r="C832" s="15"/>
      <c r="D832" s="15"/>
      <c r="H832" s="15"/>
      <c r="I832" s="15"/>
      <c r="J832" s="15"/>
      <c r="N832" s="15"/>
      <c r="O832" s="15"/>
      <c r="P832" s="15"/>
      <c r="T832" s="15"/>
      <c r="U832" s="15"/>
      <c r="V832" s="15"/>
      <c r="Z832" s="15"/>
      <c r="AA832" s="15"/>
      <c r="AB832" s="15"/>
      <c r="AF832" s="15"/>
      <c r="AG832" s="15"/>
      <c r="AH832" s="15"/>
    </row>
    <row r="833" spans="2:34" ht="14.25" customHeight="1">
      <c r="B833" s="15"/>
      <c r="C833" s="15"/>
      <c r="D833" s="15"/>
      <c r="H833" s="15"/>
      <c r="I833" s="15"/>
      <c r="J833" s="15"/>
      <c r="N833" s="15"/>
      <c r="O833" s="15"/>
      <c r="P833" s="15"/>
      <c r="T833" s="15"/>
      <c r="U833" s="15"/>
      <c r="V833" s="15"/>
      <c r="Z833" s="15"/>
      <c r="AA833" s="15"/>
      <c r="AB833" s="15"/>
      <c r="AF833" s="15"/>
      <c r="AG833" s="15"/>
      <c r="AH833" s="15"/>
    </row>
    <row r="834" spans="2:34" ht="14.25" customHeight="1">
      <c r="B834" s="15"/>
      <c r="C834" s="15"/>
      <c r="D834" s="15"/>
      <c r="H834" s="15"/>
      <c r="I834" s="15"/>
      <c r="J834" s="15"/>
      <c r="N834" s="15"/>
      <c r="O834" s="15"/>
      <c r="P834" s="15"/>
      <c r="T834" s="15"/>
      <c r="U834" s="15"/>
      <c r="V834" s="15"/>
      <c r="Z834" s="15"/>
      <c r="AA834" s="15"/>
      <c r="AB834" s="15"/>
      <c r="AF834" s="15"/>
      <c r="AG834" s="15"/>
      <c r="AH834" s="15"/>
    </row>
    <row r="835" spans="2:34" ht="14.25" customHeight="1">
      <c r="B835" s="15"/>
      <c r="C835" s="15"/>
      <c r="D835" s="15"/>
      <c r="H835" s="15"/>
      <c r="I835" s="15"/>
      <c r="J835" s="15"/>
      <c r="N835" s="15"/>
      <c r="O835" s="15"/>
      <c r="P835" s="15"/>
      <c r="T835" s="15"/>
      <c r="U835" s="15"/>
      <c r="V835" s="15"/>
      <c r="Z835" s="15"/>
      <c r="AA835" s="15"/>
      <c r="AB835" s="15"/>
      <c r="AF835" s="15"/>
      <c r="AG835" s="15"/>
      <c r="AH835" s="15"/>
    </row>
    <row r="836" spans="2:34" ht="14.25" customHeight="1">
      <c r="B836" s="15"/>
      <c r="C836" s="15"/>
      <c r="D836" s="15"/>
      <c r="H836" s="15"/>
      <c r="I836" s="15"/>
      <c r="J836" s="15"/>
      <c r="N836" s="15"/>
      <c r="O836" s="15"/>
      <c r="P836" s="15"/>
      <c r="T836" s="15"/>
      <c r="U836" s="15"/>
      <c r="V836" s="15"/>
      <c r="Z836" s="15"/>
      <c r="AA836" s="15"/>
      <c r="AB836" s="15"/>
      <c r="AF836" s="15"/>
      <c r="AG836" s="15"/>
      <c r="AH836" s="15"/>
    </row>
    <row r="837" spans="2:34" ht="14.25" customHeight="1">
      <c r="B837" s="15"/>
      <c r="C837" s="15"/>
      <c r="D837" s="15"/>
      <c r="H837" s="15"/>
      <c r="I837" s="15"/>
      <c r="J837" s="15"/>
      <c r="N837" s="15"/>
      <c r="O837" s="15"/>
      <c r="P837" s="15"/>
      <c r="T837" s="15"/>
      <c r="U837" s="15"/>
      <c r="V837" s="15"/>
      <c r="Z837" s="15"/>
      <c r="AA837" s="15"/>
      <c r="AB837" s="15"/>
      <c r="AF837" s="15"/>
      <c r="AG837" s="15"/>
      <c r="AH837" s="15"/>
    </row>
    <row r="838" spans="2:34" ht="14.25" customHeight="1">
      <c r="B838" s="15"/>
      <c r="C838" s="15"/>
      <c r="D838" s="15"/>
      <c r="H838" s="15"/>
      <c r="I838" s="15"/>
      <c r="J838" s="15"/>
      <c r="N838" s="15"/>
      <c r="O838" s="15"/>
      <c r="P838" s="15"/>
      <c r="T838" s="15"/>
      <c r="U838" s="15"/>
      <c r="V838" s="15"/>
      <c r="Z838" s="15"/>
      <c r="AA838" s="15"/>
      <c r="AB838" s="15"/>
      <c r="AF838" s="15"/>
      <c r="AG838" s="15"/>
      <c r="AH838" s="15"/>
    </row>
    <row r="839" spans="2:34" ht="14.25" customHeight="1">
      <c r="B839" s="15"/>
      <c r="C839" s="15"/>
      <c r="D839" s="15"/>
      <c r="H839" s="15"/>
      <c r="I839" s="15"/>
      <c r="J839" s="15"/>
      <c r="N839" s="15"/>
      <c r="O839" s="15"/>
      <c r="P839" s="15"/>
      <c r="T839" s="15"/>
      <c r="U839" s="15"/>
      <c r="V839" s="15"/>
      <c r="Z839" s="15"/>
      <c r="AA839" s="15"/>
      <c r="AB839" s="15"/>
      <c r="AF839" s="15"/>
      <c r="AG839" s="15"/>
      <c r="AH839" s="15"/>
    </row>
    <row r="840" spans="2:34" ht="14.25" customHeight="1">
      <c r="B840" s="15"/>
      <c r="C840" s="15"/>
      <c r="D840" s="15"/>
      <c r="H840" s="15"/>
      <c r="I840" s="15"/>
      <c r="J840" s="15"/>
      <c r="N840" s="15"/>
      <c r="O840" s="15"/>
      <c r="P840" s="15"/>
      <c r="T840" s="15"/>
      <c r="U840" s="15"/>
      <c r="V840" s="15"/>
      <c r="Z840" s="15"/>
      <c r="AA840" s="15"/>
      <c r="AB840" s="15"/>
      <c r="AF840" s="15"/>
      <c r="AG840" s="15"/>
      <c r="AH840" s="15"/>
    </row>
    <row r="841" spans="2:34" ht="14.25" customHeight="1">
      <c r="B841" s="15"/>
      <c r="C841" s="15"/>
      <c r="D841" s="15"/>
      <c r="H841" s="15"/>
      <c r="I841" s="15"/>
      <c r="J841" s="15"/>
      <c r="N841" s="15"/>
      <c r="O841" s="15"/>
      <c r="P841" s="15"/>
      <c r="T841" s="15"/>
      <c r="U841" s="15"/>
      <c r="V841" s="15"/>
      <c r="Z841" s="15"/>
      <c r="AA841" s="15"/>
      <c r="AB841" s="15"/>
      <c r="AF841" s="15"/>
      <c r="AG841" s="15"/>
      <c r="AH841" s="15"/>
    </row>
    <row r="842" spans="2:34" ht="14.25" customHeight="1">
      <c r="B842" s="15"/>
      <c r="C842" s="15"/>
      <c r="D842" s="15"/>
      <c r="H842" s="15"/>
      <c r="I842" s="15"/>
      <c r="J842" s="15"/>
      <c r="N842" s="15"/>
      <c r="O842" s="15"/>
      <c r="P842" s="15"/>
      <c r="T842" s="15"/>
      <c r="U842" s="15"/>
      <c r="V842" s="15"/>
      <c r="Z842" s="15"/>
      <c r="AA842" s="15"/>
      <c r="AB842" s="15"/>
      <c r="AF842" s="15"/>
      <c r="AG842" s="15"/>
      <c r="AH842" s="15"/>
    </row>
    <row r="843" spans="2:34" ht="14.25" customHeight="1">
      <c r="B843" s="15"/>
      <c r="C843" s="15"/>
      <c r="D843" s="15"/>
      <c r="H843" s="15"/>
      <c r="I843" s="15"/>
      <c r="J843" s="15"/>
      <c r="N843" s="15"/>
      <c r="O843" s="15"/>
      <c r="P843" s="15"/>
      <c r="T843" s="15"/>
      <c r="U843" s="15"/>
      <c r="V843" s="15"/>
      <c r="Z843" s="15"/>
      <c r="AA843" s="15"/>
      <c r="AB843" s="15"/>
      <c r="AF843" s="15"/>
      <c r="AG843" s="15"/>
      <c r="AH843" s="15"/>
    </row>
    <row r="844" spans="2:34" ht="14.25" customHeight="1">
      <c r="B844" s="15"/>
      <c r="C844" s="15"/>
      <c r="D844" s="15"/>
      <c r="H844" s="15"/>
      <c r="I844" s="15"/>
      <c r="J844" s="15"/>
      <c r="N844" s="15"/>
      <c r="O844" s="15"/>
      <c r="P844" s="15"/>
      <c r="T844" s="15"/>
      <c r="U844" s="15"/>
      <c r="V844" s="15"/>
      <c r="Z844" s="15"/>
      <c r="AA844" s="15"/>
      <c r="AB844" s="15"/>
      <c r="AF844" s="15"/>
      <c r="AG844" s="15"/>
      <c r="AH844" s="15"/>
    </row>
    <row r="845" spans="2:34" ht="14.25" customHeight="1">
      <c r="B845" s="15"/>
      <c r="C845" s="15"/>
      <c r="D845" s="15"/>
      <c r="H845" s="15"/>
      <c r="I845" s="15"/>
      <c r="J845" s="15"/>
      <c r="N845" s="15"/>
      <c r="O845" s="15"/>
      <c r="P845" s="15"/>
      <c r="T845" s="15"/>
      <c r="U845" s="15"/>
      <c r="V845" s="15"/>
      <c r="Z845" s="15"/>
      <c r="AA845" s="15"/>
      <c r="AB845" s="15"/>
      <c r="AF845" s="15"/>
      <c r="AG845" s="15"/>
      <c r="AH845" s="15"/>
    </row>
    <row r="846" spans="2:34" ht="14.25" customHeight="1">
      <c r="B846" s="15"/>
      <c r="C846" s="15"/>
      <c r="D846" s="15"/>
      <c r="H846" s="15"/>
      <c r="I846" s="15"/>
      <c r="J846" s="15"/>
      <c r="N846" s="15"/>
      <c r="O846" s="15"/>
      <c r="P846" s="15"/>
      <c r="T846" s="15"/>
      <c r="U846" s="15"/>
      <c r="V846" s="15"/>
      <c r="Z846" s="15"/>
      <c r="AA846" s="15"/>
      <c r="AB846" s="15"/>
      <c r="AF846" s="15"/>
      <c r="AG846" s="15"/>
      <c r="AH846" s="15"/>
    </row>
    <row r="847" spans="2:34" ht="14.25" customHeight="1">
      <c r="B847" s="15"/>
      <c r="C847" s="15"/>
      <c r="D847" s="15"/>
      <c r="H847" s="15"/>
      <c r="I847" s="15"/>
      <c r="J847" s="15"/>
      <c r="N847" s="15"/>
      <c r="O847" s="15"/>
      <c r="P847" s="15"/>
      <c r="T847" s="15"/>
      <c r="U847" s="15"/>
      <c r="V847" s="15"/>
      <c r="Z847" s="15"/>
      <c r="AA847" s="15"/>
      <c r="AB847" s="15"/>
      <c r="AF847" s="15"/>
      <c r="AG847" s="15"/>
      <c r="AH847" s="15"/>
    </row>
    <row r="848" spans="2:34" ht="14.25" customHeight="1">
      <c r="B848" s="15"/>
      <c r="C848" s="15"/>
      <c r="D848" s="15"/>
      <c r="H848" s="15"/>
      <c r="I848" s="15"/>
      <c r="J848" s="15"/>
      <c r="N848" s="15"/>
      <c r="O848" s="15"/>
      <c r="P848" s="15"/>
      <c r="T848" s="15"/>
      <c r="U848" s="15"/>
      <c r="V848" s="15"/>
      <c r="Z848" s="15"/>
      <c r="AA848" s="15"/>
      <c r="AB848" s="15"/>
      <c r="AF848" s="15"/>
      <c r="AG848" s="15"/>
      <c r="AH848" s="15"/>
    </row>
    <row r="849" spans="2:34" ht="14.25" customHeight="1">
      <c r="B849" s="15"/>
      <c r="C849" s="15"/>
      <c r="D849" s="15"/>
      <c r="H849" s="15"/>
      <c r="I849" s="15"/>
      <c r="J849" s="15"/>
      <c r="N849" s="15"/>
      <c r="O849" s="15"/>
      <c r="P849" s="15"/>
      <c r="T849" s="15"/>
      <c r="U849" s="15"/>
      <c r="V849" s="15"/>
      <c r="Z849" s="15"/>
      <c r="AA849" s="15"/>
      <c r="AB849" s="15"/>
      <c r="AF849" s="15"/>
      <c r="AG849" s="15"/>
      <c r="AH849" s="15"/>
    </row>
    <row r="850" spans="2:34" ht="14.25" customHeight="1">
      <c r="B850" s="15"/>
      <c r="C850" s="15"/>
      <c r="D850" s="15"/>
      <c r="H850" s="15"/>
      <c r="I850" s="15"/>
      <c r="J850" s="15"/>
      <c r="N850" s="15"/>
      <c r="O850" s="15"/>
      <c r="P850" s="15"/>
      <c r="T850" s="15"/>
      <c r="U850" s="15"/>
      <c r="V850" s="15"/>
      <c r="Z850" s="15"/>
      <c r="AA850" s="15"/>
      <c r="AB850" s="15"/>
      <c r="AF850" s="15"/>
      <c r="AG850" s="15"/>
      <c r="AH850" s="15"/>
    </row>
    <row r="851" spans="2:34" ht="14.25" customHeight="1">
      <c r="B851" s="15"/>
      <c r="C851" s="15"/>
      <c r="D851" s="15"/>
      <c r="H851" s="15"/>
      <c r="I851" s="15"/>
      <c r="J851" s="15"/>
      <c r="N851" s="15"/>
      <c r="O851" s="15"/>
      <c r="P851" s="15"/>
      <c r="T851" s="15"/>
      <c r="U851" s="15"/>
      <c r="V851" s="15"/>
      <c r="Z851" s="15"/>
      <c r="AA851" s="15"/>
      <c r="AB851" s="15"/>
      <c r="AF851" s="15"/>
      <c r="AG851" s="15"/>
      <c r="AH851" s="15"/>
    </row>
    <row r="852" spans="2:34" ht="14.25" customHeight="1">
      <c r="B852" s="15"/>
      <c r="C852" s="15"/>
      <c r="D852" s="15"/>
      <c r="H852" s="15"/>
      <c r="I852" s="15"/>
      <c r="J852" s="15"/>
      <c r="N852" s="15"/>
      <c r="O852" s="15"/>
      <c r="P852" s="15"/>
      <c r="T852" s="15"/>
      <c r="U852" s="15"/>
      <c r="V852" s="15"/>
      <c r="Z852" s="15"/>
      <c r="AA852" s="15"/>
      <c r="AB852" s="15"/>
      <c r="AF852" s="15"/>
      <c r="AG852" s="15"/>
      <c r="AH852" s="15"/>
    </row>
    <row r="853" spans="2:34" ht="14.25" customHeight="1">
      <c r="B853" s="15"/>
      <c r="C853" s="15"/>
      <c r="D853" s="15"/>
      <c r="H853" s="15"/>
      <c r="I853" s="15"/>
      <c r="J853" s="15"/>
      <c r="N853" s="15"/>
      <c r="O853" s="15"/>
      <c r="P853" s="15"/>
      <c r="T853" s="15"/>
      <c r="U853" s="15"/>
      <c r="V853" s="15"/>
      <c r="Z853" s="15"/>
      <c r="AA853" s="15"/>
      <c r="AB853" s="15"/>
      <c r="AF853" s="15"/>
      <c r="AG853" s="15"/>
      <c r="AH853" s="15"/>
    </row>
    <row r="854" spans="2:34" ht="14.25" customHeight="1">
      <c r="B854" s="15"/>
      <c r="C854" s="15"/>
      <c r="D854" s="15"/>
      <c r="H854" s="15"/>
      <c r="I854" s="15"/>
      <c r="J854" s="15"/>
      <c r="N854" s="15"/>
      <c r="O854" s="15"/>
      <c r="P854" s="15"/>
      <c r="T854" s="15"/>
      <c r="U854" s="15"/>
      <c r="V854" s="15"/>
      <c r="Z854" s="15"/>
      <c r="AA854" s="15"/>
      <c r="AB854" s="15"/>
      <c r="AF854" s="15"/>
      <c r="AG854" s="15"/>
      <c r="AH854" s="15"/>
    </row>
    <row r="855" spans="2:34" ht="14.25" customHeight="1">
      <c r="B855" s="15"/>
      <c r="C855" s="15"/>
      <c r="D855" s="15"/>
      <c r="H855" s="15"/>
      <c r="I855" s="15"/>
      <c r="J855" s="15"/>
      <c r="N855" s="15"/>
      <c r="O855" s="15"/>
      <c r="P855" s="15"/>
      <c r="T855" s="15"/>
      <c r="U855" s="15"/>
      <c r="V855" s="15"/>
      <c r="Z855" s="15"/>
      <c r="AA855" s="15"/>
      <c r="AB855" s="15"/>
      <c r="AF855" s="15"/>
      <c r="AG855" s="15"/>
      <c r="AH855" s="15"/>
    </row>
    <row r="856" spans="2:34" ht="14.25" customHeight="1">
      <c r="B856" s="15"/>
      <c r="C856" s="15"/>
      <c r="D856" s="15"/>
      <c r="H856" s="15"/>
      <c r="I856" s="15"/>
      <c r="J856" s="15"/>
      <c r="N856" s="15"/>
      <c r="O856" s="15"/>
      <c r="P856" s="15"/>
      <c r="T856" s="15"/>
      <c r="U856" s="15"/>
      <c r="V856" s="15"/>
      <c r="Z856" s="15"/>
      <c r="AA856" s="15"/>
      <c r="AB856" s="15"/>
      <c r="AF856" s="15"/>
      <c r="AG856" s="15"/>
      <c r="AH856" s="15"/>
    </row>
    <row r="857" spans="2:34" ht="14.25" customHeight="1">
      <c r="B857" s="15"/>
      <c r="C857" s="15"/>
      <c r="D857" s="15"/>
      <c r="H857" s="15"/>
      <c r="I857" s="15"/>
      <c r="J857" s="15"/>
      <c r="N857" s="15"/>
      <c r="O857" s="15"/>
      <c r="P857" s="15"/>
      <c r="T857" s="15"/>
      <c r="U857" s="15"/>
      <c r="V857" s="15"/>
      <c r="Z857" s="15"/>
      <c r="AA857" s="15"/>
      <c r="AB857" s="15"/>
      <c r="AF857" s="15"/>
      <c r="AG857" s="15"/>
      <c r="AH857" s="15"/>
    </row>
    <row r="858" spans="2:34" ht="14.25" customHeight="1">
      <c r="B858" s="15"/>
      <c r="C858" s="15"/>
      <c r="D858" s="15"/>
      <c r="H858" s="15"/>
      <c r="I858" s="15"/>
      <c r="J858" s="15"/>
      <c r="N858" s="15"/>
      <c r="O858" s="15"/>
      <c r="P858" s="15"/>
      <c r="T858" s="15"/>
      <c r="U858" s="15"/>
      <c r="V858" s="15"/>
      <c r="Z858" s="15"/>
      <c r="AA858" s="15"/>
      <c r="AB858" s="15"/>
      <c r="AF858" s="15"/>
      <c r="AG858" s="15"/>
      <c r="AH858" s="15"/>
    </row>
    <row r="859" spans="2:34" ht="14.25" customHeight="1">
      <c r="B859" s="15"/>
      <c r="C859" s="15"/>
      <c r="D859" s="15"/>
      <c r="H859" s="15"/>
      <c r="I859" s="15"/>
      <c r="J859" s="15"/>
      <c r="N859" s="15"/>
      <c r="O859" s="15"/>
      <c r="P859" s="15"/>
      <c r="T859" s="15"/>
      <c r="U859" s="15"/>
      <c r="V859" s="15"/>
      <c r="Z859" s="15"/>
      <c r="AA859" s="15"/>
      <c r="AB859" s="15"/>
      <c r="AF859" s="15"/>
      <c r="AG859" s="15"/>
      <c r="AH859" s="15"/>
    </row>
    <row r="860" spans="2:34" ht="14.25" customHeight="1">
      <c r="B860" s="15"/>
      <c r="C860" s="15"/>
      <c r="D860" s="15"/>
      <c r="H860" s="15"/>
      <c r="I860" s="15"/>
      <c r="J860" s="15"/>
      <c r="N860" s="15"/>
      <c r="O860" s="15"/>
      <c r="P860" s="15"/>
      <c r="T860" s="15"/>
      <c r="U860" s="15"/>
      <c r="V860" s="15"/>
      <c r="Z860" s="15"/>
      <c r="AA860" s="15"/>
      <c r="AB860" s="15"/>
      <c r="AF860" s="15"/>
      <c r="AG860" s="15"/>
      <c r="AH860" s="15"/>
    </row>
    <row r="861" spans="2:34" ht="14.25" customHeight="1">
      <c r="B861" s="15"/>
      <c r="C861" s="15"/>
      <c r="D861" s="15"/>
      <c r="H861" s="15"/>
      <c r="I861" s="15"/>
      <c r="J861" s="15"/>
      <c r="N861" s="15"/>
      <c r="O861" s="15"/>
      <c r="P861" s="15"/>
      <c r="T861" s="15"/>
      <c r="U861" s="15"/>
      <c r="V861" s="15"/>
      <c r="Z861" s="15"/>
      <c r="AA861" s="15"/>
      <c r="AB861" s="15"/>
      <c r="AF861" s="15"/>
      <c r="AG861" s="15"/>
      <c r="AH861" s="15"/>
    </row>
    <row r="862" spans="2:34" ht="14.25" customHeight="1">
      <c r="B862" s="15"/>
      <c r="C862" s="15"/>
      <c r="D862" s="15"/>
      <c r="H862" s="15"/>
      <c r="I862" s="15"/>
      <c r="J862" s="15"/>
      <c r="N862" s="15"/>
      <c r="O862" s="15"/>
      <c r="P862" s="15"/>
      <c r="T862" s="15"/>
      <c r="U862" s="15"/>
      <c r="V862" s="15"/>
      <c r="Z862" s="15"/>
      <c r="AA862" s="15"/>
      <c r="AB862" s="15"/>
      <c r="AF862" s="15"/>
      <c r="AG862" s="15"/>
      <c r="AH862" s="15"/>
    </row>
    <row r="863" spans="2:34" ht="14.25" customHeight="1">
      <c r="B863" s="15"/>
      <c r="C863" s="15"/>
      <c r="D863" s="15"/>
      <c r="H863" s="15"/>
      <c r="I863" s="15"/>
      <c r="J863" s="15"/>
      <c r="N863" s="15"/>
      <c r="O863" s="15"/>
      <c r="P863" s="15"/>
      <c r="T863" s="15"/>
      <c r="U863" s="15"/>
      <c r="V863" s="15"/>
      <c r="Z863" s="15"/>
      <c r="AA863" s="15"/>
      <c r="AB863" s="15"/>
      <c r="AF863" s="15"/>
      <c r="AG863" s="15"/>
      <c r="AH863" s="15"/>
    </row>
    <row r="864" spans="2:34" ht="14.25" customHeight="1">
      <c r="B864" s="15"/>
      <c r="C864" s="15"/>
      <c r="D864" s="15"/>
      <c r="H864" s="15"/>
      <c r="I864" s="15"/>
      <c r="J864" s="15"/>
      <c r="N864" s="15"/>
      <c r="O864" s="15"/>
      <c r="P864" s="15"/>
      <c r="T864" s="15"/>
      <c r="U864" s="15"/>
      <c r="V864" s="15"/>
      <c r="Z864" s="15"/>
      <c r="AA864" s="15"/>
      <c r="AB864" s="15"/>
      <c r="AF864" s="15"/>
      <c r="AG864" s="15"/>
      <c r="AH864" s="15"/>
    </row>
    <row r="865" spans="2:34" ht="14.25" customHeight="1">
      <c r="B865" s="15"/>
      <c r="C865" s="15"/>
      <c r="D865" s="15"/>
      <c r="H865" s="15"/>
      <c r="I865" s="15"/>
      <c r="J865" s="15"/>
      <c r="N865" s="15"/>
      <c r="O865" s="15"/>
      <c r="P865" s="15"/>
      <c r="T865" s="15"/>
      <c r="U865" s="15"/>
      <c r="V865" s="15"/>
      <c r="Z865" s="15"/>
      <c r="AA865" s="15"/>
      <c r="AB865" s="15"/>
      <c r="AF865" s="15"/>
      <c r="AG865" s="15"/>
      <c r="AH865" s="15"/>
    </row>
    <row r="866" spans="2:34" ht="14.25" customHeight="1">
      <c r="B866" s="15"/>
      <c r="C866" s="15"/>
      <c r="D866" s="15"/>
      <c r="H866" s="15"/>
      <c r="I866" s="15"/>
      <c r="J866" s="15"/>
      <c r="N866" s="15"/>
      <c r="O866" s="15"/>
      <c r="P866" s="15"/>
      <c r="T866" s="15"/>
      <c r="U866" s="15"/>
      <c r="V866" s="15"/>
      <c r="Z866" s="15"/>
      <c r="AA866" s="15"/>
      <c r="AB866" s="15"/>
      <c r="AF866" s="15"/>
      <c r="AG866" s="15"/>
      <c r="AH866" s="15"/>
    </row>
    <row r="867" spans="2:34" ht="14.25" customHeight="1">
      <c r="B867" s="15"/>
      <c r="C867" s="15"/>
      <c r="D867" s="15"/>
      <c r="H867" s="15"/>
      <c r="I867" s="15"/>
      <c r="J867" s="15"/>
      <c r="N867" s="15"/>
      <c r="O867" s="15"/>
      <c r="P867" s="15"/>
      <c r="T867" s="15"/>
      <c r="U867" s="15"/>
      <c r="V867" s="15"/>
      <c r="Z867" s="15"/>
      <c r="AA867" s="15"/>
      <c r="AB867" s="15"/>
      <c r="AF867" s="15"/>
      <c r="AG867" s="15"/>
      <c r="AH867" s="15"/>
    </row>
    <row r="868" spans="2:34" ht="14.25" customHeight="1">
      <c r="B868" s="15"/>
      <c r="C868" s="15"/>
      <c r="D868" s="15"/>
      <c r="H868" s="15"/>
      <c r="I868" s="15"/>
      <c r="J868" s="15"/>
      <c r="N868" s="15"/>
      <c r="O868" s="15"/>
      <c r="P868" s="15"/>
      <c r="T868" s="15"/>
      <c r="U868" s="15"/>
      <c r="V868" s="15"/>
      <c r="Z868" s="15"/>
      <c r="AA868" s="15"/>
      <c r="AB868" s="15"/>
      <c r="AF868" s="15"/>
      <c r="AG868" s="15"/>
      <c r="AH868" s="15"/>
    </row>
    <row r="869" spans="2:34" ht="14.25" customHeight="1">
      <c r="B869" s="15"/>
      <c r="C869" s="15"/>
      <c r="D869" s="15"/>
      <c r="H869" s="15"/>
      <c r="I869" s="15"/>
      <c r="J869" s="15"/>
      <c r="N869" s="15"/>
      <c r="O869" s="15"/>
      <c r="P869" s="15"/>
      <c r="T869" s="15"/>
      <c r="U869" s="15"/>
      <c r="V869" s="15"/>
      <c r="Z869" s="15"/>
      <c r="AA869" s="15"/>
      <c r="AB869" s="15"/>
      <c r="AF869" s="15"/>
      <c r="AG869" s="15"/>
      <c r="AH869" s="15"/>
    </row>
    <row r="870" spans="2:34" ht="14.25" customHeight="1">
      <c r="B870" s="15"/>
      <c r="C870" s="15"/>
      <c r="D870" s="15"/>
      <c r="H870" s="15"/>
      <c r="I870" s="15"/>
      <c r="J870" s="15"/>
      <c r="N870" s="15"/>
      <c r="O870" s="15"/>
      <c r="P870" s="15"/>
      <c r="T870" s="15"/>
      <c r="U870" s="15"/>
      <c r="V870" s="15"/>
      <c r="Z870" s="15"/>
      <c r="AA870" s="15"/>
      <c r="AB870" s="15"/>
      <c r="AF870" s="15"/>
      <c r="AG870" s="15"/>
      <c r="AH870" s="15"/>
    </row>
    <row r="871" spans="2:34" ht="14.25" customHeight="1">
      <c r="B871" s="15"/>
      <c r="C871" s="15"/>
      <c r="D871" s="15"/>
      <c r="H871" s="15"/>
      <c r="I871" s="15"/>
      <c r="J871" s="15"/>
      <c r="N871" s="15"/>
      <c r="O871" s="15"/>
      <c r="P871" s="15"/>
      <c r="T871" s="15"/>
      <c r="U871" s="15"/>
      <c r="V871" s="15"/>
      <c r="Z871" s="15"/>
      <c r="AA871" s="15"/>
      <c r="AB871" s="15"/>
      <c r="AF871" s="15"/>
      <c r="AG871" s="15"/>
      <c r="AH871" s="15"/>
    </row>
    <row r="872" spans="2:34" ht="14.25" customHeight="1">
      <c r="B872" s="15"/>
      <c r="C872" s="15"/>
      <c r="D872" s="15"/>
      <c r="H872" s="15"/>
      <c r="I872" s="15"/>
      <c r="J872" s="15"/>
      <c r="N872" s="15"/>
      <c r="O872" s="15"/>
      <c r="P872" s="15"/>
      <c r="T872" s="15"/>
      <c r="U872" s="15"/>
      <c r="V872" s="15"/>
      <c r="Z872" s="15"/>
      <c r="AA872" s="15"/>
      <c r="AB872" s="15"/>
      <c r="AF872" s="15"/>
      <c r="AG872" s="15"/>
      <c r="AH872" s="15"/>
    </row>
    <row r="873" spans="2:34" ht="14.25" customHeight="1">
      <c r="B873" s="15"/>
      <c r="C873" s="15"/>
      <c r="D873" s="15"/>
      <c r="H873" s="15"/>
      <c r="I873" s="15"/>
      <c r="J873" s="15"/>
      <c r="N873" s="15"/>
      <c r="O873" s="15"/>
      <c r="P873" s="15"/>
      <c r="T873" s="15"/>
      <c r="U873" s="15"/>
      <c r="V873" s="15"/>
      <c r="Z873" s="15"/>
      <c r="AA873" s="15"/>
      <c r="AB873" s="15"/>
      <c r="AF873" s="15"/>
      <c r="AG873" s="15"/>
      <c r="AH873" s="15"/>
    </row>
    <row r="874" spans="2:34" ht="14.25" customHeight="1">
      <c r="B874" s="15"/>
      <c r="C874" s="15"/>
      <c r="D874" s="15"/>
      <c r="H874" s="15"/>
      <c r="I874" s="15"/>
      <c r="J874" s="15"/>
      <c r="N874" s="15"/>
      <c r="O874" s="15"/>
      <c r="P874" s="15"/>
      <c r="T874" s="15"/>
      <c r="U874" s="15"/>
      <c r="V874" s="15"/>
      <c r="Z874" s="15"/>
      <c r="AA874" s="15"/>
      <c r="AB874" s="15"/>
      <c r="AF874" s="15"/>
      <c r="AG874" s="15"/>
      <c r="AH874" s="15"/>
    </row>
    <row r="875" spans="2:34" ht="14.25" customHeight="1">
      <c r="B875" s="15"/>
      <c r="C875" s="15"/>
      <c r="D875" s="15"/>
      <c r="H875" s="15"/>
      <c r="I875" s="15"/>
      <c r="J875" s="15"/>
      <c r="N875" s="15"/>
      <c r="O875" s="15"/>
      <c r="P875" s="15"/>
      <c r="T875" s="15"/>
      <c r="U875" s="15"/>
      <c r="V875" s="15"/>
      <c r="Z875" s="15"/>
      <c r="AA875" s="15"/>
      <c r="AB875" s="15"/>
      <c r="AF875" s="15"/>
      <c r="AG875" s="15"/>
      <c r="AH875" s="15"/>
    </row>
    <row r="876" spans="2:34" ht="14.25" customHeight="1">
      <c r="B876" s="15"/>
      <c r="C876" s="15"/>
      <c r="D876" s="15"/>
      <c r="H876" s="15"/>
      <c r="I876" s="15"/>
      <c r="J876" s="15"/>
      <c r="N876" s="15"/>
      <c r="O876" s="15"/>
      <c r="P876" s="15"/>
      <c r="T876" s="15"/>
      <c r="U876" s="15"/>
      <c r="V876" s="15"/>
      <c r="Z876" s="15"/>
      <c r="AA876" s="15"/>
      <c r="AB876" s="15"/>
      <c r="AF876" s="15"/>
      <c r="AG876" s="15"/>
      <c r="AH876" s="15"/>
    </row>
    <row r="877" spans="2:34" ht="14.25" customHeight="1">
      <c r="B877" s="15"/>
      <c r="C877" s="15"/>
      <c r="D877" s="15"/>
      <c r="H877" s="15"/>
      <c r="I877" s="15"/>
      <c r="J877" s="15"/>
      <c r="N877" s="15"/>
      <c r="O877" s="15"/>
      <c r="P877" s="15"/>
      <c r="T877" s="15"/>
      <c r="U877" s="15"/>
      <c r="V877" s="15"/>
      <c r="Z877" s="15"/>
      <c r="AA877" s="15"/>
      <c r="AB877" s="15"/>
      <c r="AF877" s="15"/>
      <c r="AG877" s="15"/>
      <c r="AH877" s="15"/>
    </row>
    <row r="878" spans="2:34" ht="14.25" customHeight="1">
      <c r="B878" s="15"/>
      <c r="C878" s="15"/>
      <c r="D878" s="15"/>
      <c r="H878" s="15"/>
      <c r="I878" s="15"/>
      <c r="J878" s="15"/>
      <c r="N878" s="15"/>
      <c r="O878" s="15"/>
      <c r="P878" s="15"/>
      <c r="T878" s="15"/>
      <c r="U878" s="15"/>
      <c r="V878" s="15"/>
      <c r="Z878" s="15"/>
      <c r="AA878" s="15"/>
      <c r="AB878" s="15"/>
      <c r="AF878" s="15"/>
      <c r="AG878" s="15"/>
      <c r="AH878" s="15"/>
    </row>
    <row r="879" spans="2:34" ht="14.25" customHeight="1">
      <c r="B879" s="15"/>
      <c r="C879" s="15"/>
      <c r="D879" s="15"/>
      <c r="H879" s="15"/>
      <c r="I879" s="15"/>
      <c r="J879" s="15"/>
      <c r="N879" s="15"/>
      <c r="O879" s="15"/>
      <c r="P879" s="15"/>
      <c r="T879" s="15"/>
      <c r="U879" s="15"/>
      <c r="V879" s="15"/>
      <c r="Z879" s="15"/>
      <c r="AA879" s="15"/>
      <c r="AB879" s="15"/>
      <c r="AF879" s="15"/>
      <c r="AG879" s="15"/>
      <c r="AH879" s="15"/>
    </row>
    <row r="880" spans="2:34" ht="14.25" customHeight="1">
      <c r="B880" s="15"/>
      <c r="C880" s="15"/>
      <c r="D880" s="15"/>
      <c r="H880" s="15"/>
      <c r="I880" s="15"/>
      <c r="J880" s="15"/>
      <c r="N880" s="15"/>
      <c r="O880" s="15"/>
      <c r="P880" s="15"/>
      <c r="T880" s="15"/>
      <c r="U880" s="15"/>
      <c r="V880" s="15"/>
      <c r="Z880" s="15"/>
      <c r="AA880" s="15"/>
      <c r="AB880" s="15"/>
      <c r="AF880" s="15"/>
      <c r="AG880" s="15"/>
      <c r="AH880" s="15"/>
    </row>
    <row r="881" spans="2:34" ht="14.25" customHeight="1">
      <c r="B881" s="15"/>
      <c r="C881" s="15"/>
      <c r="D881" s="15"/>
      <c r="H881" s="15"/>
      <c r="I881" s="15"/>
      <c r="J881" s="15"/>
      <c r="N881" s="15"/>
      <c r="O881" s="15"/>
      <c r="P881" s="15"/>
      <c r="T881" s="15"/>
      <c r="U881" s="15"/>
      <c r="V881" s="15"/>
      <c r="Z881" s="15"/>
      <c r="AA881" s="15"/>
      <c r="AB881" s="15"/>
      <c r="AF881" s="15"/>
      <c r="AG881" s="15"/>
      <c r="AH881" s="15"/>
    </row>
    <row r="882" spans="2:34" ht="14.25" customHeight="1">
      <c r="B882" s="15"/>
      <c r="C882" s="15"/>
      <c r="D882" s="15"/>
      <c r="H882" s="15"/>
      <c r="I882" s="15"/>
      <c r="J882" s="15"/>
      <c r="N882" s="15"/>
      <c r="O882" s="15"/>
      <c r="P882" s="15"/>
      <c r="T882" s="15"/>
      <c r="U882" s="15"/>
      <c r="V882" s="15"/>
      <c r="Z882" s="15"/>
      <c r="AA882" s="15"/>
      <c r="AB882" s="15"/>
      <c r="AF882" s="15"/>
      <c r="AG882" s="15"/>
      <c r="AH882" s="15"/>
    </row>
    <row r="883" spans="2:34" ht="14.25" customHeight="1">
      <c r="B883" s="15"/>
      <c r="C883" s="15"/>
      <c r="D883" s="15"/>
      <c r="H883" s="15"/>
      <c r="I883" s="15"/>
      <c r="J883" s="15"/>
      <c r="N883" s="15"/>
      <c r="O883" s="15"/>
      <c r="P883" s="15"/>
      <c r="T883" s="15"/>
      <c r="U883" s="15"/>
      <c r="V883" s="15"/>
      <c r="Z883" s="15"/>
      <c r="AA883" s="15"/>
      <c r="AB883" s="15"/>
      <c r="AF883" s="15"/>
      <c r="AG883" s="15"/>
      <c r="AH883" s="15"/>
    </row>
    <row r="884" spans="2:34" ht="14.25" customHeight="1">
      <c r="B884" s="15"/>
      <c r="C884" s="15"/>
      <c r="D884" s="15"/>
      <c r="H884" s="15"/>
      <c r="I884" s="15"/>
      <c r="J884" s="15"/>
      <c r="N884" s="15"/>
      <c r="O884" s="15"/>
      <c r="P884" s="15"/>
      <c r="T884" s="15"/>
      <c r="U884" s="15"/>
      <c r="V884" s="15"/>
      <c r="Z884" s="15"/>
      <c r="AA884" s="15"/>
      <c r="AB884" s="15"/>
      <c r="AF884" s="15"/>
      <c r="AG884" s="15"/>
      <c r="AH884" s="15"/>
    </row>
    <row r="885" spans="2:34" ht="14.25" customHeight="1">
      <c r="B885" s="15"/>
      <c r="C885" s="15"/>
      <c r="D885" s="15"/>
      <c r="H885" s="15"/>
      <c r="I885" s="15"/>
      <c r="J885" s="15"/>
      <c r="N885" s="15"/>
      <c r="O885" s="15"/>
      <c r="P885" s="15"/>
      <c r="T885" s="15"/>
      <c r="U885" s="15"/>
      <c r="V885" s="15"/>
      <c r="Z885" s="15"/>
      <c r="AA885" s="15"/>
      <c r="AB885" s="15"/>
      <c r="AF885" s="15"/>
      <c r="AG885" s="15"/>
      <c r="AH885" s="15"/>
    </row>
    <row r="886" spans="2:34" ht="14.25" customHeight="1">
      <c r="B886" s="15"/>
      <c r="C886" s="15"/>
      <c r="D886" s="15"/>
      <c r="H886" s="15"/>
      <c r="I886" s="15"/>
      <c r="J886" s="15"/>
      <c r="N886" s="15"/>
      <c r="O886" s="15"/>
      <c r="P886" s="15"/>
      <c r="T886" s="15"/>
      <c r="U886" s="15"/>
      <c r="V886" s="15"/>
      <c r="Z886" s="15"/>
      <c r="AA886" s="15"/>
      <c r="AB886" s="15"/>
      <c r="AF886" s="15"/>
      <c r="AG886" s="15"/>
      <c r="AH886" s="15"/>
    </row>
    <row r="887" spans="2:34" ht="14.25" customHeight="1">
      <c r="B887" s="15"/>
      <c r="C887" s="15"/>
      <c r="D887" s="15"/>
      <c r="H887" s="15"/>
      <c r="I887" s="15"/>
      <c r="J887" s="15"/>
      <c r="N887" s="15"/>
      <c r="O887" s="15"/>
      <c r="P887" s="15"/>
      <c r="T887" s="15"/>
      <c r="U887" s="15"/>
      <c r="V887" s="15"/>
      <c r="Z887" s="15"/>
      <c r="AA887" s="15"/>
      <c r="AB887" s="15"/>
      <c r="AF887" s="15"/>
      <c r="AG887" s="15"/>
      <c r="AH887" s="15"/>
    </row>
    <row r="888" spans="2:34" ht="14.25" customHeight="1">
      <c r="B888" s="15"/>
      <c r="C888" s="15"/>
      <c r="D888" s="15"/>
      <c r="H888" s="15"/>
      <c r="I888" s="15"/>
      <c r="J888" s="15"/>
      <c r="N888" s="15"/>
      <c r="O888" s="15"/>
      <c r="P888" s="15"/>
      <c r="T888" s="15"/>
      <c r="U888" s="15"/>
      <c r="V888" s="15"/>
      <c r="Z888" s="15"/>
      <c r="AA888" s="15"/>
      <c r="AB888" s="15"/>
      <c r="AF888" s="15"/>
      <c r="AG888" s="15"/>
      <c r="AH888" s="15"/>
    </row>
    <row r="889" spans="2:34" ht="14.25" customHeight="1">
      <c r="B889" s="15"/>
      <c r="C889" s="15"/>
      <c r="D889" s="15"/>
      <c r="H889" s="15"/>
      <c r="I889" s="15"/>
      <c r="J889" s="15"/>
      <c r="N889" s="15"/>
      <c r="O889" s="15"/>
      <c r="P889" s="15"/>
      <c r="T889" s="15"/>
      <c r="U889" s="15"/>
      <c r="V889" s="15"/>
      <c r="Z889" s="15"/>
      <c r="AA889" s="15"/>
      <c r="AB889" s="15"/>
      <c r="AF889" s="15"/>
      <c r="AG889" s="15"/>
      <c r="AH889" s="15"/>
    </row>
    <row r="890" spans="2:34" ht="14.25" customHeight="1">
      <c r="B890" s="15"/>
      <c r="C890" s="15"/>
      <c r="D890" s="15"/>
      <c r="H890" s="15"/>
      <c r="I890" s="15"/>
      <c r="J890" s="15"/>
      <c r="N890" s="15"/>
      <c r="O890" s="15"/>
      <c r="P890" s="15"/>
      <c r="T890" s="15"/>
      <c r="U890" s="15"/>
      <c r="V890" s="15"/>
      <c r="Z890" s="15"/>
      <c r="AA890" s="15"/>
      <c r="AB890" s="15"/>
      <c r="AF890" s="15"/>
      <c r="AG890" s="15"/>
      <c r="AH890" s="15"/>
    </row>
    <row r="891" spans="2:34" ht="14.25" customHeight="1">
      <c r="B891" s="15"/>
      <c r="C891" s="15"/>
      <c r="D891" s="15"/>
      <c r="H891" s="15"/>
      <c r="I891" s="15"/>
      <c r="J891" s="15"/>
      <c r="N891" s="15"/>
      <c r="O891" s="15"/>
      <c r="P891" s="15"/>
      <c r="T891" s="15"/>
      <c r="U891" s="15"/>
      <c r="V891" s="15"/>
      <c r="Z891" s="15"/>
      <c r="AA891" s="15"/>
      <c r="AB891" s="15"/>
      <c r="AF891" s="15"/>
      <c r="AG891" s="15"/>
      <c r="AH891" s="15"/>
    </row>
    <row r="892" spans="2:34" ht="14.25" customHeight="1">
      <c r="B892" s="15"/>
      <c r="C892" s="15"/>
      <c r="D892" s="15"/>
      <c r="H892" s="15"/>
      <c r="I892" s="15"/>
      <c r="J892" s="15"/>
      <c r="N892" s="15"/>
      <c r="O892" s="15"/>
      <c r="P892" s="15"/>
      <c r="T892" s="15"/>
      <c r="U892" s="15"/>
      <c r="V892" s="15"/>
      <c r="Z892" s="15"/>
      <c r="AA892" s="15"/>
      <c r="AB892" s="15"/>
      <c r="AF892" s="15"/>
      <c r="AG892" s="15"/>
      <c r="AH892" s="15"/>
    </row>
    <row r="893" spans="2:34" ht="14.25" customHeight="1">
      <c r="B893" s="15"/>
      <c r="C893" s="15"/>
      <c r="D893" s="15"/>
      <c r="H893" s="15"/>
      <c r="I893" s="15"/>
      <c r="J893" s="15"/>
      <c r="N893" s="15"/>
      <c r="O893" s="15"/>
      <c r="P893" s="15"/>
      <c r="T893" s="15"/>
      <c r="U893" s="15"/>
      <c r="V893" s="15"/>
      <c r="Z893" s="15"/>
      <c r="AA893" s="15"/>
      <c r="AB893" s="15"/>
      <c r="AF893" s="15"/>
      <c r="AG893" s="15"/>
      <c r="AH893" s="15"/>
    </row>
    <row r="894" spans="2:34" ht="14.25" customHeight="1">
      <c r="B894" s="15"/>
      <c r="C894" s="15"/>
      <c r="D894" s="15"/>
      <c r="H894" s="15"/>
      <c r="I894" s="15"/>
      <c r="J894" s="15"/>
      <c r="N894" s="15"/>
      <c r="O894" s="15"/>
      <c r="P894" s="15"/>
      <c r="T894" s="15"/>
      <c r="U894" s="15"/>
      <c r="V894" s="15"/>
      <c r="Z894" s="15"/>
      <c r="AA894" s="15"/>
      <c r="AB894" s="15"/>
      <c r="AF894" s="15"/>
      <c r="AG894" s="15"/>
      <c r="AH894" s="15"/>
    </row>
    <row r="895" spans="2:34" ht="14.25" customHeight="1">
      <c r="B895" s="15"/>
      <c r="C895" s="15"/>
      <c r="D895" s="15"/>
      <c r="H895" s="15"/>
      <c r="I895" s="15"/>
      <c r="J895" s="15"/>
      <c r="N895" s="15"/>
      <c r="O895" s="15"/>
      <c r="P895" s="15"/>
      <c r="T895" s="15"/>
      <c r="U895" s="15"/>
      <c r="V895" s="15"/>
      <c r="Z895" s="15"/>
      <c r="AA895" s="15"/>
      <c r="AB895" s="15"/>
      <c r="AF895" s="15"/>
      <c r="AG895" s="15"/>
      <c r="AH895" s="15"/>
    </row>
    <row r="896" spans="2:34" ht="14.25" customHeight="1">
      <c r="B896" s="15"/>
      <c r="C896" s="15"/>
      <c r="D896" s="15"/>
      <c r="H896" s="15"/>
      <c r="I896" s="15"/>
      <c r="J896" s="15"/>
      <c r="N896" s="15"/>
      <c r="O896" s="15"/>
      <c r="P896" s="15"/>
      <c r="T896" s="15"/>
      <c r="U896" s="15"/>
      <c r="V896" s="15"/>
      <c r="Z896" s="15"/>
      <c r="AA896" s="15"/>
      <c r="AB896" s="15"/>
      <c r="AF896" s="15"/>
      <c r="AG896" s="15"/>
      <c r="AH896" s="15"/>
    </row>
    <row r="897" spans="2:34" ht="14.25" customHeight="1">
      <c r="B897" s="15"/>
      <c r="C897" s="15"/>
      <c r="D897" s="15"/>
      <c r="H897" s="15"/>
      <c r="I897" s="15"/>
      <c r="J897" s="15"/>
      <c r="N897" s="15"/>
      <c r="O897" s="15"/>
      <c r="P897" s="15"/>
      <c r="T897" s="15"/>
      <c r="U897" s="15"/>
      <c r="V897" s="15"/>
      <c r="Z897" s="15"/>
      <c r="AA897" s="15"/>
      <c r="AB897" s="15"/>
      <c r="AF897" s="15"/>
      <c r="AG897" s="15"/>
      <c r="AH897" s="15"/>
    </row>
    <row r="898" spans="2:34" ht="14.25" customHeight="1">
      <c r="B898" s="15"/>
      <c r="C898" s="15"/>
      <c r="D898" s="15"/>
      <c r="H898" s="15"/>
      <c r="I898" s="15"/>
      <c r="J898" s="15"/>
      <c r="N898" s="15"/>
      <c r="O898" s="15"/>
      <c r="P898" s="15"/>
      <c r="T898" s="15"/>
      <c r="U898" s="15"/>
      <c r="V898" s="15"/>
      <c r="Z898" s="15"/>
      <c r="AA898" s="15"/>
      <c r="AB898" s="15"/>
      <c r="AF898" s="15"/>
      <c r="AG898" s="15"/>
      <c r="AH898" s="15"/>
    </row>
    <row r="899" spans="2:34" ht="14.25" customHeight="1">
      <c r="B899" s="15"/>
      <c r="C899" s="15"/>
      <c r="D899" s="15"/>
      <c r="H899" s="15"/>
      <c r="I899" s="15"/>
      <c r="J899" s="15"/>
      <c r="N899" s="15"/>
      <c r="O899" s="15"/>
      <c r="P899" s="15"/>
      <c r="T899" s="15"/>
      <c r="U899" s="15"/>
      <c r="V899" s="15"/>
      <c r="Z899" s="15"/>
      <c r="AA899" s="15"/>
      <c r="AB899" s="15"/>
      <c r="AF899" s="15"/>
      <c r="AG899" s="15"/>
      <c r="AH899" s="15"/>
    </row>
    <row r="900" spans="2:34" ht="14.25" customHeight="1">
      <c r="B900" s="15"/>
      <c r="C900" s="15"/>
      <c r="D900" s="15"/>
      <c r="H900" s="15"/>
      <c r="I900" s="15"/>
      <c r="J900" s="15"/>
      <c r="N900" s="15"/>
      <c r="O900" s="15"/>
      <c r="P900" s="15"/>
      <c r="T900" s="15"/>
      <c r="U900" s="15"/>
      <c r="V900" s="15"/>
      <c r="Z900" s="15"/>
      <c r="AA900" s="15"/>
      <c r="AB900" s="15"/>
      <c r="AF900" s="15"/>
      <c r="AG900" s="15"/>
      <c r="AH900" s="15"/>
    </row>
    <row r="901" spans="2:34" ht="14.25" customHeight="1">
      <c r="B901" s="15"/>
      <c r="C901" s="15"/>
      <c r="D901" s="15"/>
      <c r="H901" s="15"/>
      <c r="I901" s="15"/>
      <c r="J901" s="15"/>
      <c r="N901" s="15"/>
      <c r="O901" s="15"/>
      <c r="P901" s="15"/>
      <c r="T901" s="15"/>
      <c r="U901" s="15"/>
      <c r="V901" s="15"/>
      <c r="Z901" s="15"/>
      <c r="AA901" s="15"/>
      <c r="AB901" s="15"/>
      <c r="AF901" s="15"/>
      <c r="AG901" s="15"/>
      <c r="AH901" s="15"/>
    </row>
    <row r="902" spans="2:34" ht="14.25" customHeight="1">
      <c r="B902" s="15"/>
      <c r="C902" s="15"/>
      <c r="D902" s="15"/>
      <c r="H902" s="15"/>
      <c r="I902" s="15"/>
      <c r="J902" s="15"/>
      <c r="N902" s="15"/>
      <c r="O902" s="15"/>
      <c r="P902" s="15"/>
      <c r="T902" s="15"/>
      <c r="U902" s="15"/>
      <c r="V902" s="15"/>
      <c r="Z902" s="15"/>
      <c r="AA902" s="15"/>
      <c r="AB902" s="15"/>
      <c r="AF902" s="15"/>
      <c r="AG902" s="15"/>
      <c r="AH902" s="15"/>
    </row>
    <row r="903" spans="2:34" ht="14.25" customHeight="1">
      <c r="B903" s="15"/>
      <c r="C903" s="15"/>
      <c r="D903" s="15"/>
      <c r="H903" s="15"/>
      <c r="I903" s="15"/>
      <c r="J903" s="15"/>
      <c r="N903" s="15"/>
      <c r="O903" s="15"/>
      <c r="P903" s="15"/>
      <c r="T903" s="15"/>
      <c r="U903" s="15"/>
      <c r="V903" s="15"/>
      <c r="Z903" s="15"/>
      <c r="AA903" s="15"/>
      <c r="AB903" s="15"/>
      <c r="AF903" s="15"/>
      <c r="AG903" s="15"/>
      <c r="AH903" s="15"/>
    </row>
    <row r="904" spans="2:34" ht="14.25" customHeight="1">
      <c r="B904" s="15"/>
      <c r="C904" s="15"/>
      <c r="D904" s="15"/>
      <c r="H904" s="15"/>
      <c r="I904" s="15"/>
      <c r="J904" s="15"/>
      <c r="N904" s="15"/>
      <c r="O904" s="15"/>
      <c r="P904" s="15"/>
      <c r="T904" s="15"/>
      <c r="U904" s="15"/>
      <c r="V904" s="15"/>
      <c r="Z904" s="15"/>
      <c r="AA904" s="15"/>
      <c r="AB904" s="15"/>
      <c r="AF904" s="15"/>
      <c r="AG904" s="15"/>
      <c r="AH904" s="15"/>
    </row>
    <row r="905" spans="2:34" ht="14.25" customHeight="1">
      <c r="B905" s="15"/>
      <c r="C905" s="15"/>
      <c r="D905" s="15"/>
      <c r="H905" s="15"/>
      <c r="I905" s="15"/>
      <c r="J905" s="15"/>
      <c r="N905" s="15"/>
      <c r="O905" s="15"/>
      <c r="P905" s="15"/>
      <c r="T905" s="15"/>
      <c r="U905" s="15"/>
      <c r="V905" s="15"/>
      <c r="Z905" s="15"/>
      <c r="AA905" s="15"/>
      <c r="AB905" s="15"/>
      <c r="AF905" s="15"/>
      <c r="AG905" s="15"/>
      <c r="AH905" s="15"/>
    </row>
    <row r="906" spans="2:34" ht="14.25" customHeight="1">
      <c r="B906" s="15"/>
      <c r="C906" s="15"/>
      <c r="D906" s="15"/>
      <c r="H906" s="15"/>
      <c r="I906" s="15"/>
      <c r="J906" s="15"/>
      <c r="N906" s="15"/>
      <c r="O906" s="15"/>
      <c r="P906" s="15"/>
      <c r="T906" s="15"/>
      <c r="U906" s="15"/>
      <c r="V906" s="15"/>
      <c r="Z906" s="15"/>
      <c r="AA906" s="15"/>
      <c r="AB906" s="15"/>
      <c r="AF906" s="15"/>
      <c r="AG906" s="15"/>
      <c r="AH906" s="15"/>
    </row>
    <row r="907" spans="2:34" ht="14.25" customHeight="1">
      <c r="B907" s="15"/>
      <c r="C907" s="15"/>
      <c r="D907" s="15"/>
      <c r="H907" s="15"/>
      <c r="I907" s="15"/>
      <c r="J907" s="15"/>
      <c r="N907" s="15"/>
      <c r="O907" s="15"/>
      <c r="P907" s="15"/>
      <c r="T907" s="15"/>
      <c r="U907" s="15"/>
      <c r="V907" s="15"/>
      <c r="Z907" s="15"/>
      <c r="AA907" s="15"/>
      <c r="AB907" s="15"/>
      <c r="AF907" s="15"/>
      <c r="AG907" s="15"/>
      <c r="AH907" s="15"/>
    </row>
    <row r="908" spans="2:34" ht="14.25" customHeight="1">
      <c r="B908" s="15"/>
      <c r="C908" s="15"/>
      <c r="D908" s="15"/>
      <c r="H908" s="15"/>
      <c r="I908" s="15"/>
      <c r="J908" s="15"/>
      <c r="N908" s="15"/>
      <c r="O908" s="15"/>
      <c r="P908" s="15"/>
      <c r="T908" s="15"/>
      <c r="U908" s="15"/>
      <c r="V908" s="15"/>
      <c r="Z908" s="15"/>
      <c r="AA908" s="15"/>
      <c r="AB908" s="15"/>
      <c r="AF908" s="15"/>
      <c r="AG908" s="15"/>
      <c r="AH908" s="15"/>
    </row>
    <row r="909" spans="2:34" ht="14.25" customHeight="1">
      <c r="B909" s="15"/>
      <c r="C909" s="15"/>
      <c r="D909" s="15"/>
      <c r="H909" s="15"/>
      <c r="I909" s="15"/>
      <c r="J909" s="15"/>
      <c r="N909" s="15"/>
      <c r="O909" s="15"/>
      <c r="P909" s="15"/>
      <c r="T909" s="15"/>
      <c r="U909" s="15"/>
      <c r="V909" s="15"/>
      <c r="Z909" s="15"/>
      <c r="AA909" s="15"/>
      <c r="AB909" s="15"/>
      <c r="AF909" s="15"/>
      <c r="AG909" s="15"/>
      <c r="AH909" s="15"/>
    </row>
    <row r="910" spans="2:34" ht="14.25" customHeight="1">
      <c r="B910" s="15"/>
      <c r="C910" s="15"/>
      <c r="D910" s="15"/>
      <c r="H910" s="15"/>
      <c r="I910" s="15"/>
      <c r="J910" s="15"/>
      <c r="N910" s="15"/>
      <c r="O910" s="15"/>
      <c r="P910" s="15"/>
      <c r="T910" s="15"/>
      <c r="U910" s="15"/>
      <c r="V910" s="15"/>
      <c r="Z910" s="15"/>
      <c r="AA910" s="15"/>
      <c r="AB910" s="15"/>
      <c r="AF910" s="15"/>
      <c r="AG910" s="15"/>
      <c r="AH910" s="15"/>
    </row>
    <row r="911" spans="2:34" ht="14.25" customHeight="1">
      <c r="B911" s="15"/>
      <c r="C911" s="15"/>
      <c r="D911" s="15"/>
      <c r="H911" s="15"/>
      <c r="I911" s="15"/>
      <c r="J911" s="15"/>
      <c r="N911" s="15"/>
      <c r="O911" s="15"/>
      <c r="P911" s="15"/>
      <c r="T911" s="15"/>
      <c r="U911" s="15"/>
      <c r="V911" s="15"/>
      <c r="Z911" s="15"/>
      <c r="AA911" s="15"/>
      <c r="AB911" s="15"/>
      <c r="AF911" s="15"/>
      <c r="AG911" s="15"/>
      <c r="AH911" s="15"/>
    </row>
    <row r="912" spans="2:34" ht="14.25" customHeight="1">
      <c r="B912" s="15"/>
      <c r="C912" s="15"/>
      <c r="D912" s="15"/>
      <c r="H912" s="15"/>
      <c r="I912" s="15"/>
      <c r="J912" s="15"/>
      <c r="N912" s="15"/>
      <c r="O912" s="15"/>
      <c r="P912" s="15"/>
      <c r="T912" s="15"/>
      <c r="U912" s="15"/>
      <c r="V912" s="15"/>
      <c r="Z912" s="15"/>
      <c r="AA912" s="15"/>
      <c r="AB912" s="15"/>
      <c r="AF912" s="15"/>
      <c r="AG912" s="15"/>
      <c r="AH912" s="15"/>
    </row>
    <row r="913" spans="2:34" ht="14.25" customHeight="1">
      <c r="B913" s="15"/>
      <c r="C913" s="15"/>
      <c r="D913" s="15"/>
      <c r="H913" s="15"/>
      <c r="I913" s="15"/>
      <c r="J913" s="15"/>
      <c r="N913" s="15"/>
      <c r="O913" s="15"/>
      <c r="P913" s="15"/>
      <c r="T913" s="15"/>
      <c r="U913" s="15"/>
      <c r="V913" s="15"/>
      <c r="Z913" s="15"/>
      <c r="AA913" s="15"/>
      <c r="AB913" s="15"/>
      <c r="AF913" s="15"/>
      <c r="AG913" s="15"/>
      <c r="AH913" s="15"/>
    </row>
    <row r="914" spans="2:34" ht="14.25" customHeight="1">
      <c r="B914" s="15"/>
      <c r="C914" s="15"/>
      <c r="D914" s="15"/>
      <c r="H914" s="15"/>
      <c r="I914" s="15"/>
      <c r="J914" s="15"/>
      <c r="N914" s="15"/>
      <c r="O914" s="15"/>
      <c r="P914" s="15"/>
      <c r="T914" s="15"/>
      <c r="U914" s="15"/>
      <c r="V914" s="15"/>
      <c r="Z914" s="15"/>
      <c r="AA914" s="15"/>
      <c r="AB914" s="15"/>
      <c r="AF914" s="15"/>
      <c r="AG914" s="15"/>
      <c r="AH914" s="15"/>
    </row>
    <row r="915" spans="2:34" ht="14.25" customHeight="1">
      <c r="B915" s="15"/>
      <c r="C915" s="15"/>
      <c r="D915" s="15"/>
      <c r="H915" s="15"/>
      <c r="I915" s="15"/>
      <c r="J915" s="15"/>
      <c r="N915" s="15"/>
      <c r="O915" s="15"/>
      <c r="P915" s="15"/>
      <c r="T915" s="15"/>
      <c r="U915" s="15"/>
      <c r="V915" s="15"/>
      <c r="Z915" s="15"/>
      <c r="AA915" s="15"/>
      <c r="AB915" s="15"/>
      <c r="AF915" s="15"/>
      <c r="AG915" s="15"/>
      <c r="AH915" s="15"/>
    </row>
    <row r="916" spans="2:34" ht="14.25" customHeight="1">
      <c r="B916" s="15"/>
      <c r="C916" s="15"/>
      <c r="D916" s="15"/>
      <c r="H916" s="15"/>
      <c r="I916" s="15"/>
      <c r="J916" s="15"/>
      <c r="N916" s="15"/>
      <c r="O916" s="15"/>
      <c r="P916" s="15"/>
      <c r="T916" s="15"/>
      <c r="U916" s="15"/>
      <c r="V916" s="15"/>
      <c r="Z916" s="15"/>
      <c r="AA916" s="15"/>
      <c r="AB916" s="15"/>
      <c r="AF916" s="15"/>
      <c r="AG916" s="15"/>
      <c r="AH916" s="15"/>
    </row>
    <row r="917" spans="2:34" ht="14.25" customHeight="1">
      <c r="B917" s="15"/>
      <c r="C917" s="15"/>
      <c r="D917" s="15"/>
      <c r="H917" s="15"/>
      <c r="I917" s="15"/>
      <c r="J917" s="15"/>
      <c r="N917" s="15"/>
      <c r="O917" s="15"/>
      <c r="P917" s="15"/>
      <c r="T917" s="15"/>
      <c r="U917" s="15"/>
      <c r="V917" s="15"/>
      <c r="Z917" s="15"/>
      <c r="AA917" s="15"/>
      <c r="AB917" s="15"/>
      <c r="AF917" s="15"/>
      <c r="AG917" s="15"/>
      <c r="AH917" s="15"/>
    </row>
    <row r="918" spans="2:34" ht="14.25" customHeight="1">
      <c r="B918" s="15"/>
      <c r="C918" s="15"/>
      <c r="D918" s="15"/>
      <c r="H918" s="15"/>
      <c r="I918" s="15"/>
      <c r="J918" s="15"/>
      <c r="N918" s="15"/>
      <c r="O918" s="15"/>
      <c r="P918" s="15"/>
      <c r="T918" s="15"/>
      <c r="U918" s="15"/>
      <c r="V918" s="15"/>
      <c r="Z918" s="15"/>
      <c r="AA918" s="15"/>
      <c r="AB918" s="15"/>
      <c r="AF918" s="15"/>
      <c r="AG918" s="15"/>
      <c r="AH918" s="15"/>
    </row>
    <row r="919" spans="2:34" ht="14.25" customHeight="1">
      <c r="B919" s="15"/>
      <c r="C919" s="15"/>
      <c r="D919" s="15"/>
      <c r="H919" s="15"/>
      <c r="I919" s="15"/>
      <c r="J919" s="15"/>
      <c r="N919" s="15"/>
      <c r="O919" s="15"/>
      <c r="P919" s="15"/>
      <c r="T919" s="15"/>
      <c r="U919" s="15"/>
      <c r="V919" s="15"/>
      <c r="Z919" s="15"/>
      <c r="AA919" s="15"/>
      <c r="AB919" s="15"/>
      <c r="AF919" s="15"/>
      <c r="AG919" s="15"/>
      <c r="AH919" s="15"/>
    </row>
    <row r="920" spans="2:34" ht="14.25" customHeight="1">
      <c r="B920" s="15"/>
      <c r="C920" s="15"/>
      <c r="D920" s="15"/>
      <c r="H920" s="15"/>
      <c r="I920" s="15"/>
      <c r="J920" s="15"/>
      <c r="N920" s="15"/>
      <c r="O920" s="15"/>
      <c r="P920" s="15"/>
      <c r="T920" s="15"/>
      <c r="U920" s="15"/>
      <c r="V920" s="15"/>
      <c r="Z920" s="15"/>
      <c r="AA920" s="15"/>
      <c r="AB920" s="15"/>
      <c r="AF920" s="15"/>
      <c r="AG920" s="15"/>
      <c r="AH920" s="15"/>
    </row>
    <row r="921" spans="2:34" ht="14.25" customHeight="1">
      <c r="B921" s="15"/>
      <c r="C921" s="15"/>
      <c r="D921" s="15"/>
      <c r="H921" s="15"/>
      <c r="I921" s="15"/>
      <c r="J921" s="15"/>
      <c r="N921" s="15"/>
      <c r="O921" s="15"/>
      <c r="P921" s="15"/>
      <c r="T921" s="15"/>
      <c r="U921" s="15"/>
      <c r="V921" s="15"/>
      <c r="Z921" s="15"/>
      <c r="AA921" s="15"/>
      <c r="AB921" s="15"/>
      <c r="AF921" s="15"/>
      <c r="AG921" s="15"/>
      <c r="AH921" s="15"/>
    </row>
    <row r="922" spans="2:34" ht="14.25" customHeight="1">
      <c r="B922" s="15"/>
      <c r="C922" s="15"/>
      <c r="D922" s="15"/>
      <c r="H922" s="15"/>
      <c r="I922" s="15"/>
      <c r="J922" s="15"/>
      <c r="N922" s="15"/>
      <c r="O922" s="15"/>
      <c r="P922" s="15"/>
      <c r="T922" s="15"/>
      <c r="U922" s="15"/>
      <c r="V922" s="15"/>
      <c r="Z922" s="15"/>
      <c r="AA922" s="15"/>
      <c r="AB922" s="15"/>
      <c r="AF922" s="15"/>
      <c r="AG922" s="15"/>
      <c r="AH922" s="15"/>
    </row>
    <row r="923" spans="2:34" ht="14.25" customHeight="1">
      <c r="B923" s="15"/>
      <c r="C923" s="15"/>
      <c r="D923" s="15"/>
      <c r="H923" s="15"/>
      <c r="I923" s="15"/>
      <c r="J923" s="15"/>
      <c r="N923" s="15"/>
      <c r="O923" s="15"/>
      <c r="P923" s="15"/>
      <c r="T923" s="15"/>
      <c r="U923" s="15"/>
      <c r="V923" s="15"/>
      <c r="Z923" s="15"/>
      <c r="AA923" s="15"/>
      <c r="AB923" s="15"/>
      <c r="AF923" s="15"/>
      <c r="AG923" s="15"/>
      <c r="AH923" s="15"/>
    </row>
    <row r="924" spans="2:34" ht="14.25" customHeight="1">
      <c r="B924" s="15"/>
      <c r="C924" s="15"/>
      <c r="D924" s="15"/>
      <c r="H924" s="15"/>
      <c r="I924" s="15"/>
      <c r="J924" s="15"/>
      <c r="N924" s="15"/>
      <c r="O924" s="15"/>
      <c r="P924" s="15"/>
      <c r="T924" s="15"/>
      <c r="U924" s="15"/>
      <c r="V924" s="15"/>
      <c r="Z924" s="15"/>
      <c r="AA924" s="15"/>
      <c r="AB924" s="15"/>
      <c r="AF924" s="15"/>
      <c r="AG924" s="15"/>
      <c r="AH924" s="15"/>
    </row>
    <row r="925" spans="2:34" ht="14.25" customHeight="1">
      <c r="B925" s="15"/>
      <c r="C925" s="15"/>
      <c r="D925" s="15"/>
      <c r="H925" s="15"/>
      <c r="I925" s="15"/>
      <c r="J925" s="15"/>
      <c r="N925" s="15"/>
      <c r="O925" s="15"/>
      <c r="P925" s="15"/>
      <c r="T925" s="15"/>
      <c r="U925" s="15"/>
      <c r="V925" s="15"/>
      <c r="Z925" s="15"/>
      <c r="AA925" s="15"/>
      <c r="AB925" s="15"/>
      <c r="AF925" s="15"/>
      <c r="AG925" s="15"/>
      <c r="AH925" s="15"/>
    </row>
    <row r="926" spans="2:34" ht="14.25" customHeight="1">
      <c r="B926" s="15"/>
      <c r="C926" s="15"/>
      <c r="D926" s="15"/>
      <c r="H926" s="15"/>
      <c r="I926" s="15"/>
      <c r="J926" s="15"/>
      <c r="N926" s="15"/>
      <c r="O926" s="15"/>
      <c r="P926" s="15"/>
      <c r="T926" s="15"/>
      <c r="U926" s="15"/>
      <c r="V926" s="15"/>
      <c r="Z926" s="15"/>
      <c r="AA926" s="15"/>
      <c r="AB926" s="15"/>
      <c r="AF926" s="15"/>
      <c r="AG926" s="15"/>
      <c r="AH926" s="15"/>
    </row>
    <row r="927" spans="2:34" ht="14.25" customHeight="1">
      <c r="B927" s="15"/>
      <c r="C927" s="15"/>
      <c r="D927" s="15"/>
      <c r="H927" s="15"/>
      <c r="I927" s="15"/>
      <c r="J927" s="15"/>
      <c r="N927" s="15"/>
      <c r="O927" s="15"/>
      <c r="P927" s="15"/>
      <c r="T927" s="15"/>
      <c r="U927" s="15"/>
      <c r="V927" s="15"/>
      <c r="Z927" s="15"/>
      <c r="AA927" s="15"/>
      <c r="AB927" s="15"/>
      <c r="AF927" s="15"/>
      <c r="AG927" s="15"/>
      <c r="AH927" s="15"/>
    </row>
    <row r="928" spans="2:34" ht="14.25" customHeight="1">
      <c r="B928" s="15"/>
      <c r="C928" s="15"/>
      <c r="D928" s="15"/>
      <c r="H928" s="15"/>
      <c r="I928" s="15"/>
      <c r="J928" s="15"/>
      <c r="N928" s="15"/>
      <c r="O928" s="15"/>
      <c r="P928" s="15"/>
      <c r="T928" s="15"/>
      <c r="U928" s="15"/>
      <c r="V928" s="15"/>
      <c r="Z928" s="15"/>
      <c r="AA928" s="15"/>
      <c r="AB928" s="15"/>
      <c r="AF928" s="15"/>
      <c r="AG928" s="15"/>
      <c r="AH928" s="15"/>
    </row>
    <row r="929" spans="2:34" ht="14.25" customHeight="1">
      <c r="B929" s="15"/>
      <c r="C929" s="15"/>
      <c r="D929" s="15"/>
      <c r="H929" s="15"/>
      <c r="I929" s="15"/>
      <c r="J929" s="15"/>
      <c r="N929" s="15"/>
      <c r="O929" s="15"/>
      <c r="P929" s="15"/>
      <c r="T929" s="15"/>
      <c r="U929" s="15"/>
      <c r="V929" s="15"/>
      <c r="Z929" s="15"/>
      <c r="AA929" s="15"/>
      <c r="AB929" s="15"/>
      <c r="AF929" s="15"/>
      <c r="AG929" s="15"/>
      <c r="AH929" s="15"/>
    </row>
    <row r="930" spans="2:34" ht="14.25" customHeight="1">
      <c r="B930" s="15"/>
      <c r="C930" s="15"/>
      <c r="D930" s="15"/>
      <c r="H930" s="15"/>
      <c r="I930" s="15"/>
      <c r="J930" s="15"/>
      <c r="N930" s="15"/>
      <c r="O930" s="15"/>
      <c r="P930" s="15"/>
      <c r="T930" s="15"/>
      <c r="U930" s="15"/>
      <c r="V930" s="15"/>
      <c r="Z930" s="15"/>
      <c r="AA930" s="15"/>
      <c r="AB930" s="15"/>
      <c r="AF930" s="15"/>
      <c r="AG930" s="15"/>
      <c r="AH930" s="15"/>
    </row>
    <row r="931" spans="2:34" ht="14.25" customHeight="1">
      <c r="B931" s="15"/>
      <c r="C931" s="15"/>
      <c r="D931" s="15"/>
      <c r="H931" s="15"/>
      <c r="I931" s="15"/>
      <c r="J931" s="15"/>
      <c r="N931" s="15"/>
      <c r="O931" s="15"/>
      <c r="P931" s="15"/>
      <c r="T931" s="15"/>
      <c r="U931" s="15"/>
      <c r="V931" s="15"/>
      <c r="Z931" s="15"/>
      <c r="AA931" s="15"/>
      <c r="AB931" s="15"/>
      <c r="AF931" s="15"/>
      <c r="AG931" s="15"/>
      <c r="AH931" s="15"/>
    </row>
    <row r="932" spans="2:34" ht="14.25" customHeight="1">
      <c r="B932" s="15"/>
      <c r="C932" s="15"/>
      <c r="D932" s="15"/>
      <c r="H932" s="15"/>
      <c r="I932" s="15"/>
      <c r="J932" s="15"/>
      <c r="N932" s="15"/>
      <c r="O932" s="15"/>
      <c r="P932" s="15"/>
      <c r="T932" s="15"/>
      <c r="U932" s="15"/>
      <c r="V932" s="15"/>
      <c r="Z932" s="15"/>
      <c r="AA932" s="15"/>
      <c r="AB932" s="15"/>
      <c r="AF932" s="15"/>
      <c r="AG932" s="15"/>
      <c r="AH932" s="15"/>
    </row>
    <row r="933" spans="2:34" ht="14.25" customHeight="1">
      <c r="B933" s="15"/>
      <c r="C933" s="15"/>
      <c r="D933" s="15"/>
      <c r="H933" s="15"/>
      <c r="I933" s="15"/>
      <c r="J933" s="15"/>
      <c r="N933" s="15"/>
      <c r="O933" s="15"/>
      <c r="P933" s="15"/>
      <c r="T933" s="15"/>
      <c r="U933" s="15"/>
      <c r="V933" s="15"/>
      <c r="Z933" s="15"/>
      <c r="AA933" s="15"/>
      <c r="AB933" s="15"/>
      <c r="AF933" s="15"/>
      <c r="AG933" s="15"/>
      <c r="AH933" s="15"/>
    </row>
    <row r="934" spans="2:34" ht="14.25" customHeight="1">
      <c r="B934" s="15"/>
      <c r="C934" s="15"/>
      <c r="D934" s="15"/>
      <c r="H934" s="15"/>
      <c r="I934" s="15"/>
      <c r="J934" s="15"/>
      <c r="N934" s="15"/>
      <c r="O934" s="15"/>
      <c r="P934" s="15"/>
      <c r="T934" s="15"/>
      <c r="U934" s="15"/>
      <c r="V934" s="15"/>
      <c r="Z934" s="15"/>
      <c r="AA934" s="15"/>
      <c r="AB934" s="15"/>
      <c r="AF934" s="15"/>
      <c r="AG934" s="15"/>
      <c r="AH934" s="15"/>
    </row>
    <row r="935" spans="2:34" ht="14.25" customHeight="1">
      <c r="B935" s="15"/>
      <c r="C935" s="15"/>
      <c r="D935" s="15"/>
      <c r="H935" s="15"/>
      <c r="I935" s="15"/>
      <c r="J935" s="15"/>
      <c r="N935" s="15"/>
      <c r="O935" s="15"/>
      <c r="P935" s="15"/>
      <c r="T935" s="15"/>
      <c r="U935" s="15"/>
      <c r="V935" s="15"/>
      <c r="Z935" s="15"/>
      <c r="AA935" s="15"/>
      <c r="AB935" s="15"/>
      <c r="AF935" s="15"/>
      <c r="AG935" s="15"/>
      <c r="AH935" s="15"/>
    </row>
    <row r="936" spans="2:34" ht="14.25" customHeight="1">
      <c r="B936" s="15"/>
      <c r="C936" s="15"/>
      <c r="D936" s="15"/>
      <c r="H936" s="15"/>
      <c r="I936" s="15"/>
      <c r="J936" s="15"/>
      <c r="N936" s="15"/>
      <c r="O936" s="15"/>
      <c r="P936" s="15"/>
      <c r="T936" s="15"/>
      <c r="U936" s="15"/>
      <c r="V936" s="15"/>
      <c r="Z936" s="15"/>
      <c r="AA936" s="15"/>
      <c r="AB936" s="15"/>
      <c r="AF936" s="15"/>
      <c r="AG936" s="15"/>
      <c r="AH936" s="15"/>
    </row>
    <row r="937" spans="2:34" ht="14.25" customHeight="1">
      <c r="B937" s="15"/>
      <c r="C937" s="15"/>
      <c r="D937" s="15"/>
      <c r="H937" s="15"/>
      <c r="I937" s="15"/>
      <c r="J937" s="15"/>
      <c r="N937" s="15"/>
      <c r="O937" s="15"/>
      <c r="P937" s="15"/>
      <c r="T937" s="15"/>
      <c r="U937" s="15"/>
      <c r="V937" s="15"/>
      <c r="Z937" s="15"/>
      <c r="AA937" s="15"/>
      <c r="AB937" s="15"/>
      <c r="AF937" s="15"/>
      <c r="AG937" s="15"/>
      <c r="AH937" s="15"/>
    </row>
    <row r="938" spans="2:34" ht="14.25" customHeight="1">
      <c r="B938" s="15"/>
      <c r="C938" s="15"/>
      <c r="D938" s="15"/>
      <c r="H938" s="15"/>
      <c r="I938" s="15"/>
      <c r="J938" s="15"/>
      <c r="N938" s="15"/>
      <c r="O938" s="15"/>
      <c r="P938" s="15"/>
      <c r="T938" s="15"/>
      <c r="U938" s="15"/>
      <c r="V938" s="15"/>
      <c r="Z938" s="15"/>
      <c r="AA938" s="15"/>
      <c r="AB938" s="15"/>
      <c r="AF938" s="15"/>
      <c r="AG938" s="15"/>
      <c r="AH938" s="15"/>
    </row>
    <row r="939" spans="2:34" ht="14.25" customHeight="1">
      <c r="B939" s="15"/>
      <c r="C939" s="15"/>
      <c r="D939" s="15"/>
      <c r="H939" s="15"/>
      <c r="I939" s="15"/>
      <c r="J939" s="15"/>
      <c r="N939" s="15"/>
      <c r="O939" s="15"/>
      <c r="P939" s="15"/>
      <c r="T939" s="15"/>
      <c r="U939" s="15"/>
      <c r="V939" s="15"/>
      <c r="Z939" s="15"/>
      <c r="AA939" s="15"/>
      <c r="AB939" s="15"/>
      <c r="AF939" s="15"/>
      <c r="AG939" s="15"/>
      <c r="AH939" s="15"/>
    </row>
    <row r="940" spans="2:34" ht="14.25" customHeight="1">
      <c r="B940" s="15"/>
      <c r="C940" s="15"/>
      <c r="D940" s="15"/>
      <c r="H940" s="15"/>
      <c r="I940" s="15"/>
      <c r="J940" s="15"/>
      <c r="N940" s="15"/>
      <c r="O940" s="15"/>
      <c r="P940" s="15"/>
      <c r="T940" s="15"/>
      <c r="U940" s="15"/>
      <c r="V940" s="15"/>
      <c r="Z940" s="15"/>
      <c r="AA940" s="15"/>
      <c r="AB940" s="15"/>
      <c r="AF940" s="15"/>
      <c r="AG940" s="15"/>
      <c r="AH940" s="15"/>
    </row>
    <row r="941" spans="2:34" ht="14.25" customHeight="1">
      <c r="B941" s="15"/>
      <c r="C941" s="15"/>
      <c r="D941" s="15"/>
      <c r="H941" s="15"/>
      <c r="I941" s="15"/>
      <c r="J941" s="15"/>
      <c r="N941" s="15"/>
      <c r="O941" s="15"/>
      <c r="P941" s="15"/>
      <c r="T941" s="15"/>
      <c r="U941" s="15"/>
      <c r="V941" s="15"/>
      <c r="Z941" s="15"/>
      <c r="AA941" s="15"/>
      <c r="AB941" s="15"/>
      <c r="AF941" s="15"/>
      <c r="AG941" s="15"/>
      <c r="AH941" s="15"/>
    </row>
    <row r="942" spans="2:34" ht="14.25" customHeight="1">
      <c r="B942" s="15"/>
      <c r="C942" s="15"/>
      <c r="D942" s="15"/>
      <c r="H942" s="15"/>
      <c r="I942" s="15"/>
      <c r="J942" s="15"/>
      <c r="N942" s="15"/>
      <c r="O942" s="15"/>
      <c r="P942" s="15"/>
      <c r="T942" s="15"/>
      <c r="U942" s="15"/>
      <c r="V942" s="15"/>
      <c r="Z942" s="15"/>
      <c r="AA942" s="15"/>
      <c r="AB942" s="15"/>
      <c r="AF942" s="15"/>
      <c r="AG942" s="15"/>
      <c r="AH942" s="15"/>
    </row>
    <row r="943" spans="2:34" ht="14.25" customHeight="1">
      <c r="B943" s="15"/>
      <c r="C943" s="15"/>
      <c r="D943" s="15"/>
      <c r="H943" s="15"/>
      <c r="I943" s="15"/>
      <c r="J943" s="15"/>
      <c r="N943" s="15"/>
      <c r="O943" s="15"/>
      <c r="P943" s="15"/>
      <c r="T943" s="15"/>
      <c r="U943" s="15"/>
      <c r="V943" s="15"/>
      <c r="Z943" s="15"/>
      <c r="AA943" s="15"/>
      <c r="AB943" s="15"/>
      <c r="AF943" s="15"/>
      <c r="AG943" s="15"/>
      <c r="AH943" s="15"/>
    </row>
    <row r="944" spans="2:34" ht="14.25" customHeight="1">
      <c r="B944" s="15"/>
      <c r="C944" s="15"/>
      <c r="D944" s="15"/>
      <c r="H944" s="15"/>
      <c r="I944" s="15"/>
      <c r="J944" s="15"/>
      <c r="N944" s="15"/>
      <c r="O944" s="15"/>
      <c r="P944" s="15"/>
      <c r="T944" s="15"/>
      <c r="U944" s="15"/>
      <c r="V944" s="15"/>
      <c r="Z944" s="15"/>
      <c r="AA944" s="15"/>
      <c r="AB944" s="15"/>
      <c r="AF944" s="15"/>
      <c r="AG944" s="15"/>
      <c r="AH944" s="15"/>
    </row>
    <row r="945" spans="2:34" ht="14.25" customHeight="1">
      <c r="B945" s="15"/>
      <c r="C945" s="15"/>
      <c r="D945" s="15"/>
      <c r="H945" s="15"/>
      <c r="I945" s="15"/>
      <c r="J945" s="15"/>
      <c r="N945" s="15"/>
      <c r="O945" s="15"/>
      <c r="P945" s="15"/>
      <c r="T945" s="15"/>
      <c r="U945" s="15"/>
      <c r="V945" s="15"/>
      <c r="Z945" s="15"/>
      <c r="AA945" s="15"/>
      <c r="AB945" s="15"/>
      <c r="AF945" s="15"/>
      <c r="AG945" s="15"/>
      <c r="AH945" s="15"/>
    </row>
    <row r="946" spans="2:34" ht="14.25" customHeight="1">
      <c r="B946" s="15"/>
      <c r="C946" s="15"/>
      <c r="D946" s="15"/>
      <c r="H946" s="15"/>
      <c r="I946" s="15"/>
      <c r="J946" s="15"/>
      <c r="N946" s="15"/>
      <c r="O946" s="15"/>
      <c r="P946" s="15"/>
      <c r="T946" s="15"/>
      <c r="U946" s="15"/>
      <c r="V946" s="15"/>
      <c r="Z946" s="15"/>
      <c r="AA946" s="15"/>
      <c r="AB946" s="15"/>
      <c r="AF946" s="15"/>
      <c r="AG946" s="15"/>
      <c r="AH946" s="15"/>
    </row>
    <row r="947" spans="2:34" ht="14.25" customHeight="1">
      <c r="B947" s="15"/>
      <c r="C947" s="15"/>
      <c r="D947" s="15"/>
      <c r="H947" s="15"/>
      <c r="I947" s="15"/>
      <c r="J947" s="15"/>
      <c r="N947" s="15"/>
      <c r="O947" s="15"/>
      <c r="P947" s="15"/>
      <c r="T947" s="15"/>
      <c r="U947" s="15"/>
      <c r="V947" s="15"/>
      <c r="Z947" s="15"/>
      <c r="AA947" s="15"/>
      <c r="AB947" s="15"/>
      <c r="AF947" s="15"/>
      <c r="AG947" s="15"/>
      <c r="AH947" s="15"/>
    </row>
    <row r="948" spans="2:34" ht="14.25" customHeight="1">
      <c r="B948" s="15"/>
      <c r="C948" s="15"/>
      <c r="D948" s="15"/>
      <c r="H948" s="15"/>
      <c r="I948" s="15"/>
      <c r="J948" s="15"/>
      <c r="N948" s="15"/>
      <c r="O948" s="15"/>
      <c r="P948" s="15"/>
      <c r="T948" s="15"/>
      <c r="U948" s="15"/>
      <c r="V948" s="15"/>
      <c r="Z948" s="15"/>
      <c r="AA948" s="15"/>
      <c r="AB948" s="15"/>
      <c r="AF948" s="15"/>
      <c r="AG948" s="15"/>
      <c r="AH948" s="15"/>
    </row>
    <row r="949" spans="2:34" ht="14.25" customHeight="1">
      <c r="B949" s="15"/>
      <c r="C949" s="15"/>
      <c r="D949" s="15"/>
      <c r="H949" s="15"/>
      <c r="I949" s="15"/>
      <c r="J949" s="15"/>
      <c r="N949" s="15"/>
      <c r="O949" s="15"/>
      <c r="P949" s="15"/>
      <c r="T949" s="15"/>
      <c r="U949" s="15"/>
      <c r="V949" s="15"/>
      <c r="Z949" s="15"/>
      <c r="AA949" s="15"/>
      <c r="AB949" s="15"/>
      <c r="AF949" s="15"/>
      <c r="AG949" s="15"/>
      <c r="AH949" s="15"/>
    </row>
    <row r="950" spans="2:34" ht="14.25" customHeight="1">
      <c r="B950" s="15"/>
      <c r="C950" s="15"/>
      <c r="D950" s="15"/>
      <c r="H950" s="15"/>
      <c r="I950" s="15"/>
      <c r="J950" s="15"/>
      <c r="N950" s="15"/>
      <c r="O950" s="15"/>
      <c r="P950" s="15"/>
      <c r="T950" s="15"/>
      <c r="U950" s="15"/>
      <c r="V950" s="15"/>
      <c r="Z950" s="15"/>
      <c r="AA950" s="15"/>
      <c r="AB950" s="15"/>
      <c r="AF950" s="15"/>
      <c r="AG950" s="15"/>
      <c r="AH950" s="15"/>
    </row>
    <row r="951" spans="2:34" ht="14.25" customHeight="1">
      <c r="B951" s="15"/>
      <c r="C951" s="15"/>
      <c r="D951" s="15"/>
      <c r="H951" s="15"/>
      <c r="I951" s="15"/>
      <c r="J951" s="15"/>
      <c r="N951" s="15"/>
      <c r="O951" s="15"/>
      <c r="P951" s="15"/>
      <c r="T951" s="15"/>
      <c r="U951" s="15"/>
      <c r="V951" s="15"/>
      <c r="Z951" s="15"/>
      <c r="AA951" s="15"/>
      <c r="AB951" s="15"/>
      <c r="AF951" s="15"/>
      <c r="AG951" s="15"/>
      <c r="AH951" s="15"/>
    </row>
    <row r="952" spans="2:34" ht="14.25" customHeight="1">
      <c r="B952" s="15"/>
      <c r="C952" s="15"/>
      <c r="D952" s="15"/>
      <c r="H952" s="15"/>
      <c r="I952" s="15"/>
      <c r="J952" s="15"/>
      <c r="N952" s="15"/>
      <c r="O952" s="15"/>
      <c r="P952" s="15"/>
      <c r="T952" s="15"/>
      <c r="U952" s="15"/>
      <c r="V952" s="15"/>
      <c r="Z952" s="15"/>
      <c r="AA952" s="15"/>
      <c r="AB952" s="15"/>
      <c r="AF952" s="15"/>
      <c r="AG952" s="15"/>
      <c r="AH952" s="15"/>
    </row>
    <row r="953" spans="2:34" ht="14.25" customHeight="1">
      <c r="B953" s="15"/>
      <c r="C953" s="15"/>
      <c r="D953" s="15"/>
      <c r="H953" s="15"/>
      <c r="I953" s="15"/>
      <c r="J953" s="15"/>
      <c r="N953" s="15"/>
      <c r="O953" s="15"/>
      <c r="P953" s="15"/>
      <c r="T953" s="15"/>
      <c r="U953" s="15"/>
      <c r="V953" s="15"/>
      <c r="Z953" s="15"/>
      <c r="AA953" s="15"/>
      <c r="AB953" s="15"/>
      <c r="AF953" s="15"/>
      <c r="AG953" s="15"/>
      <c r="AH953" s="15"/>
    </row>
    <row r="954" spans="2:34" ht="14.25" customHeight="1">
      <c r="B954" s="15"/>
      <c r="C954" s="15"/>
      <c r="D954" s="15"/>
      <c r="H954" s="15"/>
      <c r="I954" s="15"/>
      <c r="J954" s="15"/>
      <c r="N954" s="15"/>
      <c r="O954" s="15"/>
      <c r="P954" s="15"/>
      <c r="T954" s="15"/>
      <c r="U954" s="15"/>
      <c r="V954" s="15"/>
      <c r="Z954" s="15"/>
      <c r="AA954" s="15"/>
      <c r="AB954" s="15"/>
      <c r="AF954" s="15"/>
      <c r="AG954" s="15"/>
      <c r="AH954" s="15"/>
    </row>
    <row r="955" spans="2:34" ht="14.25" customHeight="1">
      <c r="B955" s="15"/>
      <c r="C955" s="15"/>
      <c r="D955" s="15"/>
      <c r="H955" s="15"/>
      <c r="I955" s="15"/>
      <c r="J955" s="15"/>
      <c r="N955" s="15"/>
      <c r="O955" s="15"/>
      <c r="P955" s="15"/>
      <c r="T955" s="15"/>
      <c r="U955" s="15"/>
      <c r="V955" s="15"/>
      <c r="Z955" s="15"/>
      <c r="AA955" s="15"/>
      <c r="AB955" s="15"/>
      <c r="AF955" s="15"/>
      <c r="AG955" s="15"/>
      <c r="AH955" s="15"/>
    </row>
    <row r="956" spans="2:34" ht="14.25" customHeight="1">
      <c r="B956" s="15"/>
      <c r="C956" s="15"/>
      <c r="D956" s="15"/>
      <c r="H956" s="15"/>
      <c r="I956" s="15"/>
      <c r="J956" s="15"/>
      <c r="N956" s="15"/>
      <c r="O956" s="15"/>
      <c r="P956" s="15"/>
      <c r="T956" s="15"/>
      <c r="U956" s="15"/>
      <c r="V956" s="15"/>
      <c r="Z956" s="15"/>
      <c r="AA956" s="15"/>
      <c r="AB956" s="15"/>
      <c r="AF956" s="15"/>
      <c r="AG956" s="15"/>
      <c r="AH956" s="15"/>
    </row>
    <row r="957" spans="2:34" ht="14.25" customHeight="1">
      <c r="B957" s="15"/>
      <c r="C957" s="15"/>
      <c r="D957" s="15"/>
      <c r="H957" s="15"/>
      <c r="I957" s="15"/>
      <c r="J957" s="15"/>
      <c r="N957" s="15"/>
      <c r="O957" s="15"/>
      <c r="P957" s="15"/>
      <c r="T957" s="15"/>
      <c r="U957" s="15"/>
      <c r="V957" s="15"/>
      <c r="Z957" s="15"/>
      <c r="AA957" s="15"/>
      <c r="AB957" s="15"/>
      <c r="AF957" s="15"/>
      <c r="AG957" s="15"/>
      <c r="AH957" s="15"/>
    </row>
    <row r="958" spans="2:34" ht="14.25" customHeight="1">
      <c r="B958" s="15"/>
      <c r="C958" s="15"/>
      <c r="D958" s="15"/>
      <c r="H958" s="15"/>
      <c r="I958" s="15"/>
      <c r="J958" s="15"/>
      <c r="N958" s="15"/>
      <c r="O958" s="15"/>
      <c r="P958" s="15"/>
      <c r="T958" s="15"/>
      <c r="U958" s="15"/>
      <c r="V958" s="15"/>
      <c r="Z958" s="15"/>
      <c r="AA958" s="15"/>
      <c r="AB958" s="15"/>
      <c r="AF958" s="15"/>
      <c r="AG958" s="15"/>
      <c r="AH958" s="15"/>
    </row>
    <row r="959" spans="2:34" ht="14.25" customHeight="1">
      <c r="B959" s="15"/>
      <c r="C959" s="15"/>
      <c r="D959" s="15"/>
      <c r="H959" s="15"/>
      <c r="I959" s="15"/>
      <c r="J959" s="15"/>
      <c r="N959" s="15"/>
      <c r="O959" s="15"/>
      <c r="P959" s="15"/>
      <c r="T959" s="15"/>
      <c r="U959" s="15"/>
      <c r="V959" s="15"/>
      <c r="Z959" s="15"/>
      <c r="AA959" s="15"/>
      <c r="AB959" s="15"/>
      <c r="AF959" s="15"/>
      <c r="AG959" s="15"/>
      <c r="AH959" s="15"/>
    </row>
    <row r="960" spans="2:34" ht="14.25" customHeight="1">
      <c r="B960" s="15"/>
      <c r="C960" s="15"/>
      <c r="D960" s="15"/>
      <c r="H960" s="15"/>
      <c r="I960" s="15"/>
      <c r="J960" s="15"/>
      <c r="N960" s="15"/>
      <c r="O960" s="15"/>
      <c r="P960" s="15"/>
      <c r="T960" s="15"/>
      <c r="U960" s="15"/>
      <c r="V960" s="15"/>
      <c r="Z960" s="15"/>
      <c r="AA960" s="15"/>
      <c r="AB960" s="15"/>
      <c r="AF960" s="15"/>
      <c r="AG960" s="15"/>
      <c r="AH960" s="15"/>
    </row>
    <row r="961" spans="2:34" ht="14.25" customHeight="1">
      <c r="B961" s="15"/>
      <c r="C961" s="15"/>
      <c r="D961" s="15"/>
      <c r="H961" s="15"/>
      <c r="I961" s="15"/>
      <c r="J961" s="15"/>
      <c r="N961" s="15"/>
      <c r="O961" s="15"/>
      <c r="P961" s="15"/>
      <c r="T961" s="15"/>
      <c r="U961" s="15"/>
      <c r="V961" s="15"/>
      <c r="Z961" s="15"/>
      <c r="AA961" s="15"/>
      <c r="AB961" s="15"/>
      <c r="AF961" s="15"/>
      <c r="AG961" s="15"/>
      <c r="AH961" s="15"/>
    </row>
    <row r="962" spans="2:34" ht="14.25" customHeight="1">
      <c r="B962" s="15"/>
      <c r="C962" s="15"/>
      <c r="D962" s="15"/>
      <c r="H962" s="15"/>
      <c r="I962" s="15"/>
      <c r="J962" s="15"/>
      <c r="N962" s="15"/>
      <c r="O962" s="15"/>
      <c r="P962" s="15"/>
      <c r="T962" s="15"/>
      <c r="U962" s="15"/>
      <c r="V962" s="15"/>
      <c r="Z962" s="15"/>
      <c r="AA962" s="15"/>
      <c r="AB962" s="15"/>
      <c r="AF962" s="15"/>
      <c r="AG962" s="15"/>
      <c r="AH962" s="15"/>
    </row>
    <row r="963" spans="2:34" ht="14.25" customHeight="1">
      <c r="B963" s="15"/>
      <c r="C963" s="15"/>
      <c r="D963" s="15"/>
      <c r="H963" s="15"/>
      <c r="I963" s="15"/>
      <c r="J963" s="15"/>
      <c r="N963" s="15"/>
      <c r="O963" s="15"/>
      <c r="P963" s="15"/>
      <c r="T963" s="15"/>
      <c r="U963" s="15"/>
      <c r="V963" s="15"/>
      <c r="Z963" s="15"/>
      <c r="AA963" s="15"/>
      <c r="AB963" s="15"/>
      <c r="AF963" s="15"/>
      <c r="AG963" s="15"/>
      <c r="AH963" s="15"/>
    </row>
    <row r="964" spans="2:34" ht="14.25" customHeight="1">
      <c r="B964" s="15"/>
      <c r="C964" s="15"/>
      <c r="D964" s="15"/>
      <c r="H964" s="15"/>
      <c r="I964" s="15"/>
      <c r="J964" s="15"/>
      <c r="N964" s="15"/>
      <c r="O964" s="15"/>
      <c r="P964" s="15"/>
      <c r="T964" s="15"/>
      <c r="U964" s="15"/>
      <c r="V964" s="15"/>
      <c r="Z964" s="15"/>
      <c r="AA964" s="15"/>
      <c r="AB964" s="15"/>
      <c r="AF964" s="15"/>
      <c r="AG964" s="15"/>
      <c r="AH964" s="15"/>
    </row>
    <row r="965" spans="2:34" ht="14.25" customHeight="1">
      <c r="B965" s="15"/>
      <c r="C965" s="15"/>
      <c r="D965" s="15"/>
      <c r="H965" s="15"/>
      <c r="I965" s="15"/>
      <c r="J965" s="15"/>
      <c r="N965" s="15"/>
      <c r="O965" s="15"/>
      <c r="P965" s="15"/>
      <c r="T965" s="15"/>
      <c r="U965" s="15"/>
      <c r="V965" s="15"/>
      <c r="Z965" s="15"/>
      <c r="AA965" s="15"/>
      <c r="AB965" s="15"/>
      <c r="AF965" s="15"/>
      <c r="AG965" s="15"/>
      <c r="AH965" s="15"/>
    </row>
    <row r="966" spans="2:34" ht="14.25" customHeight="1">
      <c r="B966" s="15"/>
      <c r="C966" s="15"/>
      <c r="D966" s="15"/>
      <c r="H966" s="15"/>
      <c r="I966" s="15"/>
      <c r="J966" s="15"/>
      <c r="N966" s="15"/>
      <c r="O966" s="15"/>
      <c r="P966" s="15"/>
      <c r="T966" s="15"/>
      <c r="U966" s="15"/>
      <c r="V966" s="15"/>
      <c r="Z966" s="15"/>
      <c r="AA966" s="15"/>
      <c r="AB966" s="15"/>
      <c r="AF966" s="15"/>
      <c r="AG966" s="15"/>
      <c r="AH966" s="15"/>
    </row>
    <row r="967" spans="2:34" ht="14.25" customHeight="1">
      <c r="B967" s="15"/>
      <c r="C967" s="15"/>
      <c r="D967" s="15"/>
      <c r="H967" s="15"/>
      <c r="I967" s="15"/>
      <c r="J967" s="15"/>
      <c r="N967" s="15"/>
      <c r="O967" s="15"/>
      <c r="P967" s="15"/>
      <c r="T967" s="15"/>
      <c r="U967" s="15"/>
      <c r="V967" s="15"/>
      <c r="Z967" s="15"/>
      <c r="AA967" s="15"/>
      <c r="AB967" s="15"/>
      <c r="AF967" s="15"/>
      <c r="AG967" s="15"/>
      <c r="AH967" s="15"/>
    </row>
    <row r="968" spans="2:34" ht="14.25" customHeight="1">
      <c r="B968" s="15"/>
      <c r="C968" s="15"/>
      <c r="D968" s="15"/>
      <c r="H968" s="15"/>
      <c r="I968" s="15"/>
      <c r="J968" s="15"/>
      <c r="N968" s="15"/>
      <c r="O968" s="15"/>
      <c r="P968" s="15"/>
      <c r="T968" s="15"/>
      <c r="U968" s="15"/>
      <c r="V968" s="15"/>
      <c r="Z968" s="15"/>
      <c r="AA968" s="15"/>
      <c r="AB968" s="15"/>
      <c r="AF968" s="15"/>
      <c r="AG968" s="15"/>
      <c r="AH968" s="15"/>
    </row>
    <row r="969" spans="2:34" ht="14.25" customHeight="1">
      <c r="B969" s="15"/>
      <c r="C969" s="15"/>
      <c r="D969" s="15"/>
      <c r="H969" s="15"/>
      <c r="I969" s="15"/>
      <c r="J969" s="15"/>
      <c r="N969" s="15"/>
      <c r="O969" s="15"/>
      <c r="P969" s="15"/>
      <c r="T969" s="15"/>
      <c r="U969" s="15"/>
      <c r="V969" s="15"/>
      <c r="Z969" s="15"/>
      <c r="AA969" s="15"/>
      <c r="AB969" s="15"/>
      <c r="AF969" s="15"/>
      <c r="AG969" s="15"/>
      <c r="AH969" s="15"/>
    </row>
    <row r="970" spans="2:34" ht="14.25" customHeight="1">
      <c r="B970" s="15"/>
      <c r="C970" s="15"/>
      <c r="D970" s="15"/>
      <c r="H970" s="15"/>
      <c r="I970" s="15"/>
      <c r="J970" s="15"/>
      <c r="N970" s="15"/>
      <c r="O970" s="15"/>
      <c r="P970" s="15"/>
      <c r="T970" s="15"/>
      <c r="U970" s="15"/>
      <c r="V970" s="15"/>
      <c r="Z970" s="15"/>
      <c r="AA970" s="15"/>
      <c r="AB970" s="15"/>
      <c r="AF970" s="15"/>
      <c r="AG970" s="15"/>
      <c r="AH970" s="15"/>
    </row>
    <row r="971" spans="2:34" ht="14.25" customHeight="1">
      <c r="B971" s="15"/>
      <c r="C971" s="15"/>
      <c r="D971" s="15"/>
      <c r="H971" s="15"/>
      <c r="I971" s="15"/>
      <c r="J971" s="15"/>
      <c r="N971" s="15"/>
      <c r="O971" s="15"/>
      <c r="P971" s="15"/>
      <c r="T971" s="15"/>
      <c r="U971" s="15"/>
      <c r="V971" s="15"/>
      <c r="Z971" s="15"/>
      <c r="AA971" s="15"/>
      <c r="AB971" s="15"/>
      <c r="AF971" s="15"/>
      <c r="AG971" s="15"/>
      <c r="AH971" s="15"/>
    </row>
    <row r="972" spans="2:34" ht="14.25" customHeight="1">
      <c r="B972" s="15"/>
      <c r="C972" s="15"/>
      <c r="D972" s="15"/>
      <c r="H972" s="15"/>
      <c r="I972" s="15"/>
      <c r="J972" s="15"/>
      <c r="N972" s="15"/>
      <c r="O972" s="15"/>
      <c r="P972" s="15"/>
      <c r="T972" s="15"/>
      <c r="U972" s="15"/>
      <c r="V972" s="15"/>
      <c r="Z972" s="15"/>
      <c r="AA972" s="15"/>
      <c r="AB972" s="15"/>
      <c r="AF972" s="15"/>
      <c r="AG972" s="15"/>
      <c r="AH972" s="15"/>
    </row>
    <row r="973" spans="2:34" ht="14.25" customHeight="1">
      <c r="B973" s="15"/>
      <c r="C973" s="15"/>
      <c r="D973" s="15"/>
      <c r="H973" s="15"/>
      <c r="I973" s="15"/>
      <c r="J973" s="15"/>
      <c r="N973" s="15"/>
      <c r="O973" s="15"/>
      <c r="P973" s="15"/>
      <c r="T973" s="15"/>
      <c r="U973" s="15"/>
      <c r="V973" s="15"/>
      <c r="Z973" s="15"/>
      <c r="AA973" s="15"/>
      <c r="AB973" s="15"/>
      <c r="AF973" s="15"/>
      <c r="AG973" s="15"/>
      <c r="AH973" s="15"/>
    </row>
    <row r="974" spans="2:34" ht="14.25" customHeight="1">
      <c r="B974" s="15"/>
      <c r="C974" s="15"/>
      <c r="D974" s="15"/>
      <c r="H974" s="15"/>
      <c r="I974" s="15"/>
      <c r="J974" s="15"/>
      <c r="N974" s="15"/>
      <c r="O974" s="15"/>
      <c r="P974" s="15"/>
      <c r="T974" s="15"/>
      <c r="U974" s="15"/>
      <c r="V974" s="15"/>
      <c r="Z974" s="15"/>
      <c r="AA974" s="15"/>
      <c r="AB974" s="15"/>
      <c r="AF974" s="15"/>
      <c r="AG974" s="15"/>
      <c r="AH974" s="15"/>
    </row>
    <row r="975" spans="2:34" ht="14.25" customHeight="1">
      <c r="B975" s="15"/>
      <c r="C975" s="15"/>
      <c r="D975" s="15"/>
      <c r="H975" s="15"/>
      <c r="I975" s="15"/>
      <c r="J975" s="15"/>
      <c r="N975" s="15"/>
      <c r="O975" s="15"/>
      <c r="P975" s="15"/>
      <c r="T975" s="15"/>
      <c r="U975" s="15"/>
      <c r="V975" s="15"/>
      <c r="Z975" s="15"/>
      <c r="AA975" s="15"/>
      <c r="AB975" s="15"/>
      <c r="AF975" s="15"/>
      <c r="AG975" s="15"/>
      <c r="AH975" s="15"/>
    </row>
    <row r="976" spans="2:34" ht="14.25" customHeight="1">
      <c r="B976" s="15"/>
      <c r="C976" s="15"/>
      <c r="D976" s="15"/>
      <c r="H976" s="15"/>
      <c r="I976" s="15"/>
      <c r="J976" s="15"/>
      <c r="N976" s="15"/>
      <c r="O976" s="15"/>
      <c r="P976" s="15"/>
      <c r="T976" s="15"/>
      <c r="U976" s="15"/>
      <c r="V976" s="15"/>
      <c r="Z976" s="15"/>
      <c r="AA976" s="15"/>
      <c r="AB976" s="15"/>
      <c r="AF976" s="15"/>
      <c r="AG976" s="15"/>
      <c r="AH976" s="15"/>
    </row>
    <row r="977" spans="2:34" ht="14.25" customHeight="1">
      <c r="B977" s="15"/>
      <c r="C977" s="15"/>
      <c r="D977" s="15"/>
      <c r="H977" s="15"/>
      <c r="I977" s="15"/>
      <c r="J977" s="15"/>
      <c r="N977" s="15"/>
      <c r="O977" s="15"/>
      <c r="P977" s="15"/>
      <c r="T977" s="15"/>
      <c r="U977" s="15"/>
      <c r="V977" s="15"/>
      <c r="Z977" s="15"/>
      <c r="AA977" s="15"/>
      <c r="AB977" s="15"/>
      <c r="AF977" s="15"/>
      <c r="AG977" s="15"/>
      <c r="AH977" s="15"/>
    </row>
    <row r="978" spans="2:34" ht="14.25" customHeight="1">
      <c r="B978" s="15"/>
      <c r="C978" s="15"/>
      <c r="D978" s="15"/>
      <c r="H978" s="15"/>
      <c r="I978" s="15"/>
      <c r="J978" s="15"/>
      <c r="N978" s="15"/>
      <c r="O978" s="15"/>
      <c r="P978" s="15"/>
      <c r="T978" s="15"/>
      <c r="U978" s="15"/>
      <c r="V978" s="15"/>
      <c r="Z978" s="15"/>
      <c r="AA978" s="15"/>
      <c r="AB978" s="15"/>
      <c r="AF978" s="15"/>
      <c r="AG978" s="15"/>
      <c r="AH978" s="15"/>
    </row>
    <row r="979" spans="2:34" ht="14.25" customHeight="1">
      <c r="B979" s="15"/>
      <c r="C979" s="15"/>
      <c r="D979" s="15"/>
      <c r="H979" s="15"/>
      <c r="I979" s="15"/>
      <c r="J979" s="15"/>
      <c r="N979" s="15"/>
      <c r="O979" s="15"/>
      <c r="P979" s="15"/>
      <c r="T979" s="15"/>
      <c r="U979" s="15"/>
      <c r="V979" s="15"/>
      <c r="Z979" s="15"/>
      <c r="AA979" s="15"/>
      <c r="AB979" s="15"/>
      <c r="AF979" s="15"/>
      <c r="AG979" s="15"/>
      <c r="AH979" s="15"/>
    </row>
    <row r="980" spans="2:34" ht="14.25" customHeight="1">
      <c r="B980" s="15"/>
      <c r="C980" s="15"/>
      <c r="D980" s="15"/>
      <c r="H980" s="15"/>
      <c r="I980" s="15"/>
      <c r="J980" s="15"/>
      <c r="N980" s="15"/>
      <c r="O980" s="15"/>
      <c r="P980" s="15"/>
      <c r="T980" s="15"/>
      <c r="U980" s="15"/>
      <c r="V980" s="15"/>
      <c r="Z980" s="15"/>
      <c r="AA980" s="15"/>
      <c r="AB980" s="15"/>
      <c r="AF980" s="15"/>
      <c r="AG980" s="15"/>
      <c r="AH980" s="15"/>
    </row>
    <row r="981" spans="2:34" ht="14.25" customHeight="1">
      <c r="B981" s="15"/>
      <c r="C981" s="15"/>
      <c r="D981" s="15"/>
      <c r="H981" s="15"/>
      <c r="I981" s="15"/>
      <c r="J981" s="15"/>
      <c r="N981" s="15"/>
      <c r="O981" s="15"/>
      <c r="P981" s="15"/>
      <c r="T981" s="15"/>
      <c r="U981" s="15"/>
      <c r="V981" s="15"/>
      <c r="Z981" s="15"/>
      <c r="AA981" s="15"/>
      <c r="AB981" s="15"/>
      <c r="AF981" s="15"/>
      <c r="AG981" s="15"/>
      <c r="AH981" s="15"/>
    </row>
    <row r="982" spans="2:34" ht="14.25" customHeight="1">
      <c r="B982" s="15"/>
      <c r="C982" s="15"/>
      <c r="D982" s="15"/>
      <c r="H982" s="15"/>
      <c r="I982" s="15"/>
      <c r="J982" s="15"/>
      <c r="N982" s="15"/>
      <c r="O982" s="15"/>
      <c r="P982" s="15"/>
      <c r="T982" s="15"/>
      <c r="U982" s="15"/>
      <c r="V982" s="15"/>
      <c r="Z982" s="15"/>
      <c r="AA982" s="15"/>
      <c r="AB982" s="15"/>
      <c r="AF982" s="15"/>
      <c r="AG982" s="15"/>
      <c r="AH982" s="15"/>
    </row>
    <row r="983" spans="2:34" ht="14.25" customHeight="1">
      <c r="B983" s="15"/>
      <c r="C983" s="15"/>
      <c r="D983" s="15"/>
      <c r="H983" s="15"/>
      <c r="I983" s="15"/>
      <c r="J983" s="15"/>
      <c r="N983" s="15"/>
      <c r="O983" s="15"/>
      <c r="P983" s="15"/>
      <c r="T983" s="15"/>
      <c r="U983" s="15"/>
      <c r="V983" s="15"/>
      <c r="Z983" s="15"/>
      <c r="AA983" s="15"/>
      <c r="AB983" s="15"/>
      <c r="AF983" s="15"/>
      <c r="AG983" s="15"/>
      <c r="AH983" s="15"/>
    </row>
    <row r="984" spans="2:34" ht="14.25" customHeight="1">
      <c r="B984" s="15"/>
      <c r="C984" s="15"/>
      <c r="D984" s="15"/>
      <c r="H984" s="15"/>
      <c r="I984" s="15"/>
      <c r="J984" s="15"/>
      <c r="N984" s="15"/>
      <c r="O984" s="15"/>
      <c r="P984" s="15"/>
      <c r="T984" s="15"/>
      <c r="U984" s="15"/>
      <c r="V984" s="15"/>
      <c r="Z984" s="15"/>
      <c r="AA984" s="15"/>
      <c r="AB984" s="15"/>
      <c r="AF984" s="15"/>
      <c r="AG984" s="15"/>
      <c r="AH984" s="15"/>
    </row>
    <row r="985" spans="2:34" ht="14.25" customHeight="1">
      <c r="B985" s="15"/>
      <c r="C985" s="15"/>
      <c r="D985" s="15"/>
      <c r="H985" s="15"/>
      <c r="I985" s="15"/>
      <c r="J985" s="15"/>
      <c r="N985" s="15"/>
      <c r="O985" s="15"/>
      <c r="P985" s="15"/>
      <c r="T985" s="15"/>
      <c r="U985" s="15"/>
      <c r="V985" s="15"/>
      <c r="Z985" s="15"/>
      <c r="AA985" s="15"/>
      <c r="AB985" s="15"/>
      <c r="AF985" s="15"/>
      <c r="AG985" s="15"/>
      <c r="AH985" s="15"/>
    </row>
    <row r="986" spans="2:34" ht="14.25" customHeight="1">
      <c r="B986" s="15"/>
      <c r="C986" s="15"/>
      <c r="D986" s="15"/>
      <c r="H986" s="15"/>
      <c r="I986" s="15"/>
      <c r="J986" s="15"/>
      <c r="N986" s="15"/>
      <c r="O986" s="15"/>
      <c r="P986" s="15"/>
      <c r="T986" s="15"/>
      <c r="U986" s="15"/>
      <c r="V986" s="15"/>
      <c r="Z986" s="15"/>
      <c r="AA986" s="15"/>
      <c r="AB986" s="15"/>
      <c r="AF986" s="15"/>
      <c r="AG986" s="15"/>
      <c r="AH986" s="15"/>
    </row>
    <row r="987" spans="2:34" ht="14.25" customHeight="1">
      <c r="B987" s="15"/>
      <c r="C987" s="15"/>
      <c r="D987" s="15"/>
      <c r="H987" s="15"/>
      <c r="I987" s="15"/>
      <c r="J987" s="15"/>
      <c r="N987" s="15"/>
      <c r="O987" s="15"/>
      <c r="P987" s="15"/>
      <c r="T987" s="15"/>
      <c r="U987" s="15"/>
      <c r="V987" s="15"/>
      <c r="Z987" s="15"/>
      <c r="AA987" s="15"/>
      <c r="AB987" s="15"/>
      <c r="AF987" s="15"/>
      <c r="AG987" s="15"/>
      <c r="AH987" s="15"/>
    </row>
    <row r="988" spans="2:34" ht="14.25" customHeight="1">
      <c r="B988" s="15"/>
      <c r="C988" s="15"/>
      <c r="D988" s="15"/>
      <c r="H988" s="15"/>
      <c r="I988" s="15"/>
      <c r="J988" s="15"/>
      <c r="N988" s="15"/>
      <c r="O988" s="15"/>
      <c r="P988" s="15"/>
      <c r="T988" s="15"/>
      <c r="U988" s="15"/>
      <c r="V988" s="15"/>
      <c r="Z988" s="15"/>
      <c r="AA988" s="15"/>
      <c r="AB988" s="15"/>
      <c r="AF988" s="15"/>
      <c r="AG988" s="15"/>
      <c r="AH988" s="15"/>
    </row>
    <row r="989" spans="2:34" ht="14.25" customHeight="1">
      <c r="B989" s="15"/>
      <c r="C989" s="15"/>
      <c r="D989" s="15"/>
      <c r="H989" s="15"/>
      <c r="I989" s="15"/>
      <c r="J989" s="15"/>
      <c r="N989" s="15"/>
      <c r="O989" s="15"/>
      <c r="P989" s="15"/>
      <c r="T989" s="15"/>
      <c r="U989" s="15"/>
      <c r="V989" s="15"/>
      <c r="Z989" s="15"/>
      <c r="AA989" s="15"/>
      <c r="AB989" s="15"/>
      <c r="AF989" s="15"/>
      <c r="AG989" s="15"/>
      <c r="AH989" s="15"/>
    </row>
    <row r="990" spans="2:34" ht="14.25" customHeight="1">
      <c r="B990" s="15"/>
      <c r="C990" s="15"/>
      <c r="D990" s="15"/>
      <c r="H990" s="15"/>
      <c r="I990" s="15"/>
      <c r="J990" s="15"/>
      <c r="N990" s="15"/>
      <c r="O990" s="15"/>
      <c r="P990" s="15"/>
      <c r="T990" s="15"/>
      <c r="U990" s="15"/>
      <c r="V990" s="15"/>
      <c r="Z990" s="15"/>
      <c r="AA990" s="15"/>
      <c r="AB990" s="15"/>
      <c r="AF990" s="15"/>
      <c r="AG990" s="15"/>
      <c r="AH990" s="15"/>
    </row>
    <row r="991" spans="2:34" ht="14.25" customHeight="1">
      <c r="B991" s="15"/>
      <c r="C991" s="15"/>
      <c r="D991" s="15"/>
      <c r="H991" s="15"/>
      <c r="I991" s="15"/>
      <c r="J991" s="15"/>
      <c r="N991" s="15"/>
      <c r="O991" s="15"/>
      <c r="P991" s="15"/>
      <c r="T991" s="15"/>
      <c r="U991" s="15"/>
      <c r="V991" s="15"/>
      <c r="Z991" s="15"/>
      <c r="AA991" s="15"/>
      <c r="AB991" s="15"/>
      <c r="AF991" s="15"/>
      <c r="AG991" s="15"/>
      <c r="AH991" s="15"/>
    </row>
    <row r="992" spans="2:34" ht="14.25" customHeight="1">
      <c r="B992" s="15"/>
      <c r="C992" s="15"/>
      <c r="D992" s="15"/>
      <c r="H992" s="15"/>
      <c r="I992" s="15"/>
      <c r="J992" s="15"/>
      <c r="N992" s="15"/>
      <c r="O992" s="15"/>
      <c r="P992" s="15"/>
      <c r="T992" s="15"/>
      <c r="U992" s="15"/>
      <c r="V992" s="15"/>
      <c r="Z992" s="15"/>
      <c r="AA992" s="15"/>
      <c r="AB992" s="15"/>
      <c r="AF992" s="15"/>
      <c r="AG992" s="15"/>
      <c r="AH992" s="15"/>
    </row>
    <row r="993" spans="2:34" ht="14.25" customHeight="1">
      <c r="B993" s="15"/>
      <c r="C993" s="15"/>
      <c r="D993" s="15"/>
      <c r="H993" s="15"/>
      <c r="I993" s="15"/>
      <c r="J993" s="15"/>
      <c r="N993" s="15"/>
      <c r="O993" s="15"/>
      <c r="P993" s="15"/>
      <c r="T993" s="15"/>
      <c r="U993" s="15"/>
      <c r="V993" s="15"/>
      <c r="Z993" s="15"/>
      <c r="AA993" s="15"/>
      <c r="AB993" s="15"/>
      <c r="AF993" s="15"/>
      <c r="AG993" s="15"/>
      <c r="AH993" s="15"/>
    </row>
    <row r="994" spans="2:34" ht="14.25" customHeight="1">
      <c r="B994" s="15"/>
      <c r="C994" s="15"/>
      <c r="D994" s="15"/>
      <c r="H994" s="15"/>
      <c r="I994" s="15"/>
      <c r="J994" s="15"/>
      <c r="N994" s="15"/>
      <c r="O994" s="15"/>
      <c r="P994" s="15"/>
      <c r="T994" s="15"/>
      <c r="U994" s="15"/>
      <c r="V994" s="15"/>
      <c r="Z994" s="15"/>
      <c r="AA994" s="15"/>
      <c r="AB994" s="15"/>
      <c r="AF994" s="15"/>
      <c r="AG994" s="15"/>
      <c r="AH994" s="15"/>
    </row>
    <row r="995" spans="2:34" ht="14.25" customHeight="1">
      <c r="B995" s="15"/>
      <c r="C995" s="15"/>
      <c r="D995" s="15"/>
      <c r="H995" s="15"/>
      <c r="I995" s="15"/>
      <c r="J995" s="15"/>
      <c r="N995" s="15"/>
      <c r="O995" s="15"/>
      <c r="P995" s="15"/>
      <c r="T995" s="15"/>
      <c r="U995" s="15"/>
      <c r="V995" s="15"/>
      <c r="Z995" s="15"/>
      <c r="AA995" s="15"/>
      <c r="AB995" s="15"/>
      <c r="AF995" s="15"/>
      <c r="AG995" s="15"/>
      <c r="AH995" s="15"/>
    </row>
    <row r="996" spans="2:34" ht="14.25" customHeight="1">
      <c r="B996" s="15"/>
      <c r="C996" s="15"/>
      <c r="D996" s="15"/>
      <c r="H996" s="15"/>
      <c r="I996" s="15"/>
      <c r="J996" s="15"/>
      <c r="N996" s="15"/>
      <c r="O996" s="15"/>
      <c r="P996" s="15"/>
      <c r="T996" s="15"/>
      <c r="U996" s="15"/>
      <c r="V996" s="15"/>
      <c r="Z996" s="15"/>
      <c r="AA996" s="15"/>
      <c r="AB996" s="15"/>
      <c r="AF996" s="15"/>
      <c r="AG996" s="15"/>
      <c r="AH996" s="15"/>
    </row>
    <row r="997" spans="2:34" ht="14.25" customHeight="1">
      <c r="B997" s="15"/>
      <c r="C997" s="15"/>
      <c r="D997" s="15"/>
      <c r="H997" s="15"/>
      <c r="I997" s="15"/>
      <c r="J997" s="15"/>
      <c r="N997" s="15"/>
      <c r="O997" s="15"/>
      <c r="P997" s="15"/>
      <c r="T997" s="15"/>
      <c r="U997" s="15"/>
      <c r="V997" s="15"/>
      <c r="Z997" s="15"/>
      <c r="AA997" s="15"/>
      <c r="AB997" s="15"/>
      <c r="AF997" s="15"/>
      <c r="AG997" s="15"/>
      <c r="AH997" s="15"/>
    </row>
    <row r="998" spans="2:34" ht="14.25" customHeight="1">
      <c r="B998" s="15"/>
      <c r="C998" s="15"/>
      <c r="D998" s="15"/>
      <c r="H998" s="15"/>
      <c r="I998" s="15"/>
      <c r="J998" s="15"/>
      <c r="N998" s="15"/>
      <c r="O998" s="15"/>
      <c r="P998" s="15"/>
      <c r="T998" s="15"/>
      <c r="U998" s="15"/>
      <c r="V998" s="15"/>
      <c r="Z998" s="15"/>
      <c r="AA998" s="15"/>
      <c r="AB998" s="15"/>
      <c r="AF998" s="15"/>
      <c r="AG998" s="15"/>
      <c r="AH998" s="15"/>
    </row>
    <row r="999" spans="2:34" ht="14.25" customHeight="1">
      <c r="B999" s="15"/>
      <c r="C999" s="15"/>
      <c r="D999" s="15"/>
      <c r="H999" s="15"/>
      <c r="I999" s="15"/>
      <c r="J999" s="15"/>
      <c r="N999" s="15"/>
      <c r="O999" s="15"/>
      <c r="P999" s="15"/>
      <c r="T999" s="15"/>
      <c r="U999" s="15"/>
      <c r="V999" s="15"/>
      <c r="Z999" s="15"/>
      <c r="AA999" s="15"/>
      <c r="AB999" s="15"/>
      <c r="AF999" s="15"/>
      <c r="AG999" s="15"/>
      <c r="AH999" s="15"/>
    </row>
    <row r="1000" spans="2:34" ht="14.25" customHeight="1">
      <c r="B1000" s="15"/>
      <c r="C1000" s="15"/>
      <c r="D1000" s="15"/>
      <c r="H1000" s="15"/>
      <c r="I1000" s="15"/>
      <c r="J1000" s="15"/>
      <c r="N1000" s="15"/>
      <c r="O1000" s="15"/>
      <c r="P1000" s="15"/>
      <c r="T1000" s="15"/>
      <c r="U1000" s="15"/>
      <c r="V1000" s="15"/>
      <c r="Z1000" s="15"/>
      <c r="AA1000" s="15"/>
      <c r="AB1000" s="15"/>
      <c r="AF1000" s="15"/>
      <c r="AG1000" s="15"/>
      <c r="AH1000" s="15"/>
    </row>
  </sheetData>
  <mergeCells count="24">
    <mergeCell ref="AE1:AI1"/>
    <mergeCell ref="B55:D55"/>
    <mergeCell ref="AF55:AH55"/>
    <mergeCell ref="A81:E81"/>
    <mergeCell ref="A1:E1"/>
    <mergeCell ref="G1:K1"/>
    <mergeCell ref="M1:Q1"/>
    <mergeCell ref="S1:W1"/>
    <mergeCell ref="Y1:AC1"/>
    <mergeCell ref="B132:D132"/>
    <mergeCell ref="H132:J132"/>
    <mergeCell ref="N132:P132"/>
    <mergeCell ref="T132:V132"/>
    <mergeCell ref="Z132:AB132"/>
    <mergeCell ref="AF132:AH132"/>
    <mergeCell ref="H55:J55"/>
    <mergeCell ref="N55:P55"/>
    <mergeCell ref="G81:K81"/>
    <mergeCell ref="M81:Q81"/>
    <mergeCell ref="S81:W81"/>
    <mergeCell ref="Y81:AC81"/>
    <mergeCell ref="T55:V55"/>
    <mergeCell ref="Z55:AB55"/>
    <mergeCell ref="AE81:AI81"/>
  </mergeCells>
  <phoneticPr fontId="6" type="noConversion"/>
  <dataValidations count="1">
    <dataValidation type="list" allowBlank="1" showErrorMessage="1" sqref="E3:E48 K3:K48 Q3:Q48 W3:W48 AC3:AC48 AI3:AI48 E83:E128 K83:K128 Q83:Q128 W83:W128 AC83:AC128 AI83:AI128" xr:uid="{00000000-0002-0000-0000-000000000000}">
      <formula1>$AL$3:$AL$23</formula1>
    </dataValidation>
  </dataValidations>
  <pageMargins left="0.7" right="0.7" top="0.75" bottom="0.75" header="0" footer="0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00"/>
  <sheetViews>
    <sheetView workbookViewId="0">
      <selection activeCell="G34" sqref="G34"/>
    </sheetView>
  </sheetViews>
  <sheetFormatPr defaultColWidth="14.44140625" defaultRowHeight="15" customHeight="1"/>
  <cols>
    <col min="1" max="3" width="8.6640625" customWidth="1"/>
    <col min="4" max="4" width="17.44140625" customWidth="1"/>
    <col min="5" max="6" width="11" customWidth="1"/>
    <col min="7" max="17" width="9.6640625" customWidth="1"/>
    <col min="18" max="18" width="13.6640625" customWidth="1"/>
    <col min="19" max="19" width="11" customWidth="1"/>
    <col min="20" max="26" width="8.6640625" customWidth="1"/>
  </cols>
  <sheetData>
    <row r="1" spans="1:19" ht="14.25" customHeight="1"/>
    <row r="2" spans="1:19" ht="14.25" customHeight="1"/>
    <row r="3" spans="1:19" ht="14.25" customHeight="1"/>
    <row r="4" spans="1:19" ht="14.25" customHeight="1"/>
    <row r="5" spans="1:19" ht="14.25" customHeight="1"/>
    <row r="6" spans="1:19" ht="14.25" customHeight="1">
      <c r="A6" s="10" t="s">
        <v>37</v>
      </c>
      <c r="E6" s="26" t="s">
        <v>38</v>
      </c>
      <c r="F6" s="26" t="s">
        <v>39</v>
      </c>
      <c r="G6" s="26" t="s">
        <v>40</v>
      </c>
      <c r="H6" s="26" t="s">
        <v>41</v>
      </c>
      <c r="I6" s="26" t="s">
        <v>42</v>
      </c>
      <c r="J6" s="26" t="s">
        <v>43</v>
      </c>
      <c r="K6" s="26" t="s">
        <v>44</v>
      </c>
      <c r="L6" s="26" t="s">
        <v>45</v>
      </c>
      <c r="M6" s="26" t="s">
        <v>46</v>
      </c>
      <c r="N6" s="26" t="s">
        <v>47</v>
      </c>
      <c r="O6" s="26" t="s">
        <v>48</v>
      </c>
      <c r="P6" s="26" t="s">
        <v>49</v>
      </c>
      <c r="R6" s="10" t="s">
        <v>50</v>
      </c>
    </row>
    <row r="7" spans="1:19" ht="14.25" customHeight="1">
      <c r="E7" s="26">
        <v>2022</v>
      </c>
      <c r="F7" s="26">
        <v>2022</v>
      </c>
      <c r="G7" s="26">
        <v>2022</v>
      </c>
      <c r="H7" s="26">
        <v>2022</v>
      </c>
      <c r="I7" s="26">
        <v>2022</v>
      </c>
      <c r="J7" s="26">
        <v>2022</v>
      </c>
      <c r="K7" s="26">
        <v>2022</v>
      </c>
      <c r="L7" s="26">
        <v>2022</v>
      </c>
      <c r="M7" s="26">
        <v>2022</v>
      </c>
      <c r="N7" s="26">
        <v>2022</v>
      </c>
      <c r="O7" s="26">
        <v>2022</v>
      </c>
      <c r="P7" s="26">
        <v>2022</v>
      </c>
      <c r="R7" s="27">
        <v>700</v>
      </c>
    </row>
    <row r="8" spans="1:19" ht="14.25" customHeight="1">
      <c r="Q8" s="18" t="s">
        <v>51</v>
      </c>
    </row>
    <row r="9" spans="1:19" ht="14.25" customHeight="1">
      <c r="A9" s="28" t="s">
        <v>52</v>
      </c>
      <c r="E9" s="29">
        <v>1504.55</v>
      </c>
      <c r="F9" s="29">
        <f t="shared" ref="F9:Q9" si="0">E19</f>
        <v>10491.4</v>
      </c>
      <c r="G9" s="29">
        <f t="shared" si="0"/>
        <v>1023.8000000000011</v>
      </c>
      <c r="H9" s="29">
        <f t="shared" si="0"/>
        <v>1627.1000000000013</v>
      </c>
      <c r="I9" s="29">
        <f t="shared" si="0"/>
        <v>6591.0000000000018</v>
      </c>
      <c r="J9" s="29">
        <f t="shared" si="0"/>
        <v>4032.7500000000018</v>
      </c>
      <c r="K9" s="29">
        <f t="shared" si="0"/>
        <v>5461.8500000000022</v>
      </c>
      <c r="L9" s="29">
        <f t="shared" si="0"/>
        <v>6121.2000000000025</v>
      </c>
      <c r="M9" s="29">
        <f t="shared" si="0"/>
        <v>1529.1500000000024</v>
      </c>
      <c r="N9" s="29">
        <f t="shared" si="0"/>
        <v>2207.5000000000027</v>
      </c>
      <c r="O9" s="29">
        <f t="shared" si="0"/>
        <v>3104.4000000000033</v>
      </c>
      <c r="P9" s="29">
        <f t="shared" si="0"/>
        <v>8528.2000000000044</v>
      </c>
      <c r="Q9" s="29">
        <f t="shared" si="0"/>
        <v>6715.1500000000042</v>
      </c>
      <c r="R9" s="30"/>
    </row>
    <row r="10" spans="1:19" ht="14.25" customHeight="1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9" ht="14.25" customHeight="1">
      <c r="A11" s="10" t="s">
        <v>53</v>
      </c>
      <c r="E11" s="31">
        <v>8950</v>
      </c>
      <c r="F11" s="30">
        <v>7200</v>
      </c>
      <c r="G11" s="30">
        <v>5200</v>
      </c>
      <c r="H11" s="30">
        <v>3000</v>
      </c>
      <c r="I11" s="30">
        <v>2800</v>
      </c>
      <c r="J11" s="30">
        <v>2500</v>
      </c>
      <c r="K11" s="30">
        <v>3750</v>
      </c>
      <c r="L11" s="30">
        <v>2250</v>
      </c>
      <c r="M11" s="30">
        <v>2400</v>
      </c>
      <c r="N11" s="30">
        <v>1200</v>
      </c>
      <c r="O11" s="30">
        <v>1800</v>
      </c>
      <c r="P11" s="30">
        <v>4000</v>
      </c>
      <c r="Q11" s="30"/>
      <c r="R11" s="30">
        <f>SUM(E11:P11)</f>
        <v>45050</v>
      </c>
      <c r="S11" s="13">
        <f t="shared" ref="S11:S12" si="1">R11</f>
        <v>45050</v>
      </c>
    </row>
    <row r="12" spans="1:19" ht="14.25" customHeight="1">
      <c r="A12" s="10" t="s">
        <v>54</v>
      </c>
      <c r="E12" s="30">
        <f>-700-4600</f>
        <v>-5300</v>
      </c>
      <c r="F12" s="30">
        <f>-3300-3450-750-3750</f>
        <v>-11250</v>
      </c>
      <c r="G12" s="30">
        <f>-600-2350-2550</f>
        <v>-5500</v>
      </c>
      <c r="H12" s="30">
        <f>-1150-650</f>
        <v>-1800</v>
      </c>
      <c r="I12" s="30">
        <f>-1200-1100-1600</f>
        <v>-3900</v>
      </c>
      <c r="J12" s="30">
        <f>-500-850-600</f>
        <v>-1950</v>
      </c>
      <c r="K12" s="30">
        <f>-650-1000-1250-1300</f>
        <v>-4200</v>
      </c>
      <c r="L12" s="30">
        <f>-450-1200</f>
        <v>-1650</v>
      </c>
      <c r="M12" s="30">
        <f>-200-600-650-750-250</f>
        <v>-2450</v>
      </c>
      <c r="N12" s="30">
        <f>-750-450</f>
        <v>-1200</v>
      </c>
      <c r="O12" s="30">
        <f>-600-650-500-250</f>
        <v>-2000</v>
      </c>
      <c r="P12" s="30">
        <v>-1100</v>
      </c>
      <c r="Q12" s="30"/>
      <c r="R12" s="30">
        <f>SUM(E12:P12)+R7</f>
        <v>-41600</v>
      </c>
      <c r="S12" s="13">
        <f t="shared" si="1"/>
        <v>-41600</v>
      </c>
    </row>
    <row r="13" spans="1:19" ht="14.25" customHeight="1">
      <c r="A13" s="10" t="s">
        <v>55</v>
      </c>
      <c r="E13" s="32">
        <f t="shared" ref="E13:P13" si="2">E11+E12</f>
        <v>3650</v>
      </c>
      <c r="F13" s="32">
        <f t="shared" si="2"/>
        <v>-4050</v>
      </c>
      <c r="G13" s="32">
        <f t="shared" si="2"/>
        <v>-300</v>
      </c>
      <c r="H13" s="32">
        <f t="shared" si="2"/>
        <v>1200</v>
      </c>
      <c r="I13" s="32">
        <f t="shared" si="2"/>
        <v>-1100</v>
      </c>
      <c r="J13" s="32">
        <f t="shared" si="2"/>
        <v>550</v>
      </c>
      <c r="K13" s="32">
        <f t="shared" si="2"/>
        <v>-450</v>
      </c>
      <c r="L13" s="32">
        <f t="shared" si="2"/>
        <v>600</v>
      </c>
      <c r="M13" s="32">
        <f t="shared" si="2"/>
        <v>-50</v>
      </c>
      <c r="N13" s="32">
        <f t="shared" si="2"/>
        <v>0</v>
      </c>
      <c r="O13" s="32">
        <f t="shared" si="2"/>
        <v>-200</v>
      </c>
      <c r="P13" s="32">
        <f t="shared" si="2"/>
        <v>2900</v>
      </c>
      <c r="Q13" s="30"/>
      <c r="R13" s="30">
        <f t="shared" ref="R13:S13" si="3">SUM(R11:R12)</f>
        <v>3450</v>
      </c>
      <c r="S13" s="13">
        <f t="shared" si="3"/>
        <v>3450</v>
      </c>
    </row>
    <row r="14" spans="1:19" ht="14.25" customHeight="1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19" ht="14.25" customHeight="1">
      <c r="A15" s="10" t="s">
        <v>56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9" ht="14.25" customHeight="1">
      <c r="A16" s="10" t="s">
        <v>57</v>
      </c>
      <c r="E16" s="30">
        <f>5000+8000+1000</f>
        <v>14000</v>
      </c>
      <c r="F16" s="30"/>
      <c r="G16" s="30">
        <f>6000+800</f>
        <v>6800</v>
      </c>
      <c r="H16" s="30">
        <v>6000</v>
      </c>
      <c r="I16" s="30">
        <v>6000</v>
      </c>
      <c r="J16" s="30">
        <v>6000</v>
      </c>
      <c r="K16" s="30">
        <v>6000</v>
      </c>
      <c r="L16" s="30"/>
      <c r="M16" s="30">
        <v>6000</v>
      </c>
      <c r="N16" s="30">
        <v>6000</v>
      </c>
      <c r="O16" s="30">
        <v>10000</v>
      </c>
      <c r="P16" s="30"/>
      <c r="Q16" s="30"/>
      <c r="R16" s="30"/>
    </row>
    <row r="17" spans="1:18" ht="14.25" customHeight="1">
      <c r="A17" s="10" t="s">
        <v>58</v>
      </c>
      <c r="E17" s="30">
        <v>-7663.15</v>
      </c>
      <c r="F17" s="30">
        <v>-6417.6</v>
      </c>
      <c r="G17" s="30">
        <v>-5896.7</v>
      </c>
      <c r="H17" s="30">
        <v>-2236.1</v>
      </c>
      <c r="I17" s="30">
        <v>-7458.25</v>
      </c>
      <c r="J17" s="30">
        <v>-5120.8999999999996</v>
      </c>
      <c r="K17" s="30">
        <v>-4890.6499999999996</v>
      </c>
      <c r="L17" s="30">
        <v>-5192.05</v>
      </c>
      <c r="M17" s="30">
        <v>-5271.65</v>
      </c>
      <c r="N17" s="30">
        <v>-5103.1000000000004</v>
      </c>
      <c r="O17" s="30">
        <v>-4376.2</v>
      </c>
      <c r="P17" s="30">
        <v>-4713.05</v>
      </c>
      <c r="Q17" s="30"/>
      <c r="R17" s="30"/>
    </row>
    <row r="18" spans="1:18" ht="14.25" customHeight="1">
      <c r="A18" s="10" t="s">
        <v>59</v>
      </c>
      <c r="E18" s="30">
        <v>-1000</v>
      </c>
      <c r="F18" s="30">
        <v>1000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ht="14.25" customHeight="1">
      <c r="A19" s="10" t="s">
        <v>60</v>
      </c>
      <c r="E19" s="33">
        <f t="shared" ref="E19:F19" si="4">E9+E11+E12+E16+E17+E18</f>
        <v>10491.4</v>
      </c>
      <c r="F19" s="33">
        <f t="shared" si="4"/>
        <v>1023.8000000000011</v>
      </c>
      <c r="G19" s="33">
        <f t="shared" ref="G19:P19" si="5">G9+G11+G12+G16+G17</f>
        <v>1627.1000000000013</v>
      </c>
      <c r="H19" s="33">
        <f t="shared" si="5"/>
        <v>6591.0000000000018</v>
      </c>
      <c r="I19" s="33">
        <f t="shared" si="5"/>
        <v>4032.7500000000018</v>
      </c>
      <c r="J19" s="33">
        <f t="shared" si="5"/>
        <v>5461.8500000000022</v>
      </c>
      <c r="K19" s="33">
        <f t="shared" si="5"/>
        <v>6121.2000000000025</v>
      </c>
      <c r="L19" s="33">
        <f t="shared" si="5"/>
        <v>1529.1500000000024</v>
      </c>
      <c r="M19" s="33">
        <f t="shared" si="5"/>
        <v>2207.5000000000027</v>
      </c>
      <c r="N19" s="33">
        <f t="shared" si="5"/>
        <v>3104.4000000000033</v>
      </c>
      <c r="O19" s="33">
        <f t="shared" si="5"/>
        <v>8528.2000000000044</v>
      </c>
      <c r="P19" s="33">
        <f t="shared" si="5"/>
        <v>6715.1500000000042</v>
      </c>
      <c r="Q19" s="30"/>
      <c r="R19" s="30"/>
    </row>
    <row r="20" spans="1:18" ht="14.25" customHeight="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ht="14.25" customHeight="1">
      <c r="Q21" s="30"/>
      <c r="R21" s="30"/>
    </row>
    <row r="22" spans="1:18" ht="14.25" customHeight="1">
      <c r="Q22" s="13"/>
      <c r="R22" s="13"/>
    </row>
    <row r="23" spans="1:18" ht="14.25" customHeight="1">
      <c r="D23" s="10" t="s">
        <v>61</v>
      </c>
      <c r="E23" s="30">
        <f>SUM(E16:E18)+804.55</f>
        <v>6141.4000000000005</v>
      </c>
      <c r="F23" s="30">
        <f t="shared" ref="F23:P23" si="6">E23+SUM(F16:F17)</f>
        <v>-276.19999999999982</v>
      </c>
      <c r="G23" s="30">
        <f t="shared" si="6"/>
        <v>627.10000000000036</v>
      </c>
      <c r="H23" s="30">
        <f t="shared" si="6"/>
        <v>4391</v>
      </c>
      <c r="I23" s="30">
        <f t="shared" si="6"/>
        <v>2932.75</v>
      </c>
      <c r="J23" s="30">
        <f t="shared" si="6"/>
        <v>3811.8500000000004</v>
      </c>
      <c r="K23" s="30">
        <f t="shared" si="6"/>
        <v>4921.2000000000007</v>
      </c>
      <c r="L23" s="30">
        <f t="shared" si="6"/>
        <v>-270.84999999999945</v>
      </c>
      <c r="M23" s="30">
        <f t="shared" si="6"/>
        <v>457.50000000000091</v>
      </c>
      <c r="N23" s="30">
        <f t="shared" si="6"/>
        <v>1354.4000000000005</v>
      </c>
      <c r="O23" s="30">
        <f t="shared" si="6"/>
        <v>6978.2000000000007</v>
      </c>
      <c r="P23" s="30">
        <f t="shared" si="6"/>
        <v>2265.1500000000005</v>
      </c>
    </row>
    <row r="24" spans="1:18" ht="14.25" customHeight="1">
      <c r="E24" s="34">
        <v>10491.4</v>
      </c>
      <c r="F24" s="34">
        <v>7023.8</v>
      </c>
      <c r="G24" s="34">
        <v>1627.1</v>
      </c>
      <c r="H24" s="34">
        <v>6591</v>
      </c>
      <c r="I24" s="34">
        <v>4032.75</v>
      </c>
      <c r="J24" s="34">
        <v>5461.85</v>
      </c>
      <c r="K24" s="34">
        <v>6121.2</v>
      </c>
      <c r="L24" s="34">
        <v>1529.15</v>
      </c>
      <c r="M24" s="34">
        <v>2207.5</v>
      </c>
      <c r="N24" s="34">
        <v>3104.4</v>
      </c>
      <c r="O24" s="34">
        <v>8528.2000000000007</v>
      </c>
      <c r="P24" s="34">
        <v>6715.15</v>
      </c>
    </row>
    <row r="25" spans="1:18" ht="14.25" customHeight="1">
      <c r="E25" s="13"/>
      <c r="F25" s="13"/>
      <c r="G25" s="13"/>
      <c r="H25" s="13"/>
    </row>
    <row r="26" spans="1:18" ht="14.25" customHeight="1">
      <c r="E26" s="13"/>
      <c r="F26" s="13">
        <f>F24-F19</f>
        <v>5999.9999999999991</v>
      </c>
      <c r="G26" s="13"/>
    </row>
    <row r="27" spans="1:18" ht="14.25" customHeight="1">
      <c r="E27" s="13"/>
      <c r="F27" s="13"/>
      <c r="G27" s="13"/>
      <c r="H27" s="13"/>
    </row>
    <row r="28" spans="1:18" ht="14.25" customHeight="1"/>
    <row r="29" spans="1:18" ht="14.25" customHeight="1">
      <c r="E29" s="13"/>
      <c r="F29" s="13"/>
      <c r="G29" s="13"/>
    </row>
    <row r="30" spans="1:18" ht="14.25" customHeight="1"/>
    <row r="31" spans="1:18" ht="14.25" customHeight="1"/>
    <row r="32" spans="1:1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6" type="noConversion"/>
  <pageMargins left="0.45" right="0.45" top="0.75" bottom="0.75" header="0" footer="0"/>
  <pageSetup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908E-24B8-4451-AC66-B127470814A8}">
  <dimension ref="A1:W1000"/>
  <sheetViews>
    <sheetView topLeftCell="A13" workbookViewId="0">
      <selection activeCell="E22" sqref="E22"/>
    </sheetView>
  </sheetViews>
  <sheetFormatPr defaultColWidth="14.44140625" defaultRowHeight="14.4"/>
  <cols>
    <col min="1" max="2" width="8.6640625" customWidth="1"/>
    <col min="3" max="3" width="10" customWidth="1"/>
    <col min="4" max="4" width="9" customWidth="1"/>
    <col min="5" max="5" width="8.6640625" customWidth="1"/>
    <col min="6" max="6" width="10.33203125" customWidth="1"/>
    <col min="7" max="7" width="10" customWidth="1"/>
    <col min="8" max="9" width="10.88671875" customWidth="1"/>
    <col min="10" max="10" width="11.5546875" customWidth="1"/>
    <col min="11" max="11" width="8.6640625" customWidth="1"/>
    <col min="12" max="12" width="10.88671875" customWidth="1"/>
    <col min="13" max="13" width="11.109375" customWidth="1"/>
    <col min="14" max="14" width="12.109375" customWidth="1"/>
    <col min="15" max="15" width="10.33203125" customWidth="1"/>
    <col min="16" max="16" width="9.5546875" customWidth="1"/>
    <col min="17" max="19" width="8.6640625" customWidth="1"/>
    <col min="20" max="20" width="4.44140625" customWidth="1"/>
    <col min="21" max="26" width="8.6640625" customWidth="1"/>
  </cols>
  <sheetData>
    <row r="1" spans="1:23" ht="14.25" customHeight="1">
      <c r="A1" s="59">
        <v>44562</v>
      </c>
      <c r="B1" s="57"/>
      <c r="C1" s="58"/>
      <c r="E1" s="56">
        <v>44614</v>
      </c>
      <c r="F1" s="57"/>
      <c r="G1" s="58"/>
      <c r="I1" s="56">
        <v>44642</v>
      </c>
      <c r="J1" s="57"/>
      <c r="K1" s="58"/>
      <c r="M1" s="56">
        <v>44673</v>
      </c>
      <c r="N1" s="57"/>
      <c r="O1" s="58"/>
      <c r="Q1" s="56">
        <v>44703</v>
      </c>
      <c r="R1" s="57"/>
      <c r="S1" s="58"/>
      <c r="U1" s="56">
        <v>44734</v>
      </c>
      <c r="V1" s="57"/>
      <c r="W1" s="58"/>
    </row>
    <row r="2" spans="1:23" ht="14.25" customHeight="1">
      <c r="A2" s="35" t="s">
        <v>1</v>
      </c>
      <c r="B2" s="35" t="s">
        <v>2</v>
      </c>
      <c r="C2" s="35" t="s">
        <v>3</v>
      </c>
      <c r="E2" s="35" t="s">
        <v>1</v>
      </c>
      <c r="F2" s="35" t="s">
        <v>2</v>
      </c>
      <c r="G2" s="35" t="s">
        <v>3</v>
      </c>
      <c r="I2" s="35" t="s">
        <v>1</v>
      </c>
      <c r="J2" s="35" t="s">
        <v>2</v>
      </c>
      <c r="K2" s="35" t="s">
        <v>3</v>
      </c>
      <c r="M2" s="35" t="s">
        <v>1</v>
      </c>
      <c r="N2" s="35" t="s">
        <v>2</v>
      </c>
      <c r="O2" s="35" t="s">
        <v>3</v>
      </c>
      <c r="Q2" s="35" t="s">
        <v>1</v>
      </c>
      <c r="R2" s="35" t="s">
        <v>2</v>
      </c>
      <c r="S2" s="35" t="s">
        <v>3</v>
      </c>
      <c r="U2" s="35" t="s">
        <v>1</v>
      </c>
      <c r="V2" s="35" t="s">
        <v>2</v>
      </c>
      <c r="W2" s="35" t="s">
        <v>3</v>
      </c>
    </row>
    <row r="3" spans="1:23" ht="14.25" customHeight="1">
      <c r="A3" s="36" t="s">
        <v>6</v>
      </c>
      <c r="B3" s="37"/>
      <c r="C3" s="37">
        <v>804.55</v>
      </c>
      <c r="E3" s="36" t="s">
        <v>6</v>
      </c>
      <c r="F3" s="37"/>
      <c r="G3" s="37">
        <f>C47</f>
        <v>7141.4</v>
      </c>
      <c r="I3" s="36" t="s">
        <v>6</v>
      </c>
      <c r="J3" s="37"/>
      <c r="K3" s="37">
        <f>G47</f>
        <v>723.79999999999927</v>
      </c>
      <c r="M3" s="36" t="s">
        <v>6</v>
      </c>
      <c r="N3" s="37"/>
      <c r="O3" s="37">
        <f>K47</f>
        <v>1627.1000000000008</v>
      </c>
      <c r="Q3" s="36" t="s">
        <v>6</v>
      </c>
      <c r="R3" s="37"/>
      <c r="S3" s="37">
        <f>O47</f>
        <v>5391</v>
      </c>
      <c r="U3" s="36" t="s">
        <v>6</v>
      </c>
      <c r="V3" s="37"/>
      <c r="W3" s="37">
        <f>S47</f>
        <v>3932.7500000000005</v>
      </c>
    </row>
    <row r="4" spans="1:23" ht="14.25" customHeight="1">
      <c r="A4" s="37">
        <v>5000</v>
      </c>
      <c r="B4" s="37"/>
      <c r="C4" s="37">
        <f t="shared" ref="C4:C47" si="0">C3+A4-B4</f>
        <v>5804.55</v>
      </c>
      <c r="E4" s="37"/>
      <c r="F4" s="37">
        <v>700</v>
      </c>
      <c r="G4" s="37">
        <f t="shared" ref="G4:G47" si="1">G3+E4-F4</f>
        <v>6441.4</v>
      </c>
      <c r="I4" s="37">
        <v>6000</v>
      </c>
      <c r="J4" s="37"/>
      <c r="K4" s="37">
        <f t="shared" ref="K4:K47" si="2">K3+I4-J4</f>
        <v>6723.7999999999993</v>
      </c>
      <c r="M4" s="37"/>
      <c r="N4" s="37">
        <v>198</v>
      </c>
      <c r="O4" s="37">
        <f t="shared" ref="O4:O47" si="3">O3+M4-N4</f>
        <v>1429.1000000000008</v>
      </c>
      <c r="Q4" s="37"/>
      <c r="R4" s="37">
        <v>27</v>
      </c>
      <c r="S4" s="37">
        <f t="shared" ref="S4:S47" si="4">S3+Q4-R4</f>
        <v>5364</v>
      </c>
      <c r="U4" s="37"/>
      <c r="V4" s="37">
        <v>333</v>
      </c>
      <c r="W4" s="37">
        <f t="shared" ref="W4:W47" si="5">W3+U4-V4</f>
        <v>3599.7500000000005</v>
      </c>
    </row>
    <row r="5" spans="1:23" ht="14.25" customHeight="1">
      <c r="A5" s="37"/>
      <c r="B5" s="37">
        <v>600</v>
      </c>
      <c r="C5" s="37">
        <f t="shared" si="0"/>
        <v>5204.55</v>
      </c>
      <c r="E5" s="37"/>
      <c r="F5" s="38">
        <v>1000</v>
      </c>
      <c r="G5" s="37">
        <f t="shared" si="1"/>
        <v>5441.4</v>
      </c>
      <c r="H5" s="39" t="s">
        <v>62</v>
      </c>
      <c r="I5" s="37"/>
      <c r="J5" s="37">
        <v>268</v>
      </c>
      <c r="K5" s="37">
        <f t="shared" si="2"/>
        <v>6455.7999999999993</v>
      </c>
      <c r="M5" s="37"/>
      <c r="N5" s="37">
        <v>84</v>
      </c>
      <c r="O5" s="37">
        <f t="shared" si="3"/>
        <v>1345.1000000000008</v>
      </c>
      <c r="Q5" s="37"/>
      <c r="R5" s="37">
        <v>234</v>
      </c>
      <c r="S5" s="37">
        <f t="shared" si="4"/>
        <v>5130</v>
      </c>
      <c r="U5" s="37"/>
      <c r="V5" s="37">
        <v>90</v>
      </c>
      <c r="W5" s="37">
        <f t="shared" si="5"/>
        <v>3509.7500000000005</v>
      </c>
    </row>
    <row r="6" spans="1:23" ht="14.25" customHeight="1">
      <c r="A6" s="37"/>
      <c r="B6" s="37">
        <v>100</v>
      </c>
      <c r="C6" s="37">
        <f t="shared" si="0"/>
        <v>5104.55</v>
      </c>
      <c r="E6" s="37"/>
      <c r="F6" s="37">
        <v>826</v>
      </c>
      <c r="G6" s="37">
        <f t="shared" si="1"/>
        <v>4615.3999999999996</v>
      </c>
      <c r="I6" s="37"/>
      <c r="J6" s="37">
        <v>6.9</v>
      </c>
      <c r="K6" s="37">
        <f t="shared" si="2"/>
        <v>6448.9</v>
      </c>
      <c r="M6" s="37"/>
      <c r="N6" s="37">
        <v>320</v>
      </c>
      <c r="O6" s="37">
        <f t="shared" si="3"/>
        <v>1025.1000000000008</v>
      </c>
      <c r="Q6" s="37"/>
      <c r="R6" s="37">
        <v>333</v>
      </c>
      <c r="S6" s="37">
        <f t="shared" si="4"/>
        <v>4797</v>
      </c>
      <c r="U6" s="37"/>
      <c r="V6" s="37">
        <v>90</v>
      </c>
      <c r="W6" s="37">
        <f t="shared" si="5"/>
        <v>3419.7500000000005</v>
      </c>
    </row>
    <row r="7" spans="1:23" ht="14.25" customHeight="1">
      <c r="A7" s="37"/>
      <c r="B7" s="37">
        <v>270</v>
      </c>
      <c r="C7" s="37">
        <f t="shared" si="0"/>
        <v>4834.55</v>
      </c>
      <c r="E7" s="37"/>
      <c r="F7" s="37">
        <v>174</v>
      </c>
      <c r="G7" s="37">
        <f t="shared" si="1"/>
        <v>4441.3999999999996</v>
      </c>
      <c r="I7" s="37"/>
      <c r="J7" s="37">
        <v>54</v>
      </c>
      <c r="K7" s="37">
        <f t="shared" si="2"/>
        <v>6394.9</v>
      </c>
      <c r="M7" s="37"/>
      <c r="N7" s="37">
        <v>15</v>
      </c>
      <c r="O7" s="37">
        <f t="shared" si="3"/>
        <v>1010.1000000000008</v>
      </c>
      <c r="Q7" s="37"/>
      <c r="R7" s="37">
        <v>650.5</v>
      </c>
      <c r="S7" s="37">
        <f t="shared" si="4"/>
        <v>4146.5</v>
      </c>
      <c r="U7" s="37"/>
      <c r="V7" s="37">
        <v>75</v>
      </c>
      <c r="W7" s="37">
        <f t="shared" si="5"/>
        <v>3344.7500000000005</v>
      </c>
    </row>
    <row r="8" spans="1:23" ht="14.25" customHeight="1">
      <c r="A8" s="37"/>
      <c r="B8" s="37">
        <v>228</v>
      </c>
      <c r="C8" s="37">
        <f t="shared" si="0"/>
        <v>4606.55</v>
      </c>
      <c r="E8" s="37"/>
      <c r="F8" s="37">
        <v>180</v>
      </c>
      <c r="G8" s="37">
        <f t="shared" si="1"/>
        <v>4261.3999999999996</v>
      </c>
      <c r="I8" s="37"/>
      <c r="J8" s="37">
        <v>27</v>
      </c>
      <c r="K8" s="37">
        <f t="shared" si="2"/>
        <v>6367.9</v>
      </c>
      <c r="M8" s="37"/>
      <c r="N8" s="37">
        <v>28</v>
      </c>
      <c r="O8" s="37">
        <f t="shared" si="3"/>
        <v>982.10000000000082</v>
      </c>
      <c r="Q8" s="37"/>
      <c r="R8" s="37">
        <v>1242.8499999999999</v>
      </c>
      <c r="S8" s="37">
        <f t="shared" si="4"/>
        <v>2903.65</v>
      </c>
      <c r="U8" s="37"/>
      <c r="V8" s="37">
        <v>90</v>
      </c>
      <c r="W8" s="37">
        <f t="shared" si="5"/>
        <v>3254.7500000000005</v>
      </c>
    </row>
    <row r="9" spans="1:23" ht="14.25" customHeight="1">
      <c r="A9" s="37"/>
      <c r="B9" s="37">
        <v>45</v>
      </c>
      <c r="C9" s="37">
        <f t="shared" si="0"/>
        <v>4561.55</v>
      </c>
      <c r="E9" s="37"/>
      <c r="F9" s="37">
        <v>100</v>
      </c>
      <c r="G9" s="37">
        <f t="shared" si="1"/>
        <v>4161.3999999999996</v>
      </c>
      <c r="I9" s="37"/>
      <c r="J9" s="37">
        <v>7.9</v>
      </c>
      <c r="K9" s="37">
        <f t="shared" si="2"/>
        <v>6360</v>
      </c>
      <c r="M9" s="37"/>
      <c r="N9" s="37">
        <v>130.5</v>
      </c>
      <c r="O9" s="37">
        <f t="shared" si="3"/>
        <v>851.60000000000082</v>
      </c>
      <c r="Q9" s="37"/>
      <c r="R9" s="37">
        <v>36</v>
      </c>
      <c r="S9" s="37">
        <f t="shared" si="4"/>
        <v>2867.65</v>
      </c>
      <c r="U9" s="37"/>
      <c r="V9" s="37">
        <v>36</v>
      </c>
      <c r="W9" s="37">
        <f t="shared" si="5"/>
        <v>3218.7500000000005</v>
      </c>
    </row>
    <row r="10" spans="1:23" ht="14.25" customHeight="1">
      <c r="A10" s="37"/>
      <c r="B10" s="37">
        <v>25</v>
      </c>
      <c r="C10" s="37">
        <f t="shared" si="0"/>
        <v>4536.55</v>
      </c>
      <c r="E10" s="37"/>
      <c r="F10" s="37">
        <v>7.8</v>
      </c>
      <c r="G10" s="37">
        <f t="shared" si="1"/>
        <v>4153.5999999999995</v>
      </c>
      <c r="I10" s="37"/>
      <c r="J10" s="37">
        <v>14</v>
      </c>
      <c r="K10" s="37">
        <f t="shared" si="2"/>
        <v>6346</v>
      </c>
      <c r="M10" s="37"/>
      <c r="N10" s="37">
        <v>164</v>
      </c>
      <c r="O10" s="37">
        <f t="shared" si="3"/>
        <v>687.60000000000082</v>
      </c>
      <c r="Q10" s="37"/>
      <c r="R10" s="37">
        <v>36</v>
      </c>
      <c r="S10" s="37">
        <f t="shared" si="4"/>
        <v>2831.65</v>
      </c>
      <c r="U10" s="37"/>
      <c r="V10" s="37">
        <v>36</v>
      </c>
      <c r="W10" s="37">
        <f t="shared" si="5"/>
        <v>3182.7500000000005</v>
      </c>
    </row>
    <row r="11" spans="1:23" ht="14.25" customHeight="1">
      <c r="A11" s="37"/>
      <c r="B11" s="37">
        <v>12.9</v>
      </c>
      <c r="C11" s="37">
        <f t="shared" si="0"/>
        <v>4523.6500000000005</v>
      </c>
      <c r="E11" s="37"/>
      <c r="F11" s="37">
        <v>204</v>
      </c>
      <c r="G11" s="37">
        <f t="shared" si="1"/>
        <v>3949.5999999999995</v>
      </c>
      <c r="I11" s="37"/>
      <c r="J11" s="37">
        <v>36</v>
      </c>
      <c r="K11" s="37">
        <f t="shared" si="2"/>
        <v>6310</v>
      </c>
      <c r="M11" s="37">
        <v>6000</v>
      </c>
      <c r="N11" s="37"/>
      <c r="O11" s="37">
        <f t="shared" si="3"/>
        <v>6687.6</v>
      </c>
      <c r="Q11" s="37"/>
      <c r="R11" s="37">
        <v>400</v>
      </c>
      <c r="S11" s="37">
        <f t="shared" si="4"/>
        <v>2431.65</v>
      </c>
      <c r="U11" s="37"/>
      <c r="V11" s="37">
        <v>2</v>
      </c>
      <c r="W11" s="37">
        <f t="shared" si="5"/>
        <v>3180.7500000000005</v>
      </c>
    </row>
    <row r="12" spans="1:23" ht="14.25" customHeight="1">
      <c r="A12" s="37"/>
      <c r="B12" s="37">
        <v>35</v>
      </c>
      <c r="C12" s="37">
        <f t="shared" si="0"/>
        <v>4488.6500000000005</v>
      </c>
      <c r="E12" s="37"/>
      <c r="F12" s="37">
        <v>31.65</v>
      </c>
      <c r="G12" s="37">
        <f t="shared" si="1"/>
        <v>3917.9499999999994</v>
      </c>
      <c r="I12" s="37"/>
      <c r="J12" s="37">
        <v>36</v>
      </c>
      <c r="K12" s="37">
        <f t="shared" si="2"/>
        <v>6274</v>
      </c>
      <c r="M12" s="37"/>
      <c r="N12" s="37">
        <v>36</v>
      </c>
      <c r="O12" s="37">
        <f t="shared" si="3"/>
        <v>6651.6</v>
      </c>
      <c r="Q12" s="37"/>
      <c r="R12" s="37">
        <v>179</v>
      </c>
      <c r="S12" s="37">
        <f t="shared" si="4"/>
        <v>2252.65</v>
      </c>
      <c r="U12" s="37"/>
      <c r="V12" s="37">
        <v>124</v>
      </c>
      <c r="W12" s="37">
        <f t="shared" si="5"/>
        <v>3056.7500000000005</v>
      </c>
    </row>
    <row r="13" spans="1:23" ht="14.25" customHeight="1">
      <c r="A13" s="37"/>
      <c r="B13" s="37">
        <v>12.5</v>
      </c>
      <c r="C13" s="37">
        <f t="shared" si="0"/>
        <v>4476.1500000000005</v>
      </c>
      <c r="E13" s="37"/>
      <c r="F13" s="37">
        <v>18.8</v>
      </c>
      <c r="G13" s="37">
        <f t="shared" si="1"/>
        <v>3899.1499999999992</v>
      </c>
      <c r="I13" s="37"/>
      <c r="J13" s="37">
        <v>152</v>
      </c>
      <c r="K13" s="37">
        <f t="shared" si="2"/>
        <v>6122</v>
      </c>
      <c r="M13" s="37"/>
      <c r="N13" s="37">
        <v>36</v>
      </c>
      <c r="O13" s="37">
        <f t="shared" si="3"/>
        <v>6615.6</v>
      </c>
      <c r="Q13" s="37"/>
      <c r="R13" s="37">
        <v>333</v>
      </c>
      <c r="S13" s="37">
        <f t="shared" si="4"/>
        <v>1919.65</v>
      </c>
      <c r="U13" s="37"/>
      <c r="V13" s="37">
        <v>145</v>
      </c>
      <c r="W13" s="37">
        <f t="shared" si="5"/>
        <v>2911.7500000000005</v>
      </c>
    </row>
    <row r="14" spans="1:23" ht="14.25" customHeight="1">
      <c r="A14" s="37"/>
      <c r="B14" s="37">
        <v>803.25</v>
      </c>
      <c r="C14" s="37">
        <f t="shared" si="0"/>
        <v>3672.9000000000005</v>
      </c>
      <c r="E14" s="37"/>
      <c r="F14" s="37">
        <v>324</v>
      </c>
      <c r="G14" s="37">
        <f t="shared" si="1"/>
        <v>3575.1499999999992</v>
      </c>
      <c r="I14" s="37"/>
      <c r="J14" s="37">
        <v>90.4</v>
      </c>
      <c r="K14" s="37">
        <f t="shared" si="2"/>
        <v>6031.6</v>
      </c>
      <c r="M14" s="37"/>
      <c r="N14" s="37">
        <v>28</v>
      </c>
      <c r="O14" s="37">
        <f t="shared" si="3"/>
        <v>6587.6</v>
      </c>
      <c r="Q14" s="37"/>
      <c r="R14" s="37">
        <v>28</v>
      </c>
      <c r="S14" s="37">
        <f t="shared" si="4"/>
        <v>1891.65</v>
      </c>
      <c r="U14" s="37"/>
      <c r="V14" s="37">
        <v>30</v>
      </c>
      <c r="W14" s="37">
        <f t="shared" si="5"/>
        <v>2881.7500000000005</v>
      </c>
    </row>
    <row r="15" spans="1:23" ht="14.25" customHeight="1">
      <c r="A15" s="37"/>
      <c r="B15" s="37">
        <v>300</v>
      </c>
      <c r="C15" s="37">
        <f t="shared" si="0"/>
        <v>3372.9000000000005</v>
      </c>
      <c r="E15" s="37"/>
      <c r="F15" s="37">
        <v>120</v>
      </c>
      <c r="G15" s="37">
        <f t="shared" si="1"/>
        <v>3455.1499999999992</v>
      </c>
      <c r="I15" s="37"/>
      <c r="J15" s="37">
        <v>243.9</v>
      </c>
      <c r="K15" s="37">
        <f t="shared" si="2"/>
        <v>5787.7000000000007</v>
      </c>
      <c r="M15" s="37"/>
      <c r="N15" s="37">
        <v>28</v>
      </c>
      <c r="O15" s="37">
        <f t="shared" si="3"/>
        <v>6559.6</v>
      </c>
      <c r="Q15" s="37"/>
      <c r="R15" s="37">
        <v>228</v>
      </c>
      <c r="S15" s="37">
        <f t="shared" si="4"/>
        <v>1663.65</v>
      </c>
      <c r="U15" s="37"/>
      <c r="V15" s="37">
        <v>147.35</v>
      </c>
      <c r="W15" s="37">
        <f t="shared" si="5"/>
        <v>2734.4000000000005</v>
      </c>
    </row>
    <row r="16" spans="1:23" ht="14.25" customHeight="1">
      <c r="A16" s="37"/>
      <c r="B16" s="37">
        <v>216</v>
      </c>
      <c r="C16" s="37">
        <f t="shared" si="0"/>
        <v>3156.9000000000005</v>
      </c>
      <c r="E16" s="37"/>
      <c r="F16" s="37">
        <v>271</v>
      </c>
      <c r="G16" s="37">
        <f t="shared" si="1"/>
        <v>3184.1499999999992</v>
      </c>
      <c r="I16" s="37"/>
      <c r="J16" s="37">
        <v>295</v>
      </c>
      <c r="K16" s="37">
        <f t="shared" si="2"/>
        <v>5492.7000000000007</v>
      </c>
      <c r="M16" s="37"/>
      <c r="N16" s="37">
        <v>378</v>
      </c>
      <c r="O16" s="37">
        <f t="shared" si="3"/>
        <v>6181.6</v>
      </c>
      <c r="Q16" s="37"/>
      <c r="R16" s="37">
        <v>30</v>
      </c>
      <c r="S16" s="37">
        <f t="shared" si="4"/>
        <v>1633.65</v>
      </c>
      <c r="U16" s="37"/>
      <c r="V16" s="37">
        <v>28</v>
      </c>
      <c r="W16" s="37">
        <f t="shared" si="5"/>
        <v>2706.4000000000005</v>
      </c>
    </row>
    <row r="17" spans="1:23" ht="14.25" customHeight="1">
      <c r="A17" s="37"/>
      <c r="B17" s="37">
        <v>80</v>
      </c>
      <c r="C17" s="37">
        <f t="shared" si="0"/>
        <v>3076.9000000000005</v>
      </c>
      <c r="E17" s="37"/>
      <c r="F17" s="37">
        <v>25</v>
      </c>
      <c r="G17" s="37">
        <f t="shared" si="1"/>
        <v>3159.1499999999992</v>
      </c>
      <c r="I17" s="37"/>
      <c r="J17" s="37">
        <v>93</v>
      </c>
      <c r="K17" s="37">
        <f t="shared" si="2"/>
        <v>5399.7000000000007</v>
      </c>
      <c r="M17" s="37"/>
      <c r="N17" s="37">
        <v>228</v>
      </c>
      <c r="O17" s="37">
        <f t="shared" si="3"/>
        <v>5953.6</v>
      </c>
      <c r="Q17" s="37"/>
      <c r="R17" s="37">
        <v>196</v>
      </c>
      <c r="S17" s="37">
        <f t="shared" si="4"/>
        <v>1437.65</v>
      </c>
      <c r="U17" s="37"/>
      <c r="V17" s="37">
        <v>132</v>
      </c>
      <c r="W17" s="37">
        <f t="shared" si="5"/>
        <v>2574.4000000000005</v>
      </c>
    </row>
    <row r="18" spans="1:23" ht="14.25" customHeight="1">
      <c r="A18" s="37"/>
      <c r="B18" s="37">
        <v>42</v>
      </c>
      <c r="C18" s="37">
        <f t="shared" si="0"/>
        <v>3034.9000000000005</v>
      </c>
      <c r="E18" s="37"/>
      <c r="F18" s="37">
        <v>267</v>
      </c>
      <c r="G18" s="37">
        <f t="shared" si="1"/>
        <v>2892.1499999999992</v>
      </c>
      <c r="I18" s="37"/>
      <c r="J18" s="37">
        <v>252</v>
      </c>
      <c r="K18" s="37">
        <f t="shared" si="2"/>
        <v>5147.7000000000007</v>
      </c>
      <c r="M18" s="37"/>
      <c r="N18" s="37">
        <v>30</v>
      </c>
      <c r="O18" s="37">
        <f t="shared" si="3"/>
        <v>5923.6</v>
      </c>
      <c r="Q18" s="37"/>
      <c r="R18" s="37">
        <v>30</v>
      </c>
      <c r="S18" s="37">
        <f t="shared" si="4"/>
        <v>1407.65</v>
      </c>
      <c r="U18" s="37"/>
      <c r="V18" s="37">
        <v>110</v>
      </c>
      <c r="W18" s="37">
        <f t="shared" si="5"/>
        <v>2464.4000000000005</v>
      </c>
    </row>
    <row r="19" spans="1:23" ht="14.25" customHeight="1">
      <c r="A19" s="37"/>
      <c r="B19" s="37">
        <v>4.3</v>
      </c>
      <c r="C19" s="37">
        <f t="shared" si="0"/>
        <v>3030.6000000000004</v>
      </c>
      <c r="E19" s="37"/>
      <c r="F19" s="37">
        <v>765.25</v>
      </c>
      <c r="G19" s="37">
        <f t="shared" si="1"/>
        <v>2126.8999999999992</v>
      </c>
      <c r="I19" s="37"/>
      <c r="J19" s="37">
        <v>59.2</v>
      </c>
      <c r="K19" s="37">
        <f t="shared" si="2"/>
        <v>5088.5000000000009</v>
      </c>
      <c r="M19" s="37"/>
      <c r="N19" s="37">
        <v>13.25</v>
      </c>
      <c r="O19" s="37">
        <f t="shared" si="3"/>
        <v>5910.35</v>
      </c>
      <c r="Q19" s="37"/>
      <c r="R19" s="37">
        <v>333</v>
      </c>
      <c r="S19" s="37">
        <f t="shared" si="4"/>
        <v>1074.6500000000001</v>
      </c>
      <c r="U19" s="37"/>
      <c r="V19" s="37">
        <v>108</v>
      </c>
      <c r="W19" s="37">
        <f t="shared" si="5"/>
        <v>2356.4000000000005</v>
      </c>
    </row>
    <row r="20" spans="1:23" ht="14.25" customHeight="1">
      <c r="A20" s="37"/>
      <c r="B20" s="37">
        <v>9.9</v>
      </c>
      <c r="C20" s="37">
        <f t="shared" si="0"/>
        <v>3020.7000000000003</v>
      </c>
      <c r="E20" s="37"/>
      <c r="F20" s="37">
        <v>942.1</v>
      </c>
      <c r="G20" s="37">
        <f t="shared" si="1"/>
        <v>1184.7999999999993</v>
      </c>
      <c r="I20" s="37"/>
      <c r="J20" s="37">
        <v>270</v>
      </c>
      <c r="K20" s="37">
        <f t="shared" si="2"/>
        <v>4818.5000000000009</v>
      </c>
      <c r="M20" s="37"/>
      <c r="N20" s="37">
        <v>147.35</v>
      </c>
      <c r="O20" s="37">
        <f t="shared" si="3"/>
        <v>5763</v>
      </c>
      <c r="Q20" s="37"/>
      <c r="R20" s="37">
        <v>38.4</v>
      </c>
      <c r="S20" s="37">
        <f t="shared" si="4"/>
        <v>1036.25</v>
      </c>
      <c r="U20" s="37"/>
      <c r="V20" s="37">
        <v>54.8</v>
      </c>
      <c r="W20" s="37">
        <f t="shared" si="5"/>
        <v>2301.6000000000004</v>
      </c>
    </row>
    <row r="21" spans="1:23" ht="14.25" customHeight="1">
      <c r="A21" s="37"/>
      <c r="B21" s="37">
        <v>17</v>
      </c>
      <c r="C21" s="37">
        <f t="shared" si="0"/>
        <v>3003.7000000000003</v>
      </c>
      <c r="E21" s="37"/>
      <c r="F21" s="37">
        <v>174</v>
      </c>
      <c r="G21" s="37">
        <f t="shared" si="1"/>
        <v>1010.7999999999993</v>
      </c>
      <c r="I21" s="37"/>
      <c r="J21" s="37">
        <v>195</v>
      </c>
      <c r="K21" s="37">
        <f t="shared" si="2"/>
        <v>4623.5000000000009</v>
      </c>
      <c r="M21" s="37"/>
      <c r="N21" s="37">
        <v>28</v>
      </c>
      <c r="O21" s="37">
        <f t="shared" si="3"/>
        <v>5735</v>
      </c>
      <c r="Q21" s="37"/>
      <c r="R21" s="37">
        <v>270</v>
      </c>
      <c r="S21" s="37">
        <f t="shared" si="4"/>
        <v>766.25</v>
      </c>
      <c r="U21" s="37"/>
      <c r="V21" s="37">
        <v>192</v>
      </c>
      <c r="W21" s="37">
        <f t="shared" si="5"/>
        <v>2109.6000000000004</v>
      </c>
    </row>
    <row r="22" spans="1:23" ht="14.25" customHeight="1">
      <c r="A22" s="37"/>
      <c r="B22" s="37">
        <v>228</v>
      </c>
      <c r="C22" s="37">
        <f t="shared" si="0"/>
        <v>2775.7000000000003</v>
      </c>
      <c r="E22" s="37"/>
      <c r="F22" s="37">
        <v>192</v>
      </c>
      <c r="G22" s="37">
        <f t="shared" si="1"/>
        <v>818.79999999999927</v>
      </c>
      <c r="I22" s="37"/>
      <c r="J22" s="37">
        <v>270</v>
      </c>
      <c r="K22" s="37">
        <f t="shared" si="2"/>
        <v>4353.5000000000009</v>
      </c>
      <c r="M22" s="37"/>
      <c r="N22" s="37">
        <v>84</v>
      </c>
      <c r="O22" s="37">
        <f t="shared" si="3"/>
        <v>5651</v>
      </c>
      <c r="Q22" s="37">
        <v>6000</v>
      </c>
      <c r="R22" s="37"/>
      <c r="S22" s="37">
        <f t="shared" si="4"/>
        <v>6766.25</v>
      </c>
      <c r="U22" s="37"/>
      <c r="V22" s="37">
        <v>700</v>
      </c>
      <c r="W22" s="37">
        <f t="shared" si="5"/>
        <v>1409.6000000000004</v>
      </c>
    </row>
    <row r="23" spans="1:23" ht="14.25" customHeight="1">
      <c r="A23" s="37"/>
      <c r="B23" s="37">
        <v>62.5</v>
      </c>
      <c r="C23" s="37">
        <f t="shared" si="0"/>
        <v>2713.2000000000003</v>
      </c>
      <c r="E23" s="37"/>
      <c r="F23" s="37">
        <v>26</v>
      </c>
      <c r="G23" s="37">
        <f t="shared" si="1"/>
        <v>792.79999999999927</v>
      </c>
      <c r="I23" s="37"/>
      <c r="J23" s="37">
        <v>100</v>
      </c>
      <c r="K23" s="37">
        <f t="shared" si="2"/>
        <v>4253.5000000000009</v>
      </c>
      <c r="M23" s="37"/>
      <c r="N23" s="37">
        <v>130</v>
      </c>
      <c r="O23" s="37">
        <f t="shared" si="3"/>
        <v>5521</v>
      </c>
      <c r="Q23" s="37"/>
      <c r="R23" s="37">
        <v>173.55</v>
      </c>
      <c r="S23" s="37">
        <f t="shared" si="4"/>
        <v>6592.7</v>
      </c>
      <c r="U23" s="37"/>
      <c r="V23" s="37">
        <v>96</v>
      </c>
      <c r="W23" s="37">
        <f t="shared" si="5"/>
        <v>1313.6000000000004</v>
      </c>
    </row>
    <row r="24" spans="1:23" ht="14.25" customHeight="1">
      <c r="A24" s="37"/>
      <c r="B24" s="37">
        <v>427.3</v>
      </c>
      <c r="C24" s="37">
        <f t="shared" si="0"/>
        <v>2285.9</v>
      </c>
      <c r="E24" s="37"/>
      <c r="F24" s="37">
        <v>39</v>
      </c>
      <c r="G24" s="37">
        <f t="shared" si="1"/>
        <v>753.79999999999927</v>
      </c>
      <c r="I24" s="37"/>
      <c r="J24" s="37">
        <v>82</v>
      </c>
      <c r="K24" s="37">
        <f t="shared" si="2"/>
        <v>4171.5000000000009</v>
      </c>
      <c r="M24" s="37"/>
      <c r="N24" s="37">
        <v>130</v>
      </c>
      <c r="O24" s="37">
        <f t="shared" si="3"/>
        <v>5391</v>
      </c>
      <c r="Q24" s="37"/>
      <c r="R24" s="37">
        <v>130.5</v>
      </c>
      <c r="S24" s="37">
        <f t="shared" si="4"/>
        <v>6462.2</v>
      </c>
      <c r="U24" s="37"/>
      <c r="V24" s="37">
        <v>63.2</v>
      </c>
      <c r="W24" s="37">
        <f t="shared" si="5"/>
        <v>1250.4000000000003</v>
      </c>
    </row>
    <row r="25" spans="1:23" ht="14.25" customHeight="1">
      <c r="A25" s="37"/>
      <c r="B25" s="37">
        <v>25</v>
      </c>
      <c r="C25" s="37">
        <f t="shared" si="0"/>
        <v>2260.9</v>
      </c>
      <c r="E25" s="37"/>
      <c r="F25" s="37">
        <v>30</v>
      </c>
      <c r="G25" s="37">
        <f t="shared" si="1"/>
        <v>723.79999999999927</v>
      </c>
      <c r="I25" s="37"/>
      <c r="J25" s="37">
        <v>105</v>
      </c>
      <c r="K25" s="37">
        <f t="shared" si="2"/>
        <v>4066.5000000000009</v>
      </c>
      <c r="M25" s="37"/>
      <c r="N25" s="37"/>
      <c r="O25" s="37">
        <f t="shared" si="3"/>
        <v>5391</v>
      </c>
      <c r="Q25" s="37"/>
      <c r="R25" s="37">
        <v>230.4</v>
      </c>
      <c r="S25" s="37">
        <f t="shared" si="4"/>
        <v>6231.8</v>
      </c>
      <c r="U25" s="37"/>
      <c r="V25" s="37">
        <v>162.4</v>
      </c>
      <c r="W25" s="37">
        <f t="shared" si="5"/>
        <v>1088.0000000000002</v>
      </c>
    </row>
    <row r="26" spans="1:23" ht="14.25" customHeight="1">
      <c r="A26" s="37"/>
      <c r="B26" s="37">
        <v>25</v>
      </c>
      <c r="C26" s="37">
        <f t="shared" si="0"/>
        <v>2235.9</v>
      </c>
      <c r="E26" s="37"/>
      <c r="F26" s="37"/>
      <c r="G26" s="37">
        <f t="shared" si="1"/>
        <v>723.79999999999927</v>
      </c>
      <c r="I26" s="37"/>
      <c r="J26" s="37">
        <v>85</v>
      </c>
      <c r="K26" s="37">
        <f t="shared" si="2"/>
        <v>3981.5000000000009</v>
      </c>
      <c r="M26" s="37"/>
      <c r="N26" s="37"/>
      <c r="O26" s="37">
        <f t="shared" si="3"/>
        <v>5391</v>
      </c>
      <c r="Q26" s="37"/>
      <c r="R26" s="37">
        <v>36</v>
      </c>
      <c r="S26" s="37">
        <f t="shared" si="4"/>
        <v>6195.8</v>
      </c>
      <c r="U26" s="37">
        <v>6000</v>
      </c>
      <c r="V26" s="37"/>
      <c r="W26" s="37">
        <f t="shared" si="5"/>
        <v>7088</v>
      </c>
    </row>
    <row r="27" spans="1:23" ht="14.25" customHeight="1">
      <c r="A27" s="37"/>
      <c r="B27" s="37">
        <v>110</v>
      </c>
      <c r="C27" s="37">
        <f t="shared" si="0"/>
        <v>2125.9</v>
      </c>
      <c r="E27" s="37"/>
      <c r="F27" s="37"/>
      <c r="G27" s="37">
        <f t="shared" si="1"/>
        <v>723.79999999999927</v>
      </c>
      <c r="I27" s="37"/>
      <c r="J27" s="37">
        <v>70</v>
      </c>
      <c r="K27" s="37">
        <f t="shared" si="2"/>
        <v>3911.5000000000009</v>
      </c>
      <c r="M27" s="37"/>
      <c r="N27" s="37"/>
      <c r="O27" s="37">
        <f t="shared" si="3"/>
        <v>5391</v>
      </c>
      <c r="Q27" s="37"/>
      <c r="R27" s="37">
        <v>172</v>
      </c>
      <c r="S27" s="37">
        <f t="shared" si="4"/>
        <v>6023.8</v>
      </c>
      <c r="U27" s="37"/>
      <c r="V27" s="37">
        <v>676.55</v>
      </c>
      <c r="W27" s="37">
        <f t="shared" si="5"/>
        <v>6411.45</v>
      </c>
    </row>
    <row r="28" spans="1:23" ht="14.25" customHeight="1">
      <c r="A28" s="37"/>
      <c r="B28" s="37">
        <v>297</v>
      </c>
      <c r="C28" s="37">
        <f t="shared" si="0"/>
        <v>1828.9</v>
      </c>
      <c r="E28" s="37"/>
      <c r="F28" s="37"/>
      <c r="G28" s="37">
        <f t="shared" si="1"/>
        <v>723.79999999999927</v>
      </c>
      <c r="I28" s="37"/>
      <c r="J28" s="37">
        <v>100</v>
      </c>
      <c r="K28" s="37">
        <f t="shared" si="2"/>
        <v>3811.5000000000009</v>
      </c>
      <c r="M28" s="37"/>
      <c r="N28" s="37"/>
      <c r="O28" s="37">
        <f t="shared" si="3"/>
        <v>5391</v>
      </c>
      <c r="Q28" s="37"/>
      <c r="R28" s="37">
        <v>6.9</v>
      </c>
      <c r="S28" s="37">
        <f t="shared" si="4"/>
        <v>6016.9000000000005</v>
      </c>
      <c r="U28" s="37"/>
      <c r="V28" s="37">
        <v>1347.6</v>
      </c>
      <c r="W28" s="37">
        <f t="shared" si="5"/>
        <v>5063.8500000000004</v>
      </c>
    </row>
    <row r="29" spans="1:23" ht="14.25" customHeight="1">
      <c r="A29" s="37"/>
      <c r="B29" s="37">
        <v>238</v>
      </c>
      <c r="C29" s="37">
        <f t="shared" si="0"/>
        <v>1590.9</v>
      </c>
      <c r="E29" s="37"/>
      <c r="F29" s="37"/>
      <c r="G29" s="37">
        <f t="shared" si="1"/>
        <v>723.79999999999927</v>
      </c>
      <c r="I29" s="37"/>
      <c r="J29" s="37">
        <v>100</v>
      </c>
      <c r="K29" s="37">
        <f t="shared" si="2"/>
        <v>3711.5000000000009</v>
      </c>
      <c r="M29" s="37"/>
      <c r="N29" s="37"/>
      <c r="O29" s="37">
        <f t="shared" si="3"/>
        <v>5391</v>
      </c>
      <c r="Q29" s="37"/>
      <c r="R29" s="37">
        <v>70</v>
      </c>
      <c r="S29" s="37">
        <f t="shared" si="4"/>
        <v>5946.9000000000005</v>
      </c>
      <c r="U29" s="37"/>
      <c r="V29" s="37">
        <v>150</v>
      </c>
      <c r="W29" s="37">
        <f t="shared" si="5"/>
        <v>4913.8500000000004</v>
      </c>
    </row>
    <row r="30" spans="1:23" ht="14.25" customHeight="1">
      <c r="A30" s="37"/>
      <c r="B30" s="37">
        <v>7.5</v>
      </c>
      <c r="C30" s="37">
        <f t="shared" si="0"/>
        <v>1583.4</v>
      </c>
      <c r="E30" s="37"/>
      <c r="F30" s="37"/>
      <c r="G30" s="37">
        <f t="shared" si="1"/>
        <v>723.79999999999927</v>
      </c>
      <c r="I30" s="37"/>
      <c r="J30" s="37">
        <v>29.6</v>
      </c>
      <c r="K30" s="37">
        <f t="shared" si="2"/>
        <v>3681.900000000001</v>
      </c>
      <c r="M30" s="37"/>
      <c r="N30" s="37"/>
      <c r="O30" s="37">
        <f t="shared" si="3"/>
        <v>5391</v>
      </c>
      <c r="Q30" s="37"/>
      <c r="R30" s="37">
        <v>699.8</v>
      </c>
      <c r="S30" s="37">
        <f t="shared" si="4"/>
        <v>5247.1</v>
      </c>
      <c r="U30" s="37"/>
      <c r="V30" s="37">
        <v>36</v>
      </c>
      <c r="W30" s="37">
        <f t="shared" si="5"/>
        <v>4877.8500000000004</v>
      </c>
    </row>
    <row r="31" spans="1:23" ht="14.25" customHeight="1">
      <c r="A31" s="37"/>
      <c r="B31" s="37">
        <v>25</v>
      </c>
      <c r="C31" s="37">
        <f t="shared" si="0"/>
        <v>1558.4</v>
      </c>
      <c r="E31" s="37"/>
      <c r="F31" s="37"/>
      <c r="G31" s="37">
        <f t="shared" si="1"/>
        <v>723.79999999999927</v>
      </c>
      <c r="I31" s="37"/>
      <c r="J31" s="37">
        <v>706.45</v>
      </c>
      <c r="K31" s="37">
        <f t="shared" si="2"/>
        <v>2975.4500000000007</v>
      </c>
      <c r="M31" s="37"/>
      <c r="N31" s="37"/>
      <c r="O31" s="37">
        <f t="shared" si="3"/>
        <v>5391</v>
      </c>
      <c r="Q31" s="37"/>
      <c r="R31" s="37">
        <v>1314.35</v>
      </c>
      <c r="S31" s="37">
        <f t="shared" si="4"/>
        <v>3932.7500000000005</v>
      </c>
      <c r="U31" s="37"/>
      <c r="V31" s="37">
        <v>36</v>
      </c>
      <c r="W31" s="37">
        <f t="shared" si="5"/>
        <v>4841.8500000000004</v>
      </c>
    </row>
    <row r="32" spans="1:23" ht="14.25" customHeight="1">
      <c r="A32" s="37"/>
      <c r="B32" s="37">
        <v>51.6</v>
      </c>
      <c r="C32" s="37">
        <f t="shared" si="0"/>
        <v>1506.8000000000002</v>
      </c>
      <c r="E32" s="37"/>
      <c r="F32" s="37"/>
      <c r="G32" s="37">
        <f t="shared" si="1"/>
        <v>723.79999999999927</v>
      </c>
      <c r="I32" s="37"/>
      <c r="J32" s="37">
        <v>1083.8499999999999</v>
      </c>
      <c r="K32" s="37">
        <f t="shared" si="2"/>
        <v>1891.6000000000008</v>
      </c>
      <c r="M32" s="37"/>
      <c r="N32" s="37"/>
      <c r="O32" s="37">
        <f t="shared" si="3"/>
        <v>5391</v>
      </c>
      <c r="Q32" s="37"/>
      <c r="R32" s="37"/>
      <c r="S32" s="37">
        <f t="shared" si="4"/>
        <v>3932.7500000000005</v>
      </c>
      <c r="U32" s="37"/>
      <c r="V32" s="37">
        <v>30</v>
      </c>
      <c r="W32" s="37">
        <f t="shared" si="5"/>
        <v>4811.8500000000004</v>
      </c>
    </row>
    <row r="33" spans="1:23" ht="14.25" customHeight="1">
      <c r="A33" s="37"/>
      <c r="B33" s="37">
        <v>33</v>
      </c>
      <c r="C33" s="37">
        <f t="shared" si="0"/>
        <v>1473.8000000000002</v>
      </c>
      <c r="E33" s="37"/>
      <c r="F33" s="37"/>
      <c r="G33" s="37">
        <f t="shared" si="1"/>
        <v>723.79999999999927</v>
      </c>
      <c r="I33" s="37"/>
      <c r="J33" s="37">
        <v>122.5</v>
      </c>
      <c r="K33" s="37">
        <f t="shared" si="2"/>
        <v>1769.1000000000008</v>
      </c>
      <c r="M33" s="37"/>
      <c r="N33" s="37"/>
      <c r="O33" s="37">
        <f t="shared" si="3"/>
        <v>5391</v>
      </c>
      <c r="Q33" s="37"/>
      <c r="R33" s="37"/>
      <c r="S33" s="37">
        <f t="shared" si="4"/>
        <v>3932.7500000000005</v>
      </c>
      <c r="U33" s="37"/>
      <c r="V33" s="37"/>
      <c r="W33" s="37">
        <f t="shared" si="5"/>
        <v>4811.8500000000004</v>
      </c>
    </row>
    <row r="34" spans="1:23" ht="14.25" customHeight="1">
      <c r="A34" s="37"/>
      <c r="B34" s="37">
        <v>375</v>
      </c>
      <c r="C34" s="37">
        <f t="shared" si="0"/>
        <v>1098.8000000000002</v>
      </c>
      <c r="E34" s="37"/>
      <c r="F34" s="37"/>
      <c r="G34" s="37">
        <f t="shared" si="1"/>
        <v>723.79999999999927</v>
      </c>
      <c r="I34" s="40"/>
      <c r="J34" s="37">
        <v>142</v>
      </c>
      <c r="K34" s="37">
        <f t="shared" si="2"/>
        <v>1627.1000000000008</v>
      </c>
      <c r="M34" s="37"/>
      <c r="N34" s="37"/>
      <c r="O34" s="37">
        <f t="shared" si="3"/>
        <v>5391</v>
      </c>
      <c r="Q34" s="37"/>
      <c r="R34" s="37"/>
      <c r="S34" s="37">
        <f t="shared" si="4"/>
        <v>3932.7500000000005</v>
      </c>
      <c r="U34" s="37"/>
      <c r="V34" s="37"/>
      <c r="W34" s="37">
        <f t="shared" si="5"/>
        <v>4811.8500000000004</v>
      </c>
    </row>
    <row r="35" spans="1:23" ht="14.25" customHeight="1">
      <c r="A35" s="37"/>
      <c r="B35" s="37">
        <v>192</v>
      </c>
      <c r="C35" s="37">
        <f t="shared" si="0"/>
        <v>906.80000000000018</v>
      </c>
      <c r="E35" s="37"/>
      <c r="F35" s="37"/>
      <c r="G35" s="37">
        <f t="shared" si="1"/>
        <v>723.79999999999927</v>
      </c>
      <c r="I35" s="37">
        <v>300</v>
      </c>
      <c r="J35" s="37"/>
      <c r="K35" s="37">
        <f t="shared" si="2"/>
        <v>1927.1000000000008</v>
      </c>
      <c r="M35" s="37"/>
      <c r="N35" s="37"/>
      <c r="O35" s="37">
        <f t="shared" si="3"/>
        <v>5391</v>
      </c>
      <c r="Q35" s="37"/>
      <c r="R35" s="37"/>
      <c r="S35" s="37">
        <f t="shared" si="4"/>
        <v>3932.7500000000005</v>
      </c>
      <c r="U35" s="37"/>
      <c r="V35" s="37"/>
      <c r="W35" s="37">
        <f t="shared" si="5"/>
        <v>4811.8500000000004</v>
      </c>
    </row>
    <row r="36" spans="1:23" ht="14.25" customHeight="1">
      <c r="A36" s="37"/>
      <c r="B36" s="37">
        <v>180</v>
      </c>
      <c r="C36" s="37">
        <f t="shared" si="0"/>
        <v>726.80000000000018</v>
      </c>
      <c r="E36" s="37"/>
      <c r="F36" s="37"/>
      <c r="G36" s="37">
        <f t="shared" si="1"/>
        <v>723.79999999999927</v>
      </c>
      <c r="I36" s="37">
        <v>500</v>
      </c>
      <c r="J36" s="37"/>
      <c r="K36" s="37">
        <f t="shared" si="2"/>
        <v>2427.1000000000008</v>
      </c>
      <c r="M36" s="37"/>
      <c r="N36" s="37"/>
      <c r="O36" s="37">
        <f t="shared" si="3"/>
        <v>5391</v>
      </c>
      <c r="Q36" s="37"/>
      <c r="R36" s="37"/>
      <c r="S36" s="37">
        <f t="shared" si="4"/>
        <v>3932.7500000000005</v>
      </c>
      <c r="U36" s="37"/>
      <c r="V36" s="37"/>
      <c r="W36" s="37">
        <f t="shared" si="5"/>
        <v>4811.8500000000004</v>
      </c>
    </row>
    <row r="37" spans="1:23" ht="14.25" customHeight="1">
      <c r="A37" s="38">
        <v>1000</v>
      </c>
      <c r="B37" s="37"/>
      <c r="C37" s="37">
        <f t="shared" si="0"/>
        <v>1726.8000000000002</v>
      </c>
      <c r="D37" s="41" t="s">
        <v>62</v>
      </c>
      <c r="E37" s="37"/>
      <c r="F37" s="37"/>
      <c r="G37" s="37">
        <f t="shared" si="1"/>
        <v>723.79999999999927</v>
      </c>
      <c r="I37" s="37"/>
      <c r="J37" s="37">
        <v>300</v>
      </c>
      <c r="K37" s="37">
        <f t="shared" si="2"/>
        <v>2127.1000000000008</v>
      </c>
      <c r="M37" s="37"/>
      <c r="N37" s="37"/>
      <c r="O37" s="37">
        <f t="shared" si="3"/>
        <v>5391</v>
      </c>
      <c r="Q37" s="37"/>
      <c r="R37" s="37"/>
      <c r="S37" s="37">
        <f t="shared" si="4"/>
        <v>3932.7500000000005</v>
      </c>
      <c r="U37" s="37"/>
      <c r="V37" s="37"/>
      <c r="W37" s="37">
        <f t="shared" si="5"/>
        <v>4811.8500000000004</v>
      </c>
    </row>
    <row r="38" spans="1:23" ht="14.25" customHeight="1">
      <c r="A38" s="37"/>
      <c r="B38" s="37">
        <v>30</v>
      </c>
      <c r="C38" s="37">
        <f t="shared" si="0"/>
        <v>1696.8000000000002</v>
      </c>
      <c r="E38" s="37"/>
      <c r="F38" s="37"/>
      <c r="G38" s="37">
        <f t="shared" si="1"/>
        <v>723.79999999999927</v>
      </c>
      <c r="I38" s="37"/>
      <c r="J38" s="37">
        <v>500</v>
      </c>
      <c r="K38" s="37">
        <f t="shared" si="2"/>
        <v>1627.1000000000008</v>
      </c>
      <c r="M38" s="37"/>
      <c r="N38" s="37"/>
      <c r="O38" s="37">
        <f t="shared" si="3"/>
        <v>5391</v>
      </c>
      <c r="Q38" s="37"/>
      <c r="R38" s="37"/>
      <c r="S38" s="37">
        <f t="shared" si="4"/>
        <v>3932.7500000000005</v>
      </c>
      <c r="U38" s="37"/>
      <c r="V38" s="37"/>
      <c r="W38" s="37">
        <f t="shared" si="5"/>
        <v>4811.8500000000004</v>
      </c>
    </row>
    <row r="39" spans="1:23" ht="14.25" customHeight="1">
      <c r="A39" s="37"/>
      <c r="B39" s="37">
        <v>50</v>
      </c>
      <c r="C39" s="37">
        <f t="shared" si="0"/>
        <v>1646.8000000000002</v>
      </c>
      <c r="E39" s="37"/>
      <c r="F39" s="37"/>
      <c r="G39" s="37">
        <f t="shared" si="1"/>
        <v>723.79999999999927</v>
      </c>
      <c r="I39" s="40"/>
      <c r="J39" s="40"/>
      <c r="K39" s="37">
        <f t="shared" si="2"/>
        <v>1627.1000000000008</v>
      </c>
      <c r="M39" s="37"/>
      <c r="N39" s="37"/>
      <c r="O39" s="37">
        <f t="shared" si="3"/>
        <v>5391</v>
      </c>
      <c r="Q39" s="37"/>
      <c r="R39" s="37"/>
      <c r="S39" s="37">
        <f t="shared" si="4"/>
        <v>3932.7500000000005</v>
      </c>
      <c r="U39" s="37"/>
      <c r="V39" s="37"/>
      <c r="W39" s="37">
        <f t="shared" si="5"/>
        <v>4811.8500000000004</v>
      </c>
    </row>
    <row r="40" spans="1:23" ht="14.25" customHeight="1">
      <c r="A40" s="37">
        <v>8000</v>
      </c>
      <c r="B40" s="37"/>
      <c r="C40" s="37">
        <f t="shared" si="0"/>
        <v>9646.7999999999993</v>
      </c>
      <c r="E40" s="37"/>
      <c r="F40" s="37"/>
      <c r="G40" s="37">
        <f t="shared" si="1"/>
        <v>723.79999999999927</v>
      </c>
      <c r="I40" s="40"/>
      <c r="J40" s="40"/>
      <c r="K40" s="37">
        <f t="shared" si="2"/>
        <v>1627.1000000000008</v>
      </c>
      <c r="M40" s="37"/>
      <c r="N40" s="37"/>
      <c r="O40" s="37">
        <f t="shared" si="3"/>
        <v>5391</v>
      </c>
      <c r="Q40" s="37"/>
      <c r="R40" s="37"/>
      <c r="S40" s="37">
        <f t="shared" si="4"/>
        <v>3932.7500000000005</v>
      </c>
      <c r="U40" s="37"/>
      <c r="V40" s="37"/>
      <c r="W40" s="37">
        <f t="shared" si="5"/>
        <v>4811.8500000000004</v>
      </c>
    </row>
    <row r="41" spans="1:23" ht="14.25" customHeight="1">
      <c r="A41" s="37"/>
      <c r="B41" s="37">
        <v>1600</v>
      </c>
      <c r="C41" s="37">
        <f t="shared" si="0"/>
        <v>8046.7999999999993</v>
      </c>
      <c r="E41" s="37"/>
      <c r="F41" s="37"/>
      <c r="G41" s="37">
        <f t="shared" si="1"/>
        <v>723.79999999999927</v>
      </c>
      <c r="I41" s="40"/>
      <c r="J41" s="40"/>
      <c r="K41" s="37">
        <f t="shared" si="2"/>
        <v>1627.1000000000008</v>
      </c>
      <c r="M41" s="37"/>
      <c r="N41" s="37"/>
      <c r="O41" s="37">
        <f t="shared" si="3"/>
        <v>5391</v>
      </c>
      <c r="Q41" s="37"/>
      <c r="R41" s="37"/>
      <c r="S41" s="37">
        <f t="shared" si="4"/>
        <v>3932.7500000000005</v>
      </c>
      <c r="U41" s="37"/>
      <c r="V41" s="37"/>
      <c r="W41" s="37">
        <f t="shared" si="5"/>
        <v>4811.8500000000004</v>
      </c>
    </row>
    <row r="42" spans="1:23" ht="14.25" customHeight="1">
      <c r="A42" s="37"/>
      <c r="B42" s="37">
        <v>53</v>
      </c>
      <c r="C42" s="37">
        <f t="shared" si="0"/>
        <v>7993.7999999999993</v>
      </c>
      <c r="E42" s="37"/>
      <c r="F42" s="37"/>
      <c r="G42" s="37">
        <f t="shared" si="1"/>
        <v>723.79999999999927</v>
      </c>
      <c r="I42" s="40"/>
      <c r="J42" s="40"/>
      <c r="K42" s="37">
        <f t="shared" si="2"/>
        <v>1627.1000000000008</v>
      </c>
      <c r="M42" s="37"/>
      <c r="N42" s="37"/>
      <c r="O42" s="37">
        <f t="shared" si="3"/>
        <v>5391</v>
      </c>
      <c r="Q42" s="37"/>
      <c r="R42" s="37"/>
      <c r="S42" s="37">
        <f t="shared" si="4"/>
        <v>3932.7500000000005</v>
      </c>
      <c r="U42" s="37"/>
      <c r="V42" s="37"/>
      <c r="W42" s="37">
        <f t="shared" si="5"/>
        <v>4811.8500000000004</v>
      </c>
    </row>
    <row r="43" spans="1:23" ht="14.25" customHeight="1">
      <c r="A43" s="37"/>
      <c r="B43" s="37">
        <v>270</v>
      </c>
      <c r="C43" s="37">
        <f t="shared" si="0"/>
        <v>7723.7999999999993</v>
      </c>
      <c r="E43" s="37"/>
      <c r="F43" s="37"/>
      <c r="G43" s="37">
        <f t="shared" si="1"/>
        <v>723.79999999999927</v>
      </c>
      <c r="I43" s="40"/>
      <c r="J43" s="40"/>
      <c r="K43" s="37">
        <f t="shared" si="2"/>
        <v>1627.1000000000008</v>
      </c>
      <c r="M43" s="37"/>
      <c r="N43" s="37"/>
      <c r="O43" s="37">
        <f t="shared" si="3"/>
        <v>5391</v>
      </c>
      <c r="Q43" s="37"/>
      <c r="R43" s="37"/>
      <c r="S43" s="37">
        <f t="shared" si="4"/>
        <v>3932.7500000000005</v>
      </c>
      <c r="U43" s="37"/>
      <c r="V43" s="37"/>
      <c r="W43" s="37">
        <f t="shared" si="5"/>
        <v>4811.8500000000004</v>
      </c>
    </row>
    <row r="44" spans="1:23" ht="14.25" customHeight="1">
      <c r="A44" s="37"/>
      <c r="B44" s="37">
        <v>38.4</v>
      </c>
      <c r="C44" s="37">
        <f t="shared" si="0"/>
        <v>7685.4</v>
      </c>
      <c r="E44" s="37"/>
      <c r="F44" s="37"/>
      <c r="G44" s="37">
        <f t="shared" si="1"/>
        <v>723.79999999999927</v>
      </c>
      <c r="I44" s="40"/>
      <c r="J44" s="40"/>
      <c r="K44" s="37">
        <f t="shared" si="2"/>
        <v>1627.1000000000008</v>
      </c>
      <c r="M44" s="37"/>
      <c r="N44" s="37"/>
      <c r="O44" s="37">
        <f t="shared" si="3"/>
        <v>5391</v>
      </c>
      <c r="Q44" s="37"/>
      <c r="R44" s="37"/>
      <c r="S44" s="37">
        <f t="shared" si="4"/>
        <v>3932.7500000000005</v>
      </c>
      <c r="U44" s="37"/>
      <c r="V44" s="37"/>
      <c r="W44" s="37">
        <f t="shared" si="5"/>
        <v>4811.8500000000004</v>
      </c>
    </row>
    <row r="45" spans="1:23" ht="14.25" customHeight="1">
      <c r="A45" s="37"/>
      <c r="B45" s="37">
        <v>324</v>
      </c>
      <c r="C45" s="37">
        <f t="shared" si="0"/>
        <v>7361.4</v>
      </c>
      <c r="E45" s="37"/>
      <c r="F45" s="37"/>
      <c r="G45" s="37">
        <f t="shared" si="1"/>
        <v>723.79999999999927</v>
      </c>
      <c r="I45" s="40"/>
      <c r="J45" s="40"/>
      <c r="K45" s="37">
        <f t="shared" si="2"/>
        <v>1627.1000000000008</v>
      </c>
      <c r="M45" s="37"/>
      <c r="N45" s="37"/>
      <c r="O45" s="37">
        <f t="shared" si="3"/>
        <v>5391</v>
      </c>
      <c r="Q45" s="37"/>
      <c r="R45" s="37"/>
      <c r="S45" s="37">
        <f t="shared" si="4"/>
        <v>3932.7500000000005</v>
      </c>
      <c r="U45" s="37"/>
      <c r="V45" s="37"/>
      <c r="W45" s="37">
        <f t="shared" si="5"/>
        <v>4811.8500000000004</v>
      </c>
    </row>
    <row r="46" spans="1:23" ht="14.25" customHeight="1">
      <c r="A46" s="37"/>
      <c r="B46" s="37">
        <v>120</v>
      </c>
      <c r="C46" s="37">
        <f t="shared" si="0"/>
        <v>7241.4</v>
      </c>
      <c r="E46" s="37"/>
      <c r="F46" s="37"/>
      <c r="G46" s="37">
        <f t="shared" si="1"/>
        <v>723.79999999999927</v>
      </c>
      <c r="I46" s="40"/>
      <c r="J46" s="40"/>
      <c r="K46" s="37">
        <f t="shared" si="2"/>
        <v>1627.1000000000008</v>
      </c>
      <c r="M46" s="37"/>
      <c r="N46" s="37"/>
      <c r="O46" s="37">
        <f t="shared" si="3"/>
        <v>5391</v>
      </c>
      <c r="Q46" s="37"/>
      <c r="R46" s="37"/>
      <c r="S46" s="37">
        <f t="shared" si="4"/>
        <v>3932.7500000000005</v>
      </c>
      <c r="U46" s="37"/>
      <c r="V46" s="37"/>
      <c r="W46" s="37">
        <f t="shared" si="5"/>
        <v>4811.8500000000004</v>
      </c>
    </row>
    <row r="47" spans="1:23" ht="14.25" customHeight="1">
      <c r="A47" s="37"/>
      <c r="B47" s="42">
        <v>100</v>
      </c>
      <c r="C47" s="37">
        <f t="shared" si="0"/>
        <v>7141.4</v>
      </c>
      <c r="E47" s="37"/>
      <c r="F47" s="37"/>
      <c r="G47" s="37">
        <f t="shared" si="1"/>
        <v>723.79999999999927</v>
      </c>
      <c r="I47" s="40"/>
      <c r="J47" s="40"/>
      <c r="K47" s="37">
        <f t="shared" si="2"/>
        <v>1627.1000000000008</v>
      </c>
      <c r="M47" s="37"/>
      <c r="N47" s="37"/>
      <c r="O47" s="37">
        <f t="shared" si="3"/>
        <v>5391</v>
      </c>
      <c r="Q47" s="37"/>
      <c r="R47" s="37"/>
      <c r="S47" s="37">
        <f t="shared" si="4"/>
        <v>3932.7500000000005</v>
      </c>
      <c r="U47" s="37"/>
      <c r="V47" s="37"/>
      <c r="W47" s="37">
        <f t="shared" si="5"/>
        <v>4811.8500000000004</v>
      </c>
    </row>
    <row r="48" spans="1:23" ht="14.25" customHeight="1">
      <c r="A48" s="37"/>
      <c r="B48" s="37"/>
      <c r="C48" s="40"/>
      <c r="E48" s="37"/>
      <c r="F48" s="37"/>
      <c r="G48" s="40"/>
      <c r="I48" s="40"/>
      <c r="J48" s="40"/>
      <c r="K48" s="40"/>
      <c r="M48" s="37"/>
      <c r="N48" s="37"/>
      <c r="O48" s="37"/>
      <c r="Q48" s="37"/>
      <c r="R48" s="37"/>
      <c r="S48" s="37"/>
      <c r="U48" s="37"/>
      <c r="V48" s="37"/>
      <c r="W48" s="37"/>
    </row>
    <row r="49" spans="1:23" ht="14.25" customHeight="1">
      <c r="A49" s="43">
        <f t="shared" ref="A49:B49" si="6">SUM(A4:A48)</f>
        <v>14000</v>
      </c>
      <c r="B49" s="43">
        <f t="shared" si="6"/>
        <v>7663.1500000000005</v>
      </c>
      <c r="C49" s="43">
        <f>A49-B49</f>
        <v>6336.8499999999995</v>
      </c>
      <c r="E49" s="43">
        <f t="shared" ref="E49:F49" si="7">SUM(E4:E48)</f>
        <v>0</v>
      </c>
      <c r="F49" s="43">
        <f t="shared" si="7"/>
        <v>6417.6</v>
      </c>
      <c r="G49" s="43">
        <f>E49-F49</f>
        <v>-6417.6</v>
      </c>
      <c r="I49" s="43">
        <f t="shared" ref="I49:J49" si="8">SUM(I4:I48)</f>
        <v>6800</v>
      </c>
      <c r="J49" s="43">
        <f t="shared" si="8"/>
        <v>5896.7000000000007</v>
      </c>
      <c r="K49" s="43">
        <f>I49-J49</f>
        <v>903.29999999999927</v>
      </c>
      <c r="M49" s="43">
        <f t="shared" ref="M49:N49" si="9">SUM(M4:M48)</f>
        <v>6000</v>
      </c>
      <c r="N49" s="43">
        <f t="shared" si="9"/>
        <v>2236.1</v>
      </c>
      <c r="O49" s="43">
        <f>M49-N49</f>
        <v>3763.9</v>
      </c>
      <c r="Q49" s="43">
        <f t="shared" ref="Q49:R49" si="10">SUM(Q4:Q48)</f>
        <v>6000</v>
      </c>
      <c r="R49" s="43">
        <f t="shared" si="10"/>
        <v>7458.25</v>
      </c>
      <c r="S49" s="43">
        <f>Q49-R49</f>
        <v>-1458.25</v>
      </c>
      <c r="U49" s="43">
        <f t="shared" ref="U49:V49" si="11">SUM(U4:U48)</f>
        <v>6000</v>
      </c>
      <c r="V49" s="43">
        <f t="shared" si="11"/>
        <v>5120.8999999999996</v>
      </c>
      <c r="W49" s="43">
        <f>U49-V49</f>
        <v>879.10000000000036</v>
      </c>
    </row>
    <row r="50" spans="1:23" ht="14.25" customHeight="1">
      <c r="A50" s="43"/>
      <c r="B50" s="43"/>
      <c r="C50" s="43">
        <f>C3+C49</f>
        <v>7141.4</v>
      </c>
      <c r="E50" s="43"/>
      <c r="F50" s="43"/>
      <c r="G50" s="43">
        <f>G3+G49</f>
        <v>723.79999999999927</v>
      </c>
      <c r="K50" s="43">
        <f>K3+K49</f>
        <v>1627.0999999999985</v>
      </c>
      <c r="O50" s="43">
        <f>O3+O49</f>
        <v>5391.0000000000009</v>
      </c>
      <c r="S50" s="43">
        <f>S3+S49</f>
        <v>3932.75</v>
      </c>
      <c r="W50" s="43">
        <f>W3+W49</f>
        <v>4811.8500000000004</v>
      </c>
    </row>
    <row r="51" spans="1:23" ht="14.25" hidden="1" customHeight="1">
      <c r="A51" s="43"/>
      <c r="B51" s="44" t="s">
        <v>30</v>
      </c>
      <c r="E51" s="43"/>
      <c r="F51" s="43"/>
    </row>
    <row r="52" spans="1:23" ht="14.25" hidden="1" customHeight="1">
      <c r="A52" s="43"/>
      <c r="E52" s="43"/>
      <c r="F52" s="43"/>
      <c r="M52" s="45" t="s">
        <v>31</v>
      </c>
      <c r="N52" s="45" t="s">
        <v>32</v>
      </c>
      <c r="P52" s="43"/>
    </row>
    <row r="53" spans="1:23" ht="14.25" hidden="1" customHeight="1">
      <c r="A53" s="43"/>
      <c r="B53" s="43"/>
      <c r="E53" s="43"/>
      <c r="F53" s="43"/>
      <c r="N53" s="45" t="s">
        <v>33</v>
      </c>
      <c r="O53" s="46">
        <v>707.8</v>
      </c>
    </row>
    <row r="54" spans="1:23" ht="14.25" hidden="1" customHeight="1">
      <c r="A54" s="43"/>
      <c r="B54" s="43"/>
      <c r="E54" s="43"/>
      <c r="F54" s="43"/>
    </row>
    <row r="55" spans="1:23" ht="14.25" customHeight="1">
      <c r="A55" s="43"/>
      <c r="B55" s="43"/>
      <c r="E55" s="43"/>
      <c r="F55" s="43"/>
    </row>
    <row r="56" spans="1:23" ht="14.25" customHeight="1"/>
    <row r="57" spans="1:23" ht="14.25" customHeight="1">
      <c r="A57" s="56">
        <v>44764</v>
      </c>
      <c r="B57" s="57"/>
      <c r="C57" s="58"/>
      <c r="E57" s="56">
        <v>44795</v>
      </c>
      <c r="F57" s="57"/>
      <c r="G57" s="58"/>
      <c r="I57" s="56">
        <v>44826</v>
      </c>
      <c r="J57" s="57"/>
      <c r="K57" s="58"/>
      <c r="M57" s="56">
        <v>44856</v>
      </c>
      <c r="N57" s="57"/>
      <c r="O57" s="58"/>
      <c r="Q57" s="56">
        <v>44887</v>
      </c>
      <c r="R57" s="57"/>
      <c r="S57" s="58"/>
      <c r="U57" s="56">
        <v>44917</v>
      </c>
      <c r="V57" s="57"/>
      <c r="W57" s="58"/>
    </row>
    <row r="58" spans="1:23" ht="14.25" customHeight="1">
      <c r="A58" s="35" t="s">
        <v>1</v>
      </c>
      <c r="B58" s="35" t="s">
        <v>2</v>
      </c>
      <c r="C58" s="35" t="s">
        <v>3</v>
      </c>
      <c r="E58" s="35" t="s">
        <v>1</v>
      </c>
      <c r="F58" s="35" t="s">
        <v>2</v>
      </c>
      <c r="G58" s="35" t="s">
        <v>3</v>
      </c>
      <c r="I58" s="35" t="s">
        <v>1</v>
      </c>
      <c r="J58" s="35" t="s">
        <v>2</v>
      </c>
      <c r="K58" s="35" t="s">
        <v>3</v>
      </c>
      <c r="M58" s="35" t="s">
        <v>1</v>
      </c>
      <c r="N58" s="35" t="s">
        <v>2</v>
      </c>
      <c r="O58" s="35" t="s">
        <v>3</v>
      </c>
      <c r="Q58" s="35" t="s">
        <v>1</v>
      </c>
      <c r="R58" s="35" t="s">
        <v>2</v>
      </c>
      <c r="S58" s="35" t="s">
        <v>3</v>
      </c>
      <c r="U58" s="35" t="s">
        <v>1</v>
      </c>
      <c r="V58" s="35" t="s">
        <v>2</v>
      </c>
      <c r="W58" s="35" t="s">
        <v>3</v>
      </c>
    </row>
    <row r="59" spans="1:23" ht="14.25" customHeight="1">
      <c r="A59" s="36" t="s">
        <v>6</v>
      </c>
      <c r="B59" s="37"/>
      <c r="C59" s="37">
        <f>W47</f>
        <v>4811.8500000000004</v>
      </c>
      <c r="E59" s="36" t="s">
        <v>6</v>
      </c>
      <c r="F59" s="37"/>
      <c r="G59" s="37">
        <f>C103</f>
        <v>5921.2000000000007</v>
      </c>
      <c r="I59" s="36" t="s">
        <v>6</v>
      </c>
      <c r="J59" s="37"/>
      <c r="K59" s="37">
        <f>G103</f>
        <v>729.15000000000055</v>
      </c>
      <c r="M59" s="36" t="s">
        <v>6</v>
      </c>
      <c r="N59" s="37"/>
      <c r="O59" s="37">
        <f>K103</f>
        <v>1457.5000000000005</v>
      </c>
      <c r="Q59" s="36" t="s">
        <v>6</v>
      </c>
      <c r="R59" s="37"/>
      <c r="S59" s="37">
        <f>O103</f>
        <v>2354.4</v>
      </c>
      <c r="U59" s="36" t="s">
        <v>6</v>
      </c>
      <c r="V59" s="37"/>
      <c r="W59" s="37">
        <f>S103</f>
        <v>7978.1999999999989</v>
      </c>
    </row>
    <row r="60" spans="1:23" ht="14.25" customHeight="1">
      <c r="A60" s="37"/>
      <c r="B60" s="37">
        <v>148</v>
      </c>
      <c r="C60" s="37">
        <f t="shared" ref="C60:C103" si="12">C59+A60-B60</f>
        <v>4663.8500000000004</v>
      </c>
      <c r="E60" s="37"/>
      <c r="F60" s="37">
        <v>4.8</v>
      </c>
      <c r="G60" s="37">
        <f t="shared" ref="G60:G103" si="13">G59+E60-F60</f>
        <v>5916.4000000000005</v>
      </c>
      <c r="I60" s="37"/>
      <c r="J60" s="37">
        <v>130</v>
      </c>
      <c r="K60" s="37">
        <f t="shared" ref="K60:K103" si="14">K59+I60-J60</f>
        <v>599.15000000000055</v>
      </c>
      <c r="M60" s="37"/>
      <c r="N60" s="37">
        <v>30</v>
      </c>
      <c r="O60" s="37">
        <f t="shared" ref="O60:O103" si="15">O59+M60-N60</f>
        <v>1427.5000000000005</v>
      </c>
      <c r="Q60" s="37"/>
      <c r="R60" s="37">
        <v>171</v>
      </c>
      <c r="S60" s="37">
        <f t="shared" ref="S60:S103" si="16">S59+Q60-R60</f>
        <v>2183.4</v>
      </c>
      <c r="U60" s="37"/>
      <c r="V60" s="37">
        <v>190</v>
      </c>
      <c r="W60" s="37">
        <f t="shared" ref="W60:W102" si="17">W59+U60-V60</f>
        <v>7788.1999999999989</v>
      </c>
    </row>
    <row r="61" spans="1:23" ht="14.25" customHeight="1">
      <c r="A61" s="37"/>
      <c r="B61" s="37">
        <v>148</v>
      </c>
      <c r="C61" s="37">
        <f t="shared" si="12"/>
        <v>4515.8500000000004</v>
      </c>
      <c r="E61" s="37"/>
      <c r="F61" s="37">
        <v>270</v>
      </c>
      <c r="G61" s="37">
        <f t="shared" si="13"/>
        <v>5646.4000000000005</v>
      </c>
      <c r="I61" s="37">
        <v>6000</v>
      </c>
      <c r="J61" s="37"/>
      <c r="K61" s="37">
        <f t="shared" si="14"/>
        <v>6599.1500000000005</v>
      </c>
      <c r="M61" s="37"/>
      <c r="N61" s="37">
        <v>36</v>
      </c>
      <c r="O61" s="37">
        <f t="shared" si="15"/>
        <v>1391.5000000000005</v>
      </c>
      <c r="Q61" s="37"/>
      <c r="R61" s="37">
        <v>10</v>
      </c>
      <c r="S61" s="37">
        <f t="shared" si="16"/>
        <v>2173.4</v>
      </c>
      <c r="U61" s="37"/>
      <c r="V61" s="37">
        <v>130</v>
      </c>
      <c r="W61" s="37">
        <f t="shared" si="17"/>
        <v>7658.1999999999989</v>
      </c>
    </row>
    <row r="62" spans="1:23" ht="14.25" customHeight="1">
      <c r="A62" s="37"/>
      <c r="B62" s="37">
        <v>6</v>
      </c>
      <c r="C62" s="37">
        <f t="shared" si="12"/>
        <v>4509.8500000000004</v>
      </c>
      <c r="E62" s="37"/>
      <c r="F62" s="37">
        <v>152</v>
      </c>
      <c r="G62" s="37">
        <f t="shared" si="13"/>
        <v>5494.4000000000005</v>
      </c>
      <c r="I62" s="37"/>
      <c r="J62" s="37">
        <v>30</v>
      </c>
      <c r="K62" s="37">
        <f t="shared" si="14"/>
        <v>6569.1500000000005</v>
      </c>
      <c r="M62" s="37"/>
      <c r="N62" s="37">
        <v>60.25</v>
      </c>
      <c r="O62" s="37">
        <f t="shared" si="15"/>
        <v>1331.2500000000005</v>
      </c>
      <c r="Q62" s="37"/>
      <c r="R62" s="37">
        <v>36</v>
      </c>
      <c r="S62" s="37">
        <f t="shared" si="16"/>
        <v>2137.4</v>
      </c>
      <c r="U62" s="37"/>
      <c r="V62" s="37">
        <v>370</v>
      </c>
      <c r="W62" s="37">
        <f t="shared" si="17"/>
        <v>7288.1999999999989</v>
      </c>
    </row>
    <row r="63" spans="1:23" ht="14.25" customHeight="1">
      <c r="A63" s="37"/>
      <c r="B63" s="37">
        <v>220</v>
      </c>
      <c r="C63" s="37">
        <f t="shared" si="12"/>
        <v>4289.8500000000004</v>
      </c>
      <c r="E63" s="37"/>
      <c r="F63" s="37">
        <v>572</v>
      </c>
      <c r="G63" s="37">
        <f t="shared" si="13"/>
        <v>4922.4000000000005</v>
      </c>
      <c r="I63" s="37"/>
      <c r="J63" s="37">
        <v>36</v>
      </c>
      <c r="K63" s="37">
        <f t="shared" si="14"/>
        <v>6533.1500000000005</v>
      </c>
      <c r="M63" s="37"/>
      <c r="N63" s="37">
        <v>120</v>
      </c>
      <c r="O63" s="37">
        <f t="shared" si="15"/>
        <v>1211.2500000000005</v>
      </c>
      <c r="Q63" s="37"/>
      <c r="R63" s="37">
        <v>47.15</v>
      </c>
      <c r="S63" s="37">
        <f t="shared" si="16"/>
        <v>2090.25</v>
      </c>
      <c r="U63" s="37"/>
      <c r="V63" s="37">
        <v>195</v>
      </c>
      <c r="W63" s="37">
        <f t="shared" si="17"/>
        <v>7093.1999999999989</v>
      </c>
    </row>
    <row r="64" spans="1:23" ht="14.25" customHeight="1">
      <c r="A64" s="37"/>
      <c r="B64" s="37">
        <v>69.2</v>
      </c>
      <c r="C64" s="37">
        <f t="shared" si="12"/>
        <v>4220.6500000000005</v>
      </c>
      <c r="E64" s="37"/>
      <c r="F64" s="37">
        <v>146</v>
      </c>
      <c r="G64" s="37">
        <f t="shared" si="13"/>
        <v>4776.4000000000005</v>
      </c>
      <c r="I64" s="37"/>
      <c r="J64" s="37">
        <v>43.15</v>
      </c>
      <c r="K64" s="37">
        <f t="shared" si="14"/>
        <v>6490.0000000000009</v>
      </c>
      <c r="M64" s="37"/>
      <c r="N64" s="37">
        <v>190</v>
      </c>
      <c r="O64" s="37">
        <f t="shared" si="15"/>
        <v>1021.2500000000005</v>
      </c>
      <c r="Q64" s="37"/>
      <c r="R64" s="37">
        <v>333</v>
      </c>
      <c r="S64" s="37">
        <f t="shared" si="16"/>
        <v>1757.25</v>
      </c>
      <c r="U64" s="37"/>
      <c r="V64" s="37">
        <v>147.35</v>
      </c>
      <c r="W64" s="37">
        <f t="shared" si="17"/>
        <v>6945.8499999999985</v>
      </c>
    </row>
    <row r="65" spans="1:23" ht="14.25" customHeight="1">
      <c r="A65" s="37"/>
      <c r="B65" s="37">
        <v>31.6</v>
      </c>
      <c r="C65" s="37">
        <f t="shared" si="12"/>
        <v>4189.05</v>
      </c>
      <c r="E65" s="37"/>
      <c r="F65" s="37">
        <v>147.35</v>
      </c>
      <c r="G65" s="37">
        <f t="shared" si="13"/>
        <v>4629.05</v>
      </c>
      <c r="I65" s="37"/>
      <c r="J65" s="37">
        <v>147.35</v>
      </c>
      <c r="K65" s="37">
        <f t="shared" si="14"/>
        <v>6342.6500000000005</v>
      </c>
      <c r="M65" s="37"/>
      <c r="N65" s="37">
        <v>16.5</v>
      </c>
      <c r="O65" s="37">
        <f t="shared" si="15"/>
        <v>1004.7500000000005</v>
      </c>
      <c r="Q65" s="37"/>
      <c r="R65" s="37">
        <v>170</v>
      </c>
      <c r="S65" s="37">
        <f t="shared" si="16"/>
        <v>1587.25</v>
      </c>
      <c r="U65" s="37"/>
      <c r="V65" s="37">
        <v>36</v>
      </c>
      <c r="W65" s="37">
        <f t="shared" si="17"/>
        <v>6909.8499999999985</v>
      </c>
    </row>
    <row r="66" spans="1:23" ht="14.25" customHeight="1">
      <c r="A66" s="37"/>
      <c r="B66" s="37">
        <v>147.35</v>
      </c>
      <c r="C66" s="37">
        <f t="shared" si="12"/>
        <v>4041.7000000000003</v>
      </c>
      <c r="E66" s="37"/>
      <c r="F66" s="37">
        <v>120</v>
      </c>
      <c r="G66" s="37">
        <f t="shared" si="13"/>
        <v>4509.05</v>
      </c>
      <c r="I66" s="37"/>
      <c r="J66" s="37">
        <v>760</v>
      </c>
      <c r="K66" s="37">
        <f t="shared" si="14"/>
        <v>5582.6500000000005</v>
      </c>
      <c r="M66" s="37"/>
      <c r="N66" s="37">
        <v>26</v>
      </c>
      <c r="O66" s="37">
        <f t="shared" si="15"/>
        <v>978.75000000000045</v>
      </c>
      <c r="Q66" s="37"/>
      <c r="R66" s="37">
        <v>180</v>
      </c>
      <c r="S66" s="37">
        <f t="shared" si="16"/>
        <v>1407.25</v>
      </c>
      <c r="U66" s="37"/>
      <c r="V66" s="37">
        <v>73.349999999999994</v>
      </c>
      <c r="W66" s="37">
        <f t="shared" si="17"/>
        <v>6836.4999999999982</v>
      </c>
    </row>
    <row r="67" spans="1:23" ht="14.25" customHeight="1">
      <c r="A67" s="37"/>
      <c r="B67" s="37">
        <v>18</v>
      </c>
      <c r="C67" s="37">
        <f t="shared" si="12"/>
        <v>4023.7000000000003</v>
      </c>
      <c r="E67" s="37"/>
      <c r="F67" s="37">
        <v>370</v>
      </c>
      <c r="G67" s="37">
        <f t="shared" si="13"/>
        <v>4139.05</v>
      </c>
      <c r="I67" s="37"/>
      <c r="J67" s="37">
        <v>66</v>
      </c>
      <c r="K67" s="37">
        <f t="shared" si="14"/>
        <v>5516.6500000000005</v>
      </c>
      <c r="M67" s="37"/>
      <c r="N67" s="37">
        <v>9.6</v>
      </c>
      <c r="O67" s="37">
        <f t="shared" si="15"/>
        <v>969.15000000000043</v>
      </c>
      <c r="Q67" s="37"/>
      <c r="R67" s="37">
        <v>147.35</v>
      </c>
      <c r="S67" s="37">
        <f t="shared" si="16"/>
        <v>1259.9000000000001</v>
      </c>
      <c r="U67" s="37"/>
      <c r="V67" s="37">
        <v>30</v>
      </c>
      <c r="W67" s="37">
        <f t="shared" si="17"/>
        <v>6806.4999999999982</v>
      </c>
    </row>
    <row r="68" spans="1:23" ht="14.25" customHeight="1">
      <c r="A68" s="37"/>
      <c r="B68" s="37">
        <v>150</v>
      </c>
      <c r="C68" s="37">
        <f t="shared" si="12"/>
        <v>3873.7000000000003</v>
      </c>
      <c r="E68" s="37"/>
      <c r="F68" s="37">
        <v>105</v>
      </c>
      <c r="G68" s="37">
        <f t="shared" si="13"/>
        <v>4034.05</v>
      </c>
      <c r="I68" s="37"/>
      <c r="J68" s="37">
        <v>370</v>
      </c>
      <c r="K68" s="37">
        <f t="shared" si="14"/>
        <v>5146.6500000000005</v>
      </c>
      <c r="M68" s="37">
        <v>6000</v>
      </c>
      <c r="N68" s="37"/>
      <c r="O68" s="37">
        <f t="shared" si="15"/>
        <v>6969.1500000000005</v>
      </c>
      <c r="Q68" s="37"/>
      <c r="R68" s="37">
        <v>66</v>
      </c>
      <c r="S68" s="37">
        <f t="shared" si="16"/>
        <v>1193.9000000000001</v>
      </c>
      <c r="U68" s="37"/>
      <c r="V68" s="37">
        <v>120</v>
      </c>
      <c r="W68" s="37">
        <f t="shared" si="17"/>
        <v>6686.4999999999982</v>
      </c>
    </row>
    <row r="69" spans="1:23" ht="14.25" customHeight="1">
      <c r="A69" s="37"/>
      <c r="B69" s="37">
        <v>116</v>
      </c>
      <c r="C69" s="37">
        <f t="shared" si="12"/>
        <v>3757.7000000000003</v>
      </c>
      <c r="E69" s="37"/>
      <c r="F69" s="37">
        <v>195</v>
      </c>
      <c r="G69" s="37">
        <f t="shared" si="13"/>
        <v>3839.05</v>
      </c>
      <c r="I69" s="37"/>
      <c r="J69" s="37">
        <v>130</v>
      </c>
      <c r="K69" s="37">
        <f t="shared" si="14"/>
        <v>5016.6500000000005</v>
      </c>
      <c r="M69" s="37"/>
      <c r="N69" s="37">
        <v>147.35</v>
      </c>
      <c r="O69" s="37">
        <f t="shared" si="15"/>
        <v>6821.8</v>
      </c>
      <c r="Q69" s="37"/>
      <c r="R69" s="37">
        <v>167</v>
      </c>
      <c r="S69" s="37">
        <f t="shared" si="16"/>
        <v>1026.9000000000001</v>
      </c>
      <c r="U69" s="37"/>
      <c r="V69" s="37">
        <v>190</v>
      </c>
      <c r="W69" s="37">
        <f t="shared" si="17"/>
        <v>6496.4999999999982</v>
      </c>
    </row>
    <row r="70" spans="1:23" ht="14.25" customHeight="1">
      <c r="A70" s="37"/>
      <c r="B70" s="37">
        <v>31.6</v>
      </c>
      <c r="C70" s="37">
        <f t="shared" si="12"/>
        <v>3726.1000000000004</v>
      </c>
      <c r="E70" s="37"/>
      <c r="F70" s="37">
        <v>145</v>
      </c>
      <c r="G70" s="37">
        <f t="shared" si="13"/>
        <v>3694.05</v>
      </c>
      <c r="I70" s="37"/>
      <c r="J70" s="37">
        <v>180</v>
      </c>
      <c r="K70" s="37">
        <f t="shared" si="14"/>
        <v>4836.6500000000005</v>
      </c>
      <c r="M70" s="37"/>
      <c r="N70" s="37">
        <v>370</v>
      </c>
      <c r="O70" s="37">
        <f t="shared" si="15"/>
        <v>6451.8</v>
      </c>
      <c r="Q70" s="37">
        <v>10000</v>
      </c>
      <c r="R70" s="37"/>
      <c r="S70" s="37">
        <f t="shared" si="16"/>
        <v>11026.9</v>
      </c>
      <c r="U70" s="37"/>
      <c r="V70" s="37">
        <v>106.9</v>
      </c>
      <c r="W70" s="37">
        <f t="shared" si="17"/>
        <v>6389.5999999999985</v>
      </c>
    </row>
    <row r="71" spans="1:23" ht="14.25" customHeight="1">
      <c r="A71" s="37"/>
      <c r="B71" s="37">
        <v>228</v>
      </c>
      <c r="C71" s="37">
        <f t="shared" si="12"/>
        <v>3498.1000000000004</v>
      </c>
      <c r="E71" s="37"/>
      <c r="F71" s="37">
        <v>69</v>
      </c>
      <c r="G71" s="37">
        <f t="shared" si="13"/>
        <v>3625.05</v>
      </c>
      <c r="I71" s="37"/>
      <c r="J71" s="37">
        <v>370</v>
      </c>
      <c r="K71" s="37">
        <f t="shared" si="14"/>
        <v>4466.6500000000005</v>
      </c>
      <c r="M71" s="37"/>
      <c r="N71" s="37">
        <v>65.599999999999994</v>
      </c>
      <c r="O71" s="37">
        <f t="shared" si="15"/>
        <v>6386.2</v>
      </c>
      <c r="Q71" s="37"/>
      <c r="R71" s="37">
        <v>130</v>
      </c>
      <c r="S71" s="37">
        <f t="shared" si="16"/>
        <v>10896.9</v>
      </c>
      <c r="U71" s="37"/>
      <c r="V71" s="37">
        <v>18</v>
      </c>
      <c r="W71" s="37">
        <f t="shared" si="17"/>
        <v>6371.5999999999985</v>
      </c>
    </row>
    <row r="72" spans="1:23" ht="14.25" customHeight="1">
      <c r="A72" s="37"/>
      <c r="B72" s="37">
        <v>333</v>
      </c>
      <c r="C72" s="37">
        <f t="shared" si="12"/>
        <v>3165.1000000000004</v>
      </c>
      <c r="E72" s="37"/>
      <c r="F72" s="37">
        <v>767.95</v>
      </c>
      <c r="G72" s="37">
        <f t="shared" si="13"/>
        <v>2857.1000000000004</v>
      </c>
      <c r="I72" s="37"/>
      <c r="J72" s="37">
        <v>2.8</v>
      </c>
      <c r="K72" s="37">
        <f t="shared" si="14"/>
        <v>4463.8500000000004</v>
      </c>
      <c r="M72" s="37"/>
      <c r="N72" s="37">
        <v>195</v>
      </c>
      <c r="O72" s="37">
        <f t="shared" si="15"/>
        <v>6191.2</v>
      </c>
      <c r="Q72" s="37"/>
      <c r="R72" s="37">
        <v>808.95</v>
      </c>
      <c r="S72" s="37">
        <f t="shared" si="16"/>
        <v>10087.949999999999</v>
      </c>
      <c r="U72" s="37"/>
      <c r="V72" s="37">
        <v>180</v>
      </c>
      <c r="W72" s="37">
        <f t="shared" si="17"/>
        <v>6191.5999999999985</v>
      </c>
    </row>
    <row r="73" spans="1:23" ht="14.25" customHeight="1">
      <c r="A73" s="37"/>
      <c r="B73" s="37">
        <v>333</v>
      </c>
      <c r="C73" s="37">
        <f t="shared" si="12"/>
        <v>2832.1000000000004</v>
      </c>
      <c r="E73" s="37"/>
      <c r="F73" s="37">
        <v>1401.35</v>
      </c>
      <c r="G73" s="37">
        <f t="shared" si="13"/>
        <v>1455.7500000000005</v>
      </c>
      <c r="I73" s="37"/>
      <c r="J73" s="37">
        <v>190</v>
      </c>
      <c r="K73" s="37">
        <f t="shared" si="14"/>
        <v>4273.8500000000004</v>
      </c>
      <c r="M73" s="37"/>
      <c r="N73" s="37">
        <v>190</v>
      </c>
      <c r="O73" s="37">
        <f t="shared" si="15"/>
        <v>6001.2</v>
      </c>
      <c r="Q73" s="37"/>
      <c r="R73" s="37">
        <v>1323.25</v>
      </c>
      <c r="S73" s="37">
        <f t="shared" si="16"/>
        <v>8764.6999999999989</v>
      </c>
      <c r="U73" s="37"/>
      <c r="V73" s="37">
        <v>66</v>
      </c>
      <c r="W73" s="37">
        <f t="shared" si="17"/>
        <v>6125.5999999999985</v>
      </c>
    </row>
    <row r="74" spans="1:23" ht="14.25" customHeight="1">
      <c r="A74" s="37"/>
      <c r="B74" s="37">
        <v>79.599999999999994</v>
      </c>
      <c r="C74" s="37">
        <f t="shared" si="12"/>
        <v>2752.5000000000005</v>
      </c>
      <c r="E74" s="37"/>
      <c r="F74" s="37">
        <v>5.6</v>
      </c>
      <c r="G74" s="37">
        <f t="shared" si="13"/>
        <v>1450.1500000000005</v>
      </c>
      <c r="I74" s="37"/>
      <c r="J74" s="37">
        <v>1388.05</v>
      </c>
      <c r="K74" s="37">
        <f t="shared" si="14"/>
        <v>2885.8</v>
      </c>
      <c r="M74" s="37"/>
      <c r="N74" s="37">
        <v>420</v>
      </c>
      <c r="O74" s="37">
        <f t="shared" si="15"/>
        <v>5581.2</v>
      </c>
      <c r="Q74" s="37"/>
      <c r="R74" s="37">
        <v>66</v>
      </c>
      <c r="S74" s="37">
        <f t="shared" si="16"/>
        <v>8698.6999999999989</v>
      </c>
      <c r="U74" s="37"/>
      <c r="V74" s="37">
        <v>66</v>
      </c>
      <c r="W74" s="37">
        <f t="shared" si="17"/>
        <v>6059.5999999999985</v>
      </c>
    </row>
    <row r="75" spans="1:23" ht="14.25" customHeight="1">
      <c r="A75" s="37"/>
      <c r="B75" s="37">
        <v>150</v>
      </c>
      <c r="C75" s="37">
        <f t="shared" si="12"/>
        <v>2602.5000000000005</v>
      </c>
      <c r="E75" s="37"/>
      <c r="F75" s="37">
        <v>125</v>
      </c>
      <c r="G75" s="37">
        <f t="shared" si="13"/>
        <v>1325.1500000000005</v>
      </c>
      <c r="I75" s="37"/>
      <c r="J75" s="37">
        <v>779.6</v>
      </c>
      <c r="K75" s="37">
        <f t="shared" si="14"/>
        <v>2106.2000000000003</v>
      </c>
      <c r="M75" s="37"/>
      <c r="N75" s="37">
        <v>190</v>
      </c>
      <c r="O75" s="37">
        <f t="shared" si="15"/>
        <v>5391.2</v>
      </c>
      <c r="Q75" s="37"/>
      <c r="R75" s="37">
        <v>370</v>
      </c>
      <c r="S75" s="37">
        <f t="shared" si="16"/>
        <v>8328.6999999999989</v>
      </c>
      <c r="U75" s="37"/>
      <c r="V75" s="37">
        <v>370</v>
      </c>
      <c r="W75" s="37">
        <f t="shared" si="17"/>
        <v>5689.5999999999985</v>
      </c>
    </row>
    <row r="76" spans="1:23" ht="14.25" customHeight="1">
      <c r="A76" s="37"/>
      <c r="B76" s="37">
        <v>225</v>
      </c>
      <c r="C76" s="37">
        <f t="shared" si="12"/>
        <v>2377.5000000000005</v>
      </c>
      <c r="E76" s="37"/>
      <c r="F76" s="37">
        <v>370</v>
      </c>
      <c r="G76" s="37">
        <f t="shared" si="13"/>
        <v>955.15000000000055</v>
      </c>
      <c r="I76" s="37"/>
      <c r="J76" s="37">
        <v>92.6</v>
      </c>
      <c r="K76" s="37">
        <f t="shared" si="14"/>
        <v>2013.6000000000004</v>
      </c>
      <c r="M76" s="37"/>
      <c r="N76" s="37">
        <v>130</v>
      </c>
      <c r="O76" s="37">
        <f t="shared" si="15"/>
        <v>5261.2</v>
      </c>
      <c r="Q76" s="37"/>
      <c r="R76" s="37">
        <v>180</v>
      </c>
      <c r="S76" s="37">
        <f t="shared" si="16"/>
        <v>8148.6999999999989</v>
      </c>
      <c r="U76" s="37"/>
      <c r="V76" s="37">
        <v>753.55</v>
      </c>
      <c r="W76" s="37">
        <f t="shared" si="17"/>
        <v>4936.0499999999984</v>
      </c>
    </row>
    <row r="77" spans="1:23" ht="14.25" customHeight="1">
      <c r="A77" s="37"/>
      <c r="B77" s="37">
        <v>55</v>
      </c>
      <c r="C77" s="37">
        <f t="shared" si="12"/>
        <v>2322.5000000000005</v>
      </c>
      <c r="E77" s="37"/>
      <c r="F77" s="37">
        <v>4</v>
      </c>
      <c r="G77" s="37">
        <f t="shared" si="13"/>
        <v>951.15000000000055</v>
      </c>
      <c r="I77" s="37"/>
      <c r="J77" s="37">
        <v>180</v>
      </c>
      <c r="K77" s="37">
        <f t="shared" si="14"/>
        <v>1833.6000000000004</v>
      </c>
      <c r="M77" s="37"/>
      <c r="N77" s="37">
        <v>765.2</v>
      </c>
      <c r="O77" s="37">
        <f t="shared" si="15"/>
        <v>4496</v>
      </c>
      <c r="Q77" s="37"/>
      <c r="R77" s="37">
        <v>160</v>
      </c>
      <c r="S77" s="37">
        <f t="shared" si="16"/>
        <v>7988.6999999999989</v>
      </c>
      <c r="U77" s="37"/>
      <c r="V77" s="37">
        <v>1262.3</v>
      </c>
      <c r="W77" s="37">
        <f t="shared" si="17"/>
        <v>3673.7499999999982</v>
      </c>
    </row>
    <row r="78" spans="1:23" ht="14.25" customHeight="1">
      <c r="A78" s="37"/>
      <c r="B78" s="37">
        <v>119.8</v>
      </c>
      <c r="C78" s="37">
        <f t="shared" si="12"/>
        <v>2202.7000000000003</v>
      </c>
      <c r="E78" s="37"/>
      <c r="F78" s="37">
        <v>42</v>
      </c>
      <c r="G78" s="37">
        <f t="shared" si="13"/>
        <v>909.15000000000055</v>
      </c>
      <c r="I78" s="37"/>
      <c r="J78" s="37">
        <v>6.1</v>
      </c>
      <c r="K78" s="37">
        <f t="shared" si="14"/>
        <v>1827.5000000000005</v>
      </c>
      <c r="M78" s="37"/>
      <c r="N78" s="37">
        <v>1255.5999999999999</v>
      </c>
      <c r="O78" s="37">
        <f t="shared" si="15"/>
        <v>3240.4</v>
      </c>
      <c r="Q78" s="37"/>
      <c r="R78" s="37">
        <v>10.5</v>
      </c>
      <c r="S78" s="37">
        <f t="shared" si="16"/>
        <v>7978.1999999999989</v>
      </c>
      <c r="U78" s="37"/>
      <c r="V78" s="37">
        <v>38.6</v>
      </c>
      <c r="W78" s="37">
        <f t="shared" si="17"/>
        <v>3635.1499999999983</v>
      </c>
    </row>
    <row r="79" spans="1:23" ht="14.25" customHeight="1">
      <c r="A79" s="37"/>
      <c r="B79" s="37">
        <v>152</v>
      </c>
      <c r="C79" s="37">
        <f t="shared" si="12"/>
        <v>2050.7000000000003</v>
      </c>
      <c r="E79" s="37"/>
      <c r="F79" s="37">
        <v>180</v>
      </c>
      <c r="G79" s="37">
        <f t="shared" si="13"/>
        <v>729.15000000000055</v>
      </c>
      <c r="I79" s="37"/>
      <c r="J79" s="37">
        <v>370</v>
      </c>
      <c r="K79" s="37">
        <f t="shared" si="14"/>
        <v>1457.5000000000005</v>
      </c>
      <c r="M79" s="37"/>
      <c r="N79" s="37">
        <v>195</v>
      </c>
      <c r="O79" s="37">
        <f t="shared" si="15"/>
        <v>3045.4</v>
      </c>
      <c r="Q79" s="37"/>
      <c r="R79" s="37"/>
      <c r="S79" s="37">
        <f t="shared" si="16"/>
        <v>7978.1999999999989</v>
      </c>
      <c r="U79" s="37"/>
      <c r="V79" s="37">
        <v>370</v>
      </c>
      <c r="W79" s="37">
        <f t="shared" si="17"/>
        <v>3265.1499999999983</v>
      </c>
    </row>
    <row r="80" spans="1:23" ht="14.25" customHeight="1">
      <c r="A80" s="37"/>
      <c r="B80" s="37">
        <v>672.1</v>
      </c>
      <c r="C80" s="37">
        <f t="shared" si="12"/>
        <v>1378.6000000000004</v>
      </c>
      <c r="E80" s="37"/>
      <c r="F80" s="37"/>
      <c r="G80" s="37">
        <f t="shared" si="13"/>
        <v>729.15000000000055</v>
      </c>
      <c r="I80" s="37"/>
      <c r="J80" s="37"/>
      <c r="K80" s="37">
        <f t="shared" si="14"/>
        <v>1457.5000000000005</v>
      </c>
      <c r="M80" s="37"/>
      <c r="N80" s="37">
        <v>26</v>
      </c>
      <c r="O80" s="37">
        <f t="shared" si="15"/>
        <v>3019.4</v>
      </c>
      <c r="Q80" s="37"/>
      <c r="R80" s="37"/>
      <c r="S80" s="37">
        <f t="shared" si="16"/>
        <v>7978.1999999999989</v>
      </c>
      <c r="U80" s="37"/>
      <c r="V80" s="37"/>
      <c r="W80" s="37">
        <f t="shared" si="17"/>
        <v>3265.1499999999983</v>
      </c>
    </row>
    <row r="81" spans="1:23" ht="14.25" customHeight="1">
      <c r="A81" s="37"/>
      <c r="B81" s="37">
        <v>1352.05</v>
      </c>
      <c r="C81" s="37">
        <f t="shared" si="12"/>
        <v>26.550000000000409</v>
      </c>
      <c r="E81" s="37"/>
      <c r="F81" s="37"/>
      <c r="G81" s="37">
        <f t="shared" si="13"/>
        <v>729.15000000000055</v>
      </c>
      <c r="I81" s="37"/>
      <c r="J81" s="37"/>
      <c r="K81" s="37">
        <f t="shared" si="14"/>
        <v>1457.5000000000005</v>
      </c>
      <c r="M81" s="37"/>
      <c r="N81" s="37">
        <v>378</v>
      </c>
      <c r="O81" s="37">
        <f t="shared" si="15"/>
        <v>2641.4</v>
      </c>
      <c r="Q81" s="37"/>
      <c r="R81" s="37"/>
      <c r="S81" s="37">
        <f t="shared" si="16"/>
        <v>7978.1999999999989</v>
      </c>
      <c r="U81" s="37"/>
      <c r="V81" s="37"/>
      <c r="W81" s="37">
        <f t="shared" si="17"/>
        <v>3265.1499999999983</v>
      </c>
    </row>
    <row r="82" spans="1:23" ht="14.25" customHeight="1">
      <c r="A82" s="37"/>
      <c r="B82" s="37">
        <v>36</v>
      </c>
      <c r="C82" s="37">
        <f t="shared" si="12"/>
        <v>-9.4499999999995907</v>
      </c>
      <c r="E82" s="37"/>
      <c r="F82" s="37"/>
      <c r="G82" s="37">
        <f t="shared" si="13"/>
        <v>729.15000000000055</v>
      </c>
      <c r="I82" s="37"/>
      <c r="J82" s="37"/>
      <c r="K82" s="37">
        <f t="shared" si="14"/>
        <v>1457.5000000000005</v>
      </c>
      <c r="M82" s="37"/>
      <c r="N82" s="37">
        <v>66</v>
      </c>
      <c r="O82" s="37">
        <f t="shared" si="15"/>
        <v>2575.4</v>
      </c>
      <c r="Q82" s="37"/>
      <c r="R82" s="37"/>
      <c r="S82" s="37">
        <f t="shared" si="16"/>
        <v>7978.1999999999989</v>
      </c>
      <c r="U82" s="37"/>
      <c r="V82" s="37"/>
      <c r="W82" s="37">
        <f t="shared" si="17"/>
        <v>3265.1499999999983</v>
      </c>
    </row>
    <row r="83" spans="1:23" ht="14.25" customHeight="1">
      <c r="A83" s="37"/>
      <c r="B83" s="37">
        <v>39.35</v>
      </c>
      <c r="C83" s="37">
        <f t="shared" si="12"/>
        <v>-48.799999999999592</v>
      </c>
      <c r="E83" s="37"/>
      <c r="F83" s="37"/>
      <c r="G83" s="37">
        <f t="shared" si="13"/>
        <v>729.15000000000055</v>
      </c>
      <c r="I83" s="37"/>
      <c r="J83" s="37"/>
      <c r="K83" s="37">
        <f t="shared" si="14"/>
        <v>1457.5000000000005</v>
      </c>
      <c r="M83" s="37"/>
      <c r="N83" s="37">
        <v>121</v>
      </c>
      <c r="O83" s="37">
        <f t="shared" si="15"/>
        <v>2454.4</v>
      </c>
      <c r="Q83" s="37"/>
      <c r="R83" s="37"/>
      <c r="S83" s="37">
        <f t="shared" si="16"/>
        <v>7978.1999999999989</v>
      </c>
      <c r="U83" s="37"/>
      <c r="V83" s="37"/>
      <c r="W83" s="37">
        <f t="shared" si="17"/>
        <v>3265.1499999999983</v>
      </c>
    </row>
    <row r="84" spans="1:23" ht="14.25" customHeight="1">
      <c r="A84" s="37"/>
      <c r="B84" s="37">
        <v>30</v>
      </c>
      <c r="C84" s="37">
        <f t="shared" si="12"/>
        <v>-78.799999999999585</v>
      </c>
      <c r="E84" s="37"/>
      <c r="F84" s="37"/>
      <c r="G84" s="37">
        <f t="shared" si="13"/>
        <v>729.15000000000055</v>
      </c>
      <c r="I84" s="37"/>
      <c r="J84" s="37"/>
      <c r="K84" s="37">
        <f t="shared" si="14"/>
        <v>1457.5000000000005</v>
      </c>
      <c r="M84" s="37"/>
      <c r="N84" s="37">
        <v>100</v>
      </c>
      <c r="O84" s="37">
        <f t="shared" si="15"/>
        <v>2354.4</v>
      </c>
      <c r="Q84" s="37"/>
      <c r="R84" s="37"/>
      <c r="S84" s="37">
        <f t="shared" si="16"/>
        <v>7978.1999999999989</v>
      </c>
      <c r="U84" s="37"/>
      <c r="V84" s="37"/>
      <c r="W84" s="37">
        <f t="shared" si="17"/>
        <v>3265.1499999999983</v>
      </c>
    </row>
    <row r="85" spans="1:23" ht="14.25" customHeight="1">
      <c r="A85" s="37">
        <v>6000</v>
      </c>
      <c r="B85" s="37"/>
      <c r="C85" s="37">
        <f t="shared" si="12"/>
        <v>5921.2000000000007</v>
      </c>
      <c r="E85" s="37"/>
      <c r="F85" s="37"/>
      <c r="G85" s="37">
        <f t="shared" si="13"/>
        <v>729.15000000000055</v>
      </c>
      <c r="I85" s="37"/>
      <c r="J85" s="37"/>
      <c r="K85" s="37">
        <f t="shared" si="14"/>
        <v>1457.5000000000005</v>
      </c>
      <c r="M85" s="37"/>
      <c r="N85" s="37"/>
      <c r="O85" s="37">
        <f t="shared" si="15"/>
        <v>2354.4</v>
      </c>
      <c r="Q85" s="37"/>
      <c r="R85" s="37"/>
      <c r="S85" s="37">
        <f t="shared" si="16"/>
        <v>7978.1999999999989</v>
      </c>
      <c r="U85" s="37"/>
      <c r="V85" s="37"/>
      <c r="W85" s="37">
        <f t="shared" si="17"/>
        <v>3265.1499999999983</v>
      </c>
    </row>
    <row r="86" spans="1:23" ht="14.25" customHeight="1">
      <c r="A86" s="37"/>
      <c r="B86" s="37"/>
      <c r="C86" s="37">
        <f t="shared" si="12"/>
        <v>5921.2000000000007</v>
      </c>
      <c r="E86" s="37"/>
      <c r="F86" s="37"/>
      <c r="G86" s="37">
        <f t="shared" si="13"/>
        <v>729.15000000000055</v>
      </c>
      <c r="I86" s="37"/>
      <c r="J86" s="37"/>
      <c r="K86" s="37">
        <f t="shared" si="14"/>
        <v>1457.5000000000005</v>
      </c>
      <c r="M86" s="37"/>
      <c r="N86" s="37"/>
      <c r="O86" s="37">
        <f t="shared" si="15"/>
        <v>2354.4</v>
      </c>
      <c r="Q86" s="37"/>
      <c r="R86" s="37"/>
      <c r="S86" s="37">
        <f t="shared" si="16"/>
        <v>7978.1999999999989</v>
      </c>
      <c r="U86" s="37"/>
      <c r="V86" s="37"/>
      <c r="W86" s="37">
        <f t="shared" si="17"/>
        <v>3265.1499999999983</v>
      </c>
    </row>
    <row r="87" spans="1:23" ht="14.25" customHeight="1">
      <c r="A87" s="37"/>
      <c r="B87" s="37"/>
      <c r="C87" s="37">
        <f t="shared" si="12"/>
        <v>5921.2000000000007</v>
      </c>
      <c r="E87" s="37"/>
      <c r="F87" s="37"/>
      <c r="G87" s="37">
        <f t="shared" si="13"/>
        <v>729.15000000000055</v>
      </c>
      <c r="I87" s="37"/>
      <c r="J87" s="37"/>
      <c r="K87" s="37">
        <f t="shared" si="14"/>
        <v>1457.5000000000005</v>
      </c>
      <c r="M87" s="37"/>
      <c r="N87" s="37"/>
      <c r="O87" s="37">
        <f t="shared" si="15"/>
        <v>2354.4</v>
      </c>
      <c r="Q87" s="37"/>
      <c r="R87" s="37"/>
      <c r="S87" s="37">
        <f t="shared" si="16"/>
        <v>7978.1999999999989</v>
      </c>
      <c r="U87" s="37"/>
      <c r="V87" s="37"/>
      <c r="W87" s="37">
        <f t="shared" si="17"/>
        <v>3265.1499999999983</v>
      </c>
    </row>
    <row r="88" spans="1:23" ht="14.25" customHeight="1">
      <c r="A88" s="37"/>
      <c r="B88" s="37"/>
      <c r="C88" s="37">
        <f t="shared" si="12"/>
        <v>5921.2000000000007</v>
      </c>
      <c r="E88" s="37"/>
      <c r="F88" s="37"/>
      <c r="G88" s="37">
        <f t="shared" si="13"/>
        <v>729.15000000000055</v>
      </c>
      <c r="I88" s="37"/>
      <c r="J88" s="37"/>
      <c r="K88" s="37">
        <f t="shared" si="14"/>
        <v>1457.5000000000005</v>
      </c>
      <c r="M88" s="37"/>
      <c r="N88" s="37"/>
      <c r="O88" s="37">
        <f t="shared" si="15"/>
        <v>2354.4</v>
      </c>
      <c r="Q88" s="37"/>
      <c r="R88" s="37"/>
      <c r="S88" s="37">
        <f t="shared" si="16"/>
        <v>7978.1999999999989</v>
      </c>
      <c r="U88" s="37"/>
      <c r="V88" s="37"/>
      <c r="W88" s="37">
        <f t="shared" si="17"/>
        <v>3265.1499999999983</v>
      </c>
    </row>
    <row r="89" spans="1:23" ht="14.25" customHeight="1">
      <c r="A89" s="37"/>
      <c r="B89" s="37"/>
      <c r="C89" s="37">
        <f t="shared" si="12"/>
        <v>5921.2000000000007</v>
      </c>
      <c r="E89" s="37"/>
      <c r="F89" s="37"/>
      <c r="G89" s="37">
        <f t="shared" si="13"/>
        <v>729.15000000000055</v>
      </c>
      <c r="I89" s="37"/>
      <c r="J89" s="37"/>
      <c r="K89" s="37">
        <f t="shared" si="14"/>
        <v>1457.5000000000005</v>
      </c>
      <c r="M89" s="37"/>
      <c r="N89" s="37"/>
      <c r="O89" s="37">
        <f t="shared" si="15"/>
        <v>2354.4</v>
      </c>
      <c r="Q89" s="37"/>
      <c r="R89" s="37"/>
      <c r="S89" s="37">
        <f t="shared" si="16"/>
        <v>7978.1999999999989</v>
      </c>
      <c r="U89" s="37"/>
      <c r="V89" s="37"/>
      <c r="W89" s="37">
        <f t="shared" si="17"/>
        <v>3265.1499999999983</v>
      </c>
    </row>
    <row r="90" spans="1:23" ht="14.25" customHeight="1">
      <c r="A90" s="37"/>
      <c r="B90" s="37"/>
      <c r="C90" s="37">
        <f t="shared" si="12"/>
        <v>5921.2000000000007</v>
      </c>
      <c r="E90" s="37"/>
      <c r="F90" s="37"/>
      <c r="G90" s="37">
        <f t="shared" si="13"/>
        <v>729.15000000000055</v>
      </c>
      <c r="I90" s="40"/>
      <c r="J90" s="37"/>
      <c r="K90" s="37">
        <f t="shared" si="14"/>
        <v>1457.5000000000005</v>
      </c>
      <c r="M90" s="37"/>
      <c r="N90" s="37"/>
      <c r="O90" s="37">
        <f t="shared" si="15"/>
        <v>2354.4</v>
      </c>
      <c r="Q90" s="37"/>
      <c r="R90" s="37"/>
      <c r="S90" s="37">
        <f t="shared" si="16"/>
        <v>7978.1999999999989</v>
      </c>
      <c r="U90" s="37"/>
      <c r="V90" s="37"/>
      <c r="W90" s="37">
        <f t="shared" si="17"/>
        <v>3265.1499999999983</v>
      </c>
    </row>
    <row r="91" spans="1:23" ht="14.25" customHeight="1">
      <c r="A91" s="37"/>
      <c r="B91" s="37"/>
      <c r="C91" s="37">
        <f t="shared" si="12"/>
        <v>5921.2000000000007</v>
      </c>
      <c r="E91" s="37"/>
      <c r="F91" s="37"/>
      <c r="G91" s="37">
        <f t="shared" si="13"/>
        <v>729.15000000000055</v>
      </c>
      <c r="I91" s="37"/>
      <c r="J91" s="37"/>
      <c r="K91" s="37">
        <f t="shared" si="14"/>
        <v>1457.5000000000005</v>
      </c>
      <c r="M91" s="37"/>
      <c r="N91" s="37"/>
      <c r="O91" s="37">
        <f t="shared" si="15"/>
        <v>2354.4</v>
      </c>
      <c r="Q91" s="37"/>
      <c r="R91" s="37"/>
      <c r="S91" s="37">
        <f t="shared" si="16"/>
        <v>7978.1999999999989</v>
      </c>
      <c r="U91" s="37"/>
      <c r="V91" s="37"/>
      <c r="W91" s="37">
        <f t="shared" si="17"/>
        <v>3265.1499999999983</v>
      </c>
    </row>
    <row r="92" spans="1:23" ht="14.25" customHeight="1">
      <c r="A92" s="37"/>
      <c r="B92" s="37"/>
      <c r="C92" s="37">
        <f t="shared" si="12"/>
        <v>5921.2000000000007</v>
      </c>
      <c r="E92" s="37"/>
      <c r="F92" s="37"/>
      <c r="G92" s="37">
        <f t="shared" si="13"/>
        <v>729.15000000000055</v>
      </c>
      <c r="I92" s="37"/>
      <c r="J92" s="37"/>
      <c r="K92" s="37">
        <f t="shared" si="14"/>
        <v>1457.5000000000005</v>
      </c>
      <c r="M92" s="37"/>
      <c r="N92" s="37"/>
      <c r="O92" s="37">
        <f t="shared" si="15"/>
        <v>2354.4</v>
      </c>
      <c r="Q92" s="37"/>
      <c r="R92" s="37"/>
      <c r="S92" s="37">
        <f t="shared" si="16"/>
        <v>7978.1999999999989</v>
      </c>
      <c r="U92" s="37"/>
      <c r="V92" s="37"/>
      <c r="W92" s="37">
        <f t="shared" si="17"/>
        <v>3265.1499999999983</v>
      </c>
    </row>
    <row r="93" spans="1:23" ht="14.25" customHeight="1">
      <c r="A93" s="37"/>
      <c r="B93" s="37"/>
      <c r="C93" s="37">
        <f t="shared" si="12"/>
        <v>5921.2000000000007</v>
      </c>
      <c r="E93" s="37"/>
      <c r="F93" s="37"/>
      <c r="G93" s="37">
        <f t="shared" si="13"/>
        <v>729.15000000000055</v>
      </c>
      <c r="I93" s="37"/>
      <c r="J93" s="37"/>
      <c r="K93" s="37">
        <f t="shared" si="14"/>
        <v>1457.5000000000005</v>
      </c>
      <c r="M93" s="37"/>
      <c r="N93" s="37"/>
      <c r="O93" s="37">
        <f t="shared" si="15"/>
        <v>2354.4</v>
      </c>
      <c r="Q93" s="37"/>
      <c r="R93" s="37"/>
      <c r="S93" s="37">
        <f t="shared" si="16"/>
        <v>7978.1999999999989</v>
      </c>
      <c r="U93" s="37"/>
      <c r="V93" s="37"/>
      <c r="W93" s="37">
        <f t="shared" si="17"/>
        <v>3265.1499999999983</v>
      </c>
    </row>
    <row r="94" spans="1:23" ht="14.25" customHeight="1">
      <c r="A94" s="37"/>
      <c r="B94" s="37"/>
      <c r="C94" s="37">
        <f t="shared" si="12"/>
        <v>5921.2000000000007</v>
      </c>
      <c r="E94" s="37"/>
      <c r="F94" s="37"/>
      <c r="G94" s="37">
        <f t="shared" si="13"/>
        <v>729.15000000000055</v>
      </c>
      <c r="I94" s="37"/>
      <c r="J94" s="37"/>
      <c r="K94" s="37">
        <f t="shared" si="14"/>
        <v>1457.5000000000005</v>
      </c>
      <c r="M94" s="37"/>
      <c r="N94" s="37"/>
      <c r="O94" s="37">
        <f t="shared" si="15"/>
        <v>2354.4</v>
      </c>
      <c r="Q94" s="37"/>
      <c r="R94" s="37"/>
      <c r="S94" s="37">
        <f t="shared" si="16"/>
        <v>7978.1999999999989</v>
      </c>
      <c r="U94" s="37"/>
      <c r="V94" s="37"/>
      <c r="W94" s="37">
        <f t="shared" si="17"/>
        <v>3265.1499999999983</v>
      </c>
    </row>
    <row r="95" spans="1:23" ht="14.25" customHeight="1">
      <c r="A95" s="37"/>
      <c r="B95" s="37"/>
      <c r="C95" s="37">
        <f t="shared" si="12"/>
        <v>5921.2000000000007</v>
      </c>
      <c r="E95" s="37"/>
      <c r="F95" s="37"/>
      <c r="G95" s="37">
        <f t="shared" si="13"/>
        <v>729.15000000000055</v>
      </c>
      <c r="I95" s="40"/>
      <c r="J95" s="40"/>
      <c r="K95" s="37">
        <f t="shared" si="14"/>
        <v>1457.5000000000005</v>
      </c>
      <c r="M95" s="37"/>
      <c r="N95" s="37"/>
      <c r="O95" s="37">
        <f t="shared" si="15"/>
        <v>2354.4</v>
      </c>
      <c r="Q95" s="37"/>
      <c r="R95" s="37"/>
      <c r="S95" s="37">
        <f t="shared" si="16"/>
        <v>7978.1999999999989</v>
      </c>
      <c r="U95" s="37"/>
      <c r="V95" s="37"/>
      <c r="W95" s="37">
        <f t="shared" si="17"/>
        <v>3265.1499999999983</v>
      </c>
    </row>
    <row r="96" spans="1:23" ht="14.25" customHeight="1">
      <c r="A96" s="37"/>
      <c r="B96" s="37"/>
      <c r="C96" s="37">
        <f t="shared" si="12"/>
        <v>5921.2000000000007</v>
      </c>
      <c r="E96" s="37"/>
      <c r="F96" s="37"/>
      <c r="G96" s="37">
        <f t="shared" si="13"/>
        <v>729.15000000000055</v>
      </c>
      <c r="I96" s="40"/>
      <c r="J96" s="40"/>
      <c r="K96" s="37">
        <f t="shared" si="14"/>
        <v>1457.5000000000005</v>
      </c>
      <c r="M96" s="37"/>
      <c r="N96" s="37"/>
      <c r="O96" s="37">
        <f t="shared" si="15"/>
        <v>2354.4</v>
      </c>
      <c r="Q96" s="37"/>
      <c r="R96" s="37"/>
      <c r="S96" s="37">
        <f t="shared" si="16"/>
        <v>7978.1999999999989</v>
      </c>
      <c r="U96" s="37"/>
      <c r="V96" s="37"/>
      <c r="W96" s="37">
        <f t="shared" si="17"/>
        <v>3265.1499999999983</v>
      </c>
    </row>
    <row r="97" spans="1:23" ht="14.25" customHeight="1">
      <c r="A97" s="37"/>
      <c r="B97" s="37"/>
      <c r="C97" s="37">
        <f t="shared" si="12"/>
        <v>5921.2000000000007</v>
      </c>
      <c r="E97" s="37"/>
      <c r="F97" s="37"/>
      <c r="G97" s="37">
        <f t="shared" si="13"/>
        <v>729.15000000000055</v>
      </c>
      <c r="I97" s="40"/>
      <c r="J97" s="40"/>
      <c r="K97" s="37">
        <f t="shared" si="14"/>
        <v>1457.5000000000005</v>
      </c>
      <c r="M97" s="37"/>
      <c r="N97" s="37"/>
      <c r="O97" s="37">
        <f t="shared" si="15"/>
        <v>2354.4</v>
      </c>
      <c r="Q97" s="37"/>
      <c r="R97" s="37"/>
      <c r="S97" s="37">
        <f t="shared" si="16"/>
        <v>7978.1999999999989</v>
      </c>
      <c r="U97" s="37"/>
      <c r="V97" s="37"/>
      <c r="W97" s="37">
        <f t="shared" si="17"/>
        <v>3265.1499999999983</v>
      </c>
    </row>
    <row r="98" spans="1:23" ht="14.25" customHeight="1">
      <c r="A98" s="37"/>
      <c r="B98" s="37"/>
      <c r="C98" s="37">
        <f t="shared" si="12"/>
        <v>5921.2000000000007</v>
      </c>
      <c r="E98" s="37"/>
      <c r="F98" s="37"/>
      <c r="G98" s="37">
        <f t="shared" si="13"/>
        <v>729.15000000000055</v>
      </c>
      <c r="I98" s="40"/>
      <c r="J98" s="40"/>
      <c r="K98" s="37">
        <f t="shared" si="14"/>
        <v>1457.5000000000005</v>
      </c>
      <c r="M98" s="37"/>
      <c r="N98" s="37"/>
      <c r="O98" s="37">
        <f t="shared" si="15"/>
        <v>2354.4</v>
      </c>
      <c r="Q98" s="37"/>
      <c r="R98" s="37"/>
      <c r="S98" s="37">
        <f t="shared" si="16"/>
        <v>7978.1999999999989</v>
      </c>
      <c r="U98" s="37"/>
      <c r="V98" s="37"/>
      <c r="W98" s="37">
        <f t="shared" si="17"/>
        <v>3265.1499999999983</v>
      </c>
    </row>
    <row r="99" spans="1:23" ht="14.25" customHeight="1">
      <c r="A99" s="37"/>
      <c r="B99" s="37"/>
      <c r="C99" s="37">
        <f t="shared" si="12"/>
        <v>5921.2000000000007</v>
      </c>
      <c r="E99" s="37"/>
      <c r="F99" s="37"/>
      <c r="G99" s="37">
        <f t="shared" si="13"/>
        <v>729.15000000000055</v>
      </c>
      <c r="I99" s="40"/>
      <c r="J99" s="40"/>
      <c r="K99" s="37">
        <f t="shared" si="14"/>
        <v>1457.5000000000005</v>
      </c>
      <c r="M99" s="37"/>
      <c r="N99" s="37"/>
      <c r="O99" s="37">
        <f t="shared" si="15"/>
        <v>2354.4</v>
      </c>
      <c r="Q99" s="37"/>
      <c r="R99" s="37"/>
      <c r="S99" s="37">
        <f t="shared" si="16"/>
        <v>7978.1999999999989</v>
      </c>
      <c r="U99" s="37"/>
      <c r="V99" s="37"/>
      <c r="W99" s="37">
        <f t="shared" si="17"/>
        <v>3265.1499999999983</v>
      </c>
    </row>
    <row r="100" spans="1:23" ht="14.25" customHeight="1">
      <c r="A100" s="37"/>
      <c r="B100" s="37"/>
      <c r="C100" s="37">
        <f t="shared" si="12"/>
        <v>5921.2000000000007</v>
      </c>
      <c r="E100" s="37"/>
      <c r="F100" s="37"/>
      <c r="G100" s="37">
        <f t="shared" si="13"/>
        <v>729.15000000000055</v>
      </c>
      <c r="I100" s="40"/>
      <c r="J100" s="40"/>
      <c r="K100" s="37">
        <f t="shared" si="14"/>
        <v>1457.5000000000005</v>
      </c>
      <c r="M100" s="37"/>
      <c r="N100" s="37"/>
      <c r="O100" s="37">
        <f t="shared" si="15"/>
        <v>2354.4</v>
      </c>
      <c r="Q100" s="37"/>
      <c r="R100" s="37"/>
      <c r="S100" s="37">
        <f t="shared" si="16"/>
        <v>7978.1999999999989</v>
      </c>
      <c r="U100" s="37"/>
      <c r="V100" s="37"/>
      <c r="W100" s="37">
        <f t="shared" si="17"/>
        <v>3265.1499999999983</v>
      </c>
    </row>
    <row r="101" spans="1:23" ht="14.25" customHeight="1">
      <c r="A101" s="37"/>
      <c r="B101" s="37"/>
      <c r="C101" s="37">
        <f t="shared" si="12"/>
        <v>5921.2000000000007</v>
      </c>
      <c r="E101" s="37"/>
      <c r="F101" s="37"/>
      <c r="G101" s="37">
        <f t="shared" si="13"/>
        <v>729.15000000000055</v>
      </c>
      <c r="I101" s="40"/>
      <c r="J101" s="40"/>
      <c r="K101" s="37">
        <f t="shared" si="14"/>
        <v>1457.5000000000005</v>
      </c>
      <c r="M101" s="37"/>
      <c r="N101" s="37"/>
      <c r="O101" s="37">
        <f t="shared" si="15"/>
        <v>2354.4</v>
      </c>
      <c r="Q101" s="37"/>
      <c r="R101" s="37"/>
      <c r="S101" s="37">
        <f t="shared" si="16"/>
        <v>7978.1999999999989</v>
      </c>
      <c r="U101" s="37"/>
      <c r="V101" s="37"/>
      <c r="W101" s="37">
        <f t="shared" si="17"/>
        <v>3265.1499999999983</v>
      </c>
    </row>
    <row r="102" spans="1:23" ht="14.25" customHeight="1">
      <c r="A102" s="37"/>
      <c r="B102" s="37"/>
      <c r="C102" s="37">
        <f t="shared" si="12"/>
        <v>5921.2000000000007</v>
      </c>
      <c r="E102" s="37"/>
      <c r="F102" s="37"/>
      <c r="G102" s="37">
        <f t="shared" si="13"/>
        <v>729.15000000000055</v>
      </c>
      <c r="I102" s="40"/>
      <c r="J102" s="40"/>
      <c r="K102" s="37">
        <f t="shared" si="14"/>
        <v>1457.5000000000005</v>
      </c>
      <c r="M102" s="37"/>
      <c r="N102" s="37"/>
      <c r="O102" s="37">
        <f t="shared" si="15"/>
        <v>2354.4</v>
      </c>
      <c r="Q102" s="37"/>
      <c r="R102" s="37"/>
      <c r="S102" s="37">
        <f t="shared" si="16"/>
        <v>7978.1999999999989</v>
      </c>
      <c r="U102" s="37"/>
      <c r="V102" s="37"/>
      <c r="W102" s="37">
        <f t="shared" si="17"/>
        <v>3265.1499999999983</v>
      </c>
    </row>
    <row r="103" spans="1:23" ht="14.25" customHeight="1">
      <c r="A103" s="37"/>
      <c r="B103" s="37"/>
      <c r="C103" s="37">
        <f t="shared" si="12"/>
        <v>5921.2000000000007</v>
      </c>
      <c r="E103" s="37"/>
      <c r="F103" s="37"/>
      <c r="G103" s="37">
        <f t="shared" si="13"/>
        <v>729.15000000000055</v>
      </c>
      <c r="I103" s="40"/>
      <c r="J103" s="40"/>
      <c r="K103" s="37">
        <f t="shared" si="14"/>
        <v>1457.5000000000005</v>
      </c>
      <c r="M103" s="37"/>
      <c r="N103" s="37"/>
      <c r="O103" s="37">
        <f t="shared" si="15"/>
        <v>2354.4</v>
      </c>
      <c r="Q103" s="37"/>
      <c r="R103" s="37"/>
      <c r="S103" s="37">
        <f t="shared" si="16"/>
        <v>7978.1999999999989</v>
      </c>
      <c r="U103" s="37"/>
      <c r="V103" s="37"/>
      <c r="W103" s="37"/>
    </row>
    <row r="104" spans="1:23" ht="14.25" customHeight="1">
      <c r="A104" s="37"/>
      <c r="B104" s="37"/>
      <c r="C104" s="40"/>
      <c r="E104" s="37"/>
      <c r="F104" s="37"/>
      <c r="G104" s="40"/>
      <c r="I104" s="40"/>
      <c r="J104" s="40"/>
      <c r="K104" s="40"/>
      <c r="M104" s="37"/>
      <c r="N104" s="37"/>
      <c r="O104" s="37"/>
      <c r="Q104" s="37"/>
      <c r="R104" s="37"/>
      <c r="S104" s="37"/>
      <c r="U104" s="37"/>
      <c r="V104" s="37"/>
      <c r="W104" s="37"/>
    </row>
    <row r="105" spans="1:23" ht="14.25" customHeight="1">
      <c r="A105" s="43">
        <f t="shared" ref="A105:B105" si="18">SUM(A60:A104)</f>
        <v>6000</v>
      </c>
      <c r="B105" s="43">
        <f t="shared" si="18"/>
        <v>4890.6500000000005</v>
      </c>
      <c r="C105" s="43">
        <f>A105-B105</f>
        <v>1109.3499999999995</v>
      </c>
      <c r="E105" s="43">
        <f t="shared" ref="E105:F105" si="19">SUM(E60:E104)</f>
        <v>0</v>
      </c>
      <c r="F105" s="43">
        <f t="shared" si="19"/>
        <v>5192.0499999999993</v>
      </c>
      <c r="G105" s="43">
        <f>E105-F105</f>
        <v>-5192.0499999999993</v>
      </c>
      <c r="I105" s="43">
        <f t="shared" ref="I105:J105" si="20">SUM(I60:I104)</f>
        <v>6000</v>
      </c>
      <c r="J105" s="43">
        <f t="shared" si="20"/>
        <v>5271.6500000000015</v>
      </c>
      <c r="K105" s="43">
        <f>I105-J105</f>
        <v>728.34999999999854</v>
      </c>
      <c r="M105" s="43">
        <f t="shared" ref="M105:N105" si="21">SUM(M60:M104)</f>
        <v>6000</v>
      </c>
      <c r="N105" s="43">
        <f t="shared" si="21"/>
        <v>5103.1000000000004</v>
      </c>
      <c r="O105" s="43">
        <f>M105-N105</f>
        <v>896.89999999999964</v>
      </c>
      <c r="Q105" s="43">
        <f t="shared" ref="Q105:R105" si="22">SUM(Q60:Q104)</f>
        <v>10000</v>
      </c>
      <c r="R105" s="43">
        <f t="shared" si="22"/>
        <v>4376.2</v>
      </c>
      <c r="S105" s="43">
        <f>Q105-R105</f>
        <v>5623.8</v>
      </c>
      <c r="U105" s="43">
        <f t="shared" ref="U105:V105" si="23">SUM(U60:U104)</f>
        <v>0</v>
      </c>
      <c r="V105" s="43">
        <f t="shared" si="23"/>
        <v>4713.05</v>
      </c>
      <c r="W105" s="43">
        <f>U105-V105</f>
        <v>-4713.05</v>
      </c>
    </row>
    <row r="106" spans="1:23" ht="14.25" customHeight="1">
      <c r="A106" s="43"/>
      <c r="B106" s="43"/>
      <c r="C106" s="43">
        <f>C59+C105</f>
        <v>5921.2</v>
      </c>
      <c r="E106" s="43"/>
      <c r="F106" s="43"/>
      <c r="G106" s="43">
        <f>G59+G105</f>
        <v>729.15000000000146</v>
      </c>
      <c r="K106" s="43">
        <f>K59+K105</f>
        <v>1457.4999999999991</v>
      </c>
      <c r="O106" s="43">
        <f>O59+O105</f>
        <v>2354.4</v>
      </c>
      <c r="S106" s="43">
        <f>S59+S105</f>
        <v>7978.2000000000007</v>
      </c>
      <c r="W106" s="43">
        <f>W59+W105</f>
        <v>3265.1499999999987</v>
      </c>
    </row>
    <row r="107" spans="1:23" ht="14.25" customHeight="1">
      <c r="M107" s="43"/>
      <c r="N107" s="43"/>
    </row>
    <row r="108" spans="1:23" ht="14.25" customHeight="1">
      <c r="M108" s="43"/>
      <c r="N108" s="43"/>
    </row>
    <row r="109" spans="1:23" ht="14.25" customHeight="1"/>
    <row r="110" spans="1:23" ht="14.25" customHeight="1"/>
    <row r="111" spans="1:23" ht="14.25" customHeight="1"/>
    <row r="112" spans="1:2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U57:W57"/>
    <mergeCell ref="A1:C1"/>
    <mergeCell ref="E1:G1"/>
    <mergeCell ref="I1:K1"/>
    <mergeCell ref="M1:O1"/>
    <mergeCell ref="Q1:S1"/>
    <mergeCell ref="U1:W1"/>
    <mergeCell ref="A57:C57"/>
    <mergeCell ref="E57:G57"/>
    <mergeCell ref="I57:K57"/>
    <mergeCell ref="M57:O57"/>
    <mergeCell ref="Q57:S57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2026 Petty Cash Manual Book</vt:lpstr>
      <vt:lpstr>Actual Cash In Hand In System</vt:lpstr>
      <vt:lpstr>2022 Petty Cash Manual Book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williamsiew0827@gmail.com</cp:lastModifiedBy>
  <dcterms:created xsi:type="dcterms:W3CDTF">2022-04-16T12:35:37Z</dcterms:created>
  <dcterms:modified xsi:type="dcterms:W3CDTF">2026-07-16T14:03:21Z</dcterms:modified>
</cp:coreProperties>
</file>